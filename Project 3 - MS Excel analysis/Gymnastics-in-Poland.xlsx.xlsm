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data" ContentType="application/vnd.openxmlformats-officedocument.model+data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slicerCaches/slicerCache1.xml" ContentType="application/vnd.ms-excel.slicerCache+xml"/>
  <Override PartName="/xl/slicerCaches/slicerCache2.xml" ContentType="application/vnd.ms-excel.slicerCache+xml"/>
  <Override PartName="/xl/slicerCaches/slicerCache3.xml" ContentType="application/vnd.ms-excel.slicerCache+xml"/>
  <Override PartName="/xl/slicerCaches/slicerCache4.xml" ContentType="application/vnd.ms-excel.slicerCache+xml"/>
  <Override PartName="/xl/slicerCaches/slicerCache5.xml" ContentType="application/vnd.ms-excel.slicerCache+xml"/>
  <Override PartName="/xl/slicerCaches/slicerCache6.xml" ContentType="application/vnd.ms-excel.slicerCache+xml"/>
  <Override PartName="/xl/slicerCaches/slicerCache7.xml" ContentType="application/vnd.ms-excel.slicerCache+xml"/>
  <Override PartName="/xl/slicerCaches/slicerCache8.xml" ContentType="application/vnd.ms-excel.slicer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queryTables/queryTable2.xml" ContentType="application/vnd.openxmlformats-officedocument.spreadsheetml.queryTable+xml"/>
  <Override PartName="/xl/slicers/slicer1.xml" ContentType="application/vnd.ms-excel.slicer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pivotTables/pivotTable2.xml" ContentType="application/vnd.openxmlformats-officedocument.spreadsheetml.pivotTable+xml"/>
  <Override PartName="/xl/drawings/drawing2.xml" ContentType="application/vnd.openxmlformats-officedocument.drawing+xml"/>
  <Override PartName="/xl/tables/table4.xml" ContentType="application/vnd.openxmlformats-officedocument.spreadsheetml.table+xml"/>
  <Override PartName="/xl/queryTables/queryTable3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queryTables/queryTable4.xml" ContentType="application/vnd.openxmlformats-officedocument.spreadsheetml.queryTable+xml"/>
  <Override PartName="/xl/slicers/slicer2.xml" ContentType="application/vnd.ms-excel.slicer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pivotTables/pivotTable3.xml" ContentType="application/vnd.openxmlformats-officedocument.spreadsheetml.pivot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queryTables/queryTable5.xml" ContentType="application/vnd.openxmlformats-officedocument.spreadsheetml.query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queryTables/queryTable6.xml" ContentType="application/vnd.openxmlformats-officedocument.spreadsheetml.queryTable+xml"/>
  <Override PartName="/xl/slicers/slicer3.xml" ContentType="application/vnd.ms-excel.slicer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pivotTables/pivotTable4.xml" ContentType="application/vnd.openxmlformats-officedocument.spreadsheetml.pivotTable+xml"/>
  <Override PartName="/xl/drawings/drawing4.xml" ContentType="application/vnd.openxmlformats-officedocument.drawing+xml"/>
  <Override PartName="/xl/tables/table10.xml" ContentType="application/vnd.openxmlformats-officedocument.spreadsheetml.table+xml"/>
  <Override PartName="/xl/queryTables/queryTable7.xml" ContentType="application/vnd.openxmlformats-officedocument.spreadsheetml.query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queryTables/queryTable8.xml" ContentType="application/vnd.openxmlformats-officedocument.spreadsheetml.queryTable+xml"/>
  <Override PartName="/xl/slicers/slicer4.xml" ContentType="application/vnd.ms-excel.slicer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tables/table13.xml" ContentType="application/vnd.openxmlformats-officedocument.spreadsheetml.table+xml"/>
  <Override PartName="/xl/queryTables/queryTable9.xml" ContentType="application/vnd.openxmlformats-officedocument.spreadsheetml.query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queryTables/queryTable10.xml" ContentType="application/vnd.openxmlformats-officedocument.spreadsheetml.query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queryTables/queryTable11.xml" ContentType="application/vnd.openxmlformats-officedocument.spreadsheetml.query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queryTables/queryTable12.xml" ContentType="application/vnd.openxmlformats-officedocument.spreadsheetml.query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queryTables/queryTable13.xml" ContentType="application/vnd.openxmlformats-officedocument.spreadsheetml.query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queryTables/queryTable14.xml" ContentType="application/vnd.openxmlformats-officedocument.spreadsheetml.query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queryTables/queryTable15.xml" ContentType="application/vnd.openxmlformats-officedocument.spreadsheetml.queryTable+xml"/>
  <Override PartName="/xl/tables/table2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626" codeName="{62F9E958-00F4-224C-1CEB-3A4BEE276A53}"/>
  <workbookPr codeName="Ten_skoroszyt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E:\Gymnastics on GitHub!\Gymnastics-on-GitHub\Project 3 - MS Excel analysis\"/>
    </mc:Choice>
  </mc:AlternateContent>
  <xr:revisionPtr revIDLastSave="0" documentId="13_ncr:1_{DA222582-98BD-45B3-9BDF-40177D45A1CB}" xr6:coauthVersionLast="47" xr6:coauthVersionMax="47" xr10:uidLastSave="{00000000-0000-0000-0000-000000000000}"/>
  <bookViews>
    <workbookView xWindow="-120" yWindow="-120" windowWidth="29040" windowHeight="15720" activeTab="3" xr2:uid="{3D6D86FB-A2A0-B64C-B7F3-2D4BA49ADDA1}"/>
  </bookViews>
  <sheets>
    <sheet name="Bydgoszcz_2022" sheetId="7" r:id="rId1"/>
    <sheet name="Zabrze_2022" sheetId="2" r:id="rId2"/>
    <sheet name="Cracow_2022" sheetId="6" r:id="rId3"/>
    <sheet name="Gdansk_2022" sheetId="3" r:id="rId4"/>
    <sheet name="FX_2022" sheetId="8" r:id="rId5"/>
    <sheet name="PH_2022" sheetId="10" r:id="rId6"/>
    <sheet name="SR_2022" sheetId="11" r:id="rId7"/>
    <sheet name="VT_2022" sheetId="12" r:id="rId8"/>
    <sheet name="PB_2022" sheetId="13" r:id="rId9"/>
    <sheet name="HB_2022" sheetId="14" r:id="rId10"/>
    <sheet name="AA_2022" sheetId="15" r:id="rId11"/>
  </sheets>
  <definedNames>
    <definedName name="_xlcn.WorksheetConnection_GymnasticsinPoland.xlsxfloor_exercise" hidden="1">FX[]</definedName>
    <definedName name="_xlcn.WorksheetConnection_GymnasticsinPoland.xlsxpommel_horse" hidden="1">PH[]</definedName>
    <definedName name="ExternalData_1" localSheetId="0" hidden="1">Bydgoszcz_2022!$A$1:$AB$33</definedName>
    <definedName name="ExternalData_1" localSheetId="2" hidden="1">Cracow_2022!$A$1:$AB$40</definedName>
    <definedName name="ExternalData_1" localSheetId="8" hidden="1">PB_2022!$A$1:$Q$44</definedName>
    <definedName name="ExternalData_1" localSheetId="5" hidden="1">PH_2022!$A$1:$Q$44</definedName>
    <definedName name="ExternalData_1" localSheetId="1" hidden="1">Zabrze_2022!$A$1:$AB$38</definedName>
    <definedName name="ExternalData_2" localSheetId="0" hidden="1">Bydgoszcz_2022!$AN$1:$AV$673</definedName>
    <definedName name="ExternalData_2" localSheetId="2" hidden="1">Cracow_2022!$AN$1:$AV$820</definedName>
    <definedName name="ExternalData_2" localSheetId="4" hidden="1">FX_2022!$A$1:$Q$47</definedName>
    <definedName name="ExternalData_2" localSheetId="3" hidden="1">Gdansk_2022!$A$1:$AB$34</definedName>
    <definedName name="ExternalData_2" localSheetId="9" hidden="1">HB_2022!$A$1:$Q$38</definedName>
    <definedName name="ExternalData_2" localSheetId="6" hidden="1">SR_2022!$A$1:$Q$45</definedName>
    <definedName name="ExternalData_3" localSheetId="10" hidden="1">AA_2022!$A$1:$CK$53</definedName>
    <definedName name="ExternalData_3" localSheetId="3" hidden="1">Gdansk_2022!$AN$1:$AV$694</definedName>
    <definedName name="ExternalData_3" localSheetId="7" hidden="1">VT_2022!$A$1:$Q$47</definedName>
    <definedName name="ExternalData_3" localSheetId="1" hidden="1">Zabrze_2022!$AN$1:$AV$778</definedName>
    <definedName name="Fragmentator_Apparatus">#N/A</definedName>
    <definedName name="Fragmentator_Apparatus1">#N/A</definedName>
    <definedName name="Fragmentator_Apparatus2">#N/A</definedName>
    <definedName name="Fragmentator_Apparatus3">#N/A</definedName>
    <definedName name="Fragmentator_Score_Type">#N/A</definedName>
    <definedName name="Fragmentator_Score_Type1">#N/A</definedName>
    <definedName name="Fragmentator_Score_Type2">#N/A</definedName>
    <definedName name="Fragmentator_Score_Type3">#N/A</definedName>
  </definedNames>
  <calcPr calcId="191029"/>
  <pivotCaches>
    <pivotCache cacheId="0" r:id="rId12"/>
    <pivotCache cacheId="1" r:id="rId13"/>
    <pivotCache cacheId="2" r:id="rId14"/>
    <pivotCache cacheId="3" r:id="rId15"/>
  </pivotCaches>
  <extLst>
    <ext xmlns:x14="http://schemas.microsoft.com/office/spreadsheetml/2009/9/main" uri="{BBE1A952-AA13-448e-AADC-164F8A28A991}">
      <x14:slicerCaches>
        <x14:slicerCache r:id="rId16"/>
        <x14:slicerCache r:id="rId17"/>
        <x14:slicerCache r:id="rId18"/>
        <x14:slicerCache r:id="rId19"/>
        <x14:slicerCache r:id="rId20"/>
        <x14:slicerCache r:id="rId21"/>
        <x14:slicerCache r:id="rId22"/>
        <x14:slicerCache r:id="rId23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pommel_horse" name="pommel_horse" connection="WorksheetConnection_Gymnastics-in-Poland.xlsx!pommel_horse"/>
          <x15:modelTable id="floor_exercise" name="floor_exercise" connection="WorksheetConnection_Gymnastics-in-Poland.xlsx!floor_exercise"/>
        </x15:modelTables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F3" i="7" l="1"/>
  <c r="AL15" i="3" a="1"/>
  <c r="AL15" i="3" s="1"/>
  <c r="AK15" i="3" a="1"/>
  <c r="AK15" i="3" s="1"/>
  <c r="AJ15" i="3"/>
  <c r="AI15" i="3" a="1"/>
  <c r="AI15" i="3" s="1"/>
  <c r="AH15" i="3"/>
  <c r="AG15" i="3" a="1"/>
  <c r="AG15" i="3" s="1"/>
  <c r="AF15" i="3"/>
  <c r="AL14" i="3" a="1"/>
  <c r="AL14" i="3" s="1"/>
  <c r="AK14" i="3" a="1"/>
  <c r="AK14" i="3" s="1"/>
  <c r="AJ14" i="3"/>
  <c r="AI14" i="3" a="1"/>
  <c r="AI14" i="3" s="1"/>
  <c r="AH14" i="3"/>
  <c r="AG14" i="3" a="1"/>
  <c r="AG14" i="3" s="1"/>
  <c r="AF14" i="3"/>
  <c r="AL13" i="3" a="1"/>
  <c r="AL13" i="3" s="1"/>
  <c r="AK13" i="3" a="1"/>
  <c r="AK13" i="3" s="1"/>
  <c r="AJ13" i="3"/>
  <c r="AI13" i="3" a="1"/>
  <c r="AI13" i="3" s="1"/>
  <c r="AH13" i="3"/>
  <c r="AG13" i="3" a="1"/>
  <c r="AG13" i="3" s="1"/>
  <c r="AF13" i="3"/>
  <c r="AL12" i="3" a="1"/>
  <c r="AL12" i="3" s="1"/>
  <c r="AK12" i="3" a="1"/>
  <c r="AK12" i="3" s="1"/>
  <c r="AJ12" i="3"/>
  <c r="AI12" i="3" a="1"/>
  <c r="AI12" i="3" s="1"/>
  <c r="AH12" i="3"/>
  <c r="AG12" i="3" a="1"/>
  <c r="AG12" i="3" s="1"/>
  <c r="AF12" i="3"/>
  <c r="AL11" i="3" a="1"/>
  <c r="AL11" i="3" s="1"/>
  <c r="AK11" i="3" a="1"/>
  <c r="AK11" i="3" s="1"/>
  <c r="AJ11" i="3"/>
  <c r="AI11" i="3" a="1"/>
  <c r="AI11" i="3" s="1"/>
  <c r="AH11" i="3"/>
  <c r="AG11" i="3" a="1"/>
  <c r="AG11" i="3" s="1"/>
  <c r="AF11" i="3"/>
  <c r="AL10" i="3" a="1"/>
  <c r="AL10" i="3" s="1"/>
  <c r="AK10" i="3" a="1"/>
  <c r="AK10" i="3" s="1"/>
  <c r="AJ10" i="3"/>
  <c r="AI10" i="3" a="1"/>
  <c r="AI10" i="3" s="1"/>
  <c r="AH10" i="3"/>
  <c r="AG10" i="3" a="1"/>
  <c r="AG10" i="3" s="1"/>
  <c r="AF10" i="3"/>
  <c r="AL9" i="3" a="1"/>
  <c r="AL9" i="3" s="1"/>
  <c r="AL8" i="3" a="1"/>
  <c r="AL8" i="3" s="1"/>
  <c r="AK8" i="3" a="1"/>
  <c r="AK8" i="3" s="1"/>
  <c r="AJ8" i="3"/>
  <c r="AI8" i="3" a="1"/>
  <c r="AI8" i="3" s="1"/>
  <c r="AH8" i="3"/>
  <c r="AG8" i="3" a="1"/>
  <c r="AG8" i="3" s="1"/>
  <c r="AF8" i="3"/>
  <c r="AL7" i="3" a="1"/>
  <c r="AL7" i="3" s="1"/>
  <c r="AK7" i="3" a="1"/>
  <c r="AK7" i="3" s="1"/>
  <c r="AJ7" i="3"/>
  <c r="AI7" i="3" a="1"/>
  <c r="AI7" i="3" s="1"/>
  <c r="AH7" i="3"/>
  <c r="AG7" i="3" a="1"/>
  <c r="AG7" i="3" s="1"/>
  <c r="AF7" i="3"/>
  <c r="AL6" i="3" a="1"/>
  <c r="AL6" i="3" s="1"/>
  <c r="AK6" i="3" a="1"/>
  <c r="AK6" i="3" s="1"/>
  <c r="AJ6" i="3"/>
  <c r="AI6" i="3" a="1"/>
  <c r="AI6" i="3" s="1"/>
  <c r="AH6" i="3"/>
  <c r="AG6" i="3" a="1"/>
  <c r="AG6" i="3" s="1"/>
  <c r="AF6" i="3"/>
  <c r="AL5" i="3" a="1"/>
  <c r="AL5" i="3" s="1"/>
  <c r="AK5" i="3" a="1"/>
  <c r="AK5" i="3" s="1"/>
  <c r="AJ5" i="3"/>
  <c r="AI5" i="3" a="1"/>
  <c r="AI5" i="3" s="1"/>
  <c r="AH5" i="3"/>
  <c r="AG5" i="3" a="1"/>
  <c r="AG5" i="3" s="1"/>
  <c r="AF5" i="3"/>
  <c r="AL4" i="3" a="1"/>
  <c r="AL4" i="3" s="1"/>
  <c r="AK4" i="3" a="1"/>
  <c r="AK4" i="3" s="1"/>
  <c r="AJ4" i="3"/>
  <c r="AI4" i="3" a="1"/>
  <c r="AI4" i="3" s="1"/>
  <c r="AH4" i="3"/>
  <c r="AG4" i="3" a="1"/>
  <c r="AG4" i="3" s="1"/>
  <c r="AF4" i="3"/>
  <c r="AL3" i="3" a="1"/>
  <c r="AL3" i="3" s="1"/>
  <c r="AK3" i="3" a="1"/>
  <c r="AK3" i="3" s="1"/>
  <c r="AJ3" i="3"/>
  <c r="AI3" i="3" a="1"/>
  <c r="AI3" i="3" s="1"/>
  <c r="AH3" i="3"/>
  <c r="AG3" i="3" a="1"/>
  <c r="AG3" i="3" s="1"/>
  <c r="AF3" i="3"/>
  <c r="AL2" i="3" a="1"/>
  <c r="AL2" i="3" s="1"/>
  <c r="G3" i="3"/>
  <c r="Z3" i="3" s="1"/>
  <c r="G2" i="3"/>
  <c r="Z2" i="3" s="1"/>
  <c r="G22" i="3"/>
  <c r="Z22" i="3" s="1"/>
  <c r="G7" i="3"/>
  <c r="Z7" i="3" s="1"/>
  <c r="G23" i="3"/>
  <c r="Z23" i="3" s="1"/>
  <c r="G24" i="3"/>
  <c r="Z24" i="3" s="1"/>
  <c r="G6" i="3"/>
  <c r="Z6" i="3" s="1"/>
  <c r="G9" i="3"/>
  <c r="Z9" i="3" s="1"/>
  <c r="G11" i="3"/>
  <c r="Z11" i="3" s="1"/>
  <c r="G4" i="3"/>
  <c r="Z4" i="3" s="1"/>
  <c r="G5" i="3"/>
  <c r="Z5" i="3" s="1"/>
  <c r="G12" i="3"/>
  <c r="Z12" i="3" s="1"/>
  <c r="G31" i="3"/>
  <c r="Z31" i="3" s="1"/>
  <c r="G15" i="3"/>
  <c r="Z15" i="3" s="1"/>
  <c r="G13" i="3"/>
  <c r="Z13" i="3" s="1"/>
  <c r="G25" i="3"/>
  <c r="Z25" i="3" s="1"/>
  <c r="G30" i="3"/>
  <c r="Z30" i="3" s="1"/>
  <c r="G32" i="3"/>
  <c r="Z32" i="3" s="1"/>
  <c r="G17" i="3"/>
  <c r="Z17" i="3" s="1"/>
  <c r="G26" i="3"/>
  <c r="Z26" i="3" s="1"/>
  <c r="G28" i="3"/>
  <c r="Z28" i="3" s="1"/>
  <c r="G33" i="3"/>
  <c r="Z33" i="3" s="1"/>
  <c r="G8" i="3"/>
  <c r="Z8" i="3" s="1"/>
  <c r="G27" i="3"/>
  <c r="Z27" i="3" s="1"/>
  <c r="G10" i="3"/>
  <c r="Z10" i="3" s="1"/>
  <c r="G14" i="3"/>
  <c r="Z14" i="3" s="1"/>
  <c r="G34" i="3"/>
  <c r="Z34" i="3" s="1"/>
  <c r="G16" i="3"/>
  <c r="Z16" i="3" s="1"/>
  <c r="G29" i="3"/>
  <c r="Z29" i="3" s="1"/>
  <c r="G21" i="3"/>
  <c r="Z21" i="3" s="1"/>
  <c r="G18" i="3"/>
  <c r="Z18" i="3" s="1"/>
  <c r="G19" i="3"/>
  <c r="Z19" i="3" s="1"/>
  <c r="G20" i="3"/>
  <c r="Z20" i="3" s="1"/>
  <c r="G2" i="6"/>
  <c r="Z2" i="6" s="1"/>
  <c r="G3" i="6"/>
  <c r="Z3" i="6" s="1"/>
  <c r="G4" i="6"/>
  <c r="Z4" i="6" s="1"/>
  <c r="G5" i="6"/>
  <c r="Z5" i="6" s="1"/>
  <c r="G6" i="6"/>
  <c r="Z6" i="6" s="1"/>
  <c r="G26" i="6"/>
  <c r="Z26" i="6" s="1"/>
  <c r="G7" i="6"/>
  <c r="Z7" i="6" s="1"/>
  <c r="G8" i="6"/>
  <c r="Z8" i="6" s="1"/>
  <c r="G9" i="6"/>
  <c r="Z9" i="6" s="1"/>
  <c r="G27" i="6"/>
  <c r="Z27" i="6" s="1"/>
  <c r="G10" i="6"/>
  <c r="Z10" i="6" s="1"/>
  <c r="G28" i="6"/>
  <c r="Z28" i="6" s="1"/>
  <c r="G29" i="6"/>
  <c r="Z29" i="6" s="1"/>
  <c r="G30" i="6"/>
  <c r="Z30" i="6" s="1"/>
  <c r="G31" i="6"/>
  <c r="Z31" i="6" s="1"/>
  <c r="G32" i="6"/>
  <c r="Z32" i="6" s="1"/>
  <c r="G11" i="6"/>
  <c r="Z11" i="6" s="1"/>
  <c r="G12" i="6"/>
  <c r="Z12" i="6" s="1"/>
  <c r="G33" i="6"/>
  <c r="Z33" i="6" s="1"/>
  <c r="G13" i="6"/>
  <c r="Z13" i="6" s="1"/>
  <c r="G14" i="6"/>
  <c r="Z14" i="6" s="1"/>
  <c r="G34" i="6"/>
  <c r="Z34" i="6" s="1"/>
  <c r="G15" i="6"/>
  <c r="Z15" i="6" s="1"/>
  <c r="G35" i="6"/>
  <c r="Z35" i="6" s="1"/>
  <c r="G36" i="6"/>
  <c r="Z36" i="6" s="1"/>
  <c r="G37" i="6"/>
  <c r="Z37" i="6" s="1"/>
  <c r="G16" i="6"/>
  <c r="Z16" i="6" s="1"/>
  <c r="G17" i="6"/>
  <c r="Z17" i="6" s="1"/>
  <c r="G18" i="6"/>
  <c r="Z18" i="6" s="1"/>
  <c r="G19" i="6"/>
  <c r="Z19" i="6" s="1"/>
  <c r="G38" i="6"/>
  <c r="Z38" i="6" s="1"/>
  <c r="G20" i="6"/>
  <c r="Z20" i="6" s="1"/>
  <c r="G21" i="6"/>
  <c r="Z21" i="6" s="1"/>
  <c r="G39" i="6"/>
  <c r="Z39" i="6" s="1"/>
  <c r="G40" i="6"/>
  <c r="Z40" i="6" s="1"/>
  <c r="G22" i="6"/>
  <c r="Z22" i="6" s="1"/>
  <c r="G23" i="6"/>
  <c r="Z23" i="6" s="1"/>
  <c r="AL15" i="6" a="1"/>
  <c r="AL15" i="6" s="1"/>
  <c r="AK15" i="6" a="1"/>
  <c r="AK15" i="6" s="1"/>
  <c r="AJ15" i="6"/>
  <c r="AI15" i="6" a="1"/>
  <c r="AI15" i="6" s="1"/>
  <c r="AH15" i="6"/>
  <c r="AG15" i="6" a="1"/>
  <c r="AG15" i="6" s="1"/>
  <c r="AF15" i="6"/>
  <c r="AL14" i="6" a="1"/>
  <c r="AL14" i="6" s="1"/>
  <c r="AK14" i="6" a="1"/>
  <c r="AK14" i="6" s="1"/>
  <c r="AJ14" i="6"/>
  <c r="AI14" i="6" a="1"/>
  <c r="AI14" i="6" s="1"/>
  <c r="AH14" i="6"/>
  <c r="AG14" i="6" a="1"/>
  <c r="AG14" i="6" s="1"/>
  <c r="AF14" i="6"/>
  <c r="AL13" i="6" a="1"/>
  <c r="AL13" i="6" s="1"/>
  <c r="AK13" i="6" a="1"/>
  <c r="AK13" i="6" s="1"/>
  <c r="AJ13" i="6"/>
  <c r="AI13" i="6" a="1"/>
  <c r="AI13" i="6" s="1"/>
  <c r="AH13" i="6"/>
  <c r="AG13" i="6" a="1"/>
  <c r="AG13" i="6" s="1"/>
  <c r="AF13" i="6"/>
  <c r="AL12" i="6" a="1"/>
  <c r="AL12" i="6" s="1"/>
  <c r="AK12" i="6" a="1"/>
  <c r="AK12" i="6" s="1"/>
  <c r="AJ12" i="6"/>
  <c r="AI12" i="6" a="1"/>
  <c r="AI12" i="6" s="1"/>
  <c r="AH12" i="6"/>
  <c r="AG12" i="6" a="1"/>
  <c r="AG12" i="6" s="1"/>
  <c r="AF12" i="6"/>
  <c r="AL11" i="6" a="1"/>
  <c r="AL11" i="6" s="1"/>
  <c r="AK11" i="6" a="1"/>
  <c r="AK11" i="6" s="1"/>
  <c r="AJ11" i="6"/>
  <c r="AI11" i="6" a="1"/>
  <c r="AI11" i="6" s="1"/>
  <c r="AH11" i="6"/>
  <c r="AG11" i="6" a="1"/>
  <c r="AG11" i="6" s="1"/>
  <c r="AF11" i="6"/>
  <c r="AL10" i="6" a="1"/>
  <c r="AL10" i="6" s="1"/>
  <c r="AK10" i="6" a="1"/>
  <c r="AK10" i="6" s="1"/>
  <c r="AJ10" i="6"/>
  <c r="AI10" i="6" a="1"/>
  <c r="AI10" i="6" s="1"/>
  <c r="AH10" i="6"/>
  <c r="AG10" i="6" a="1"/>
  <c r="AG10" i="6" s="1"/>
  <c r="AF10" i="6"/>
  <c r="AL9" i="6" a="1"/>
  <c r="AL9" i="6" s="1"/>
  <c r="AL8" i="6" a="1"/>
  <c r="AL8" i="6" s="1"/>
  <c r="AK8" i="6" a="1"/>
  <c r="AK8" i="6" s="1"/>
  <c r="AJ8" i="6"/>
  <c r="AI8" i="6" a="1"/>
  <c r="AI8" i="6" s="1"/>
  <c r="AH8" i="6"/>
  <c r="AG8" i="6" a="1"/>
  <c r="AG8" i="6" s="1"/>
  <c r="AF8" i="6"/>
  <c r="AL7" i="6" a="1"/>
  <c r="AL7" i="6" s="1"/>
  <c r="AK7" i="6" a="1"/>
  <c r="AK7" i="6" s="1"/>
  <c r="AJ7" i="6"/>
  <c r="AI7" i="6" a="1"/>
  <c r="AI7" i="6" s="1"/>
  <c r="AH7" i="6"/>
  <c r="AG7" i="6" a="1"/>
  <c r="AG7" i="6" s="1"/>
  <c r="AF7" i="6"/>
  <c r="AL6" i="6" a="1"/>
  <c r="AL6" i="6" s="1"/>
  <c r="AK6" i="6" a="1"/>
  <c r="AK6" i="6" s="1"/>
  <c r="AJ6" i="6"/>
  <c r="AI6" i="6" a="1"/>
  <c r="AI6" i="6" s="1"/>
  <c r="AH6" i="6"/>
  <c r="AG6" i="6" a="1"/>
  <c r="AG6" i="6" s="1"/>
  <c r="AF6" i="6"/>
  <c r="AL5" i="6" a="1"/>
  <c r="AL5" i="6" s="1"/>
  <c r="AK5" i="6" a="1"/>
  <c r="AK5" i="6" s="1"/>
  <c r="AJ5" i="6"/>
  <c r="AI5" i="6" a="1"/>
  <c r="AI5" i="6" s="1"/>
  <c r="AH5" i="6"/>
  <c r="AG5" i="6" a="1"/>
  <c r="AG5" i="6" s="1"/>
  <c r="AF5" i="6"/>
  <c r="AL4" i="6" a="1"/>
  <c r="AL4" i="6" s="1"/>
  <c r="AK4" i="6" a="1"/>
  <c r="AK4" i="6" s="1"/>
  <c r="AJ4" i="6"/>
  <c r="AI4" i="6" a="1"/>
  <c r="AI4" i="6" s="1"/>
  <c r="AH4" i="6"/>
  <c r="AG4" i="6" a="1"/>
  <c r="AG4" i="6" s="1"/>
  <c r="AF4" i="6"/>
  <c r="AL3" i="6" a="1"/>
  <c r="AL3" i="6" s="1"/>
  <c r="AK3" i="6" a="1"/>
  <c r="AK3" i="6" s="1"/>
  <c r="AJ3" i="6"/>
  <c r="AI3" i="6" a="1"/>
  <c r="AI3" i="6" s="1"/>
  <c r="AH3" i="6"/>
  <c r="AG3" i="6" a="1"/>
  <c r="AG3" i="6" s="1"/>
  <c r="AF3" i="6"/>
  <c r="AL2" i="6" a="1"/>
  <c r="AL2" i="6" s="1"/>
  <c r="AL15" i="7" a="1"/>
  <c r="AL15" i="7" s="1"/>
  <c r="AK15" i="7" a="1"/>
  <c r="AK15" i="7" s="1"/>
  <c r="AJ15" i="7"/>
  <c r="AI15" i="7" a="1"/>
  <c r="AI15" i="7" s="1"/>
  <c r="AH15" i="7"/>
  <c r="AG15" i="7" a="1"/>
  <c r="AG15" i="7" s="1"/>
  <c r="AF15" i="7"/>
  <c r="AL14" i="7" a="1"/>
  <c r="AL14" i="7" s="1"/>
  <c r="AK14" i="7" a="1"/>
  <c r="AK14" i="7" s="1"/>
  <c r="AJ14" i="7"/>
  <c r="AI14" i="7" a="1"/>
  <c r="AI14" i="7" s="1"/>
  <c r="AH14" i="7"/>
  <c r="AG14" i="7" a="1"/>
  <c r="AG14" i="7" s="1"/>
  <c r="AF14" i="7"/>
  <c r="AL13" i="7" a="1"/>
  <c r="AL13" i="7" s="1"/>
  <c r="AK13" i="7" a="1"/>
  <c r="AK13" i="7" s="1"/>
  <c r="AJ13" i="7"/>
  <c r="AI13" i="7" a="1"/>
  <c r="AI13" i="7" s="1"/>
  <c r="AH13" i="7"/>
  <c r="AG13" i="7" a="1"/>
  <c r="AG13" i="7" s="1"/>
  <c r="AF13" i="7"/>
  <c r="AL12" i="7" a="1"/>
  <c r="AL12" i="7" s="1"/>
  <c r="AK12" i="7" a="1"/>
  <c r="AK12" i="7" s="1"/>
  <c r="AJ12" i="7"/>
  <c r="AI12" i="7" a="1"/>
  <c r="AI12" i="7" s="1"/>
  <c r="AH12" i="7"/>
  <c r="AG12" i="7" a="1"/>
  <c r="AG12" i="7" s="1"/>
  <c r="AF12" i="7"/>
  <c r="AL11" i="7" a="1"/>
  <c r="AL11" i="7" s="1"/>
  <c r="AK11" i="7" a="1"/>
  <c r="AK11" i="7" s="1"/>
  <c r="AJ11" i="7"/>
  <c r="AI11" i="7" a="1"/>
  <c r="AI11" i="7" s="1"/>
  <c r="AH11" i="7"/>
  <c r="AG11" i="7" a="1"/>
  <c r="AG11" i="7" s="1"/>
  <c r="AF11" i="7"/>
  <c r="AL10" i="7" a="1"/>
  <c r="AL10" i="7" s="1"/>
  <c r="AK10" i="7" a="1"/>
  <c r="AK10" i="7" s="1"/>
  <c r="AJ10" i="7"/>
  <c r="AI10" i="7" a="1"/>
  <c r="AI10" i="7" s="1"/>
  <c r="AH10" i="7"/>
  <c r="AG10" i="7" a="1"/>
  <c r="AG10" i="7" s="1"/>
  <c r="AF10" i="7"/>
  <c r="AL8" i="7" a="1"/>
  <c r="AL8" i="7" s="1"/>
  <c r="AK8" i="7" a="1"/>
  <c r="AK8" i="7" s="1"/>
  <c r="AJ8" i="7"/>
  <c r="AI8" i="7" a="1"/>
  <c r="AI8" i="7" s="1"/>
  <c r="AH8" i="7"/>
  <c r="AG8" i="7" a="1"/>
  <c r="AG8" i="7" s="1"/>
  <c r="AF8" i="7"/>
  <c r="AL7" i="7" a="1"/>
  <c r="AL7" i="7" s="1"/>
  <c r="AK7" i="7" a="1"/>
  <c r="AK7" i="7" s="1"/>
  <c r="AJ7" i="7"/>
  <c r="AI7" i="7" a="1"/>
  <c r="AI7" i="7" s="1"/>
  <c r="AH7" i="7"/>
  <c r="AG7" i="7" a="1"/>
  <c r="AG7" i="7" s="1"/>
  <c r="AF7" i="7"/>
  <c r="AL6" i="7" a="1"/>
  <c r="AL6" i="7" s="1"/>
  <c r="AK6" i="7" a="1"/>
  <c r="AK6" i="7" s="1"/>
  <c r="AJ6" i="7"/>
  <c r="AI6" i="7" a="1"/>
  <c r="AI6" i="7" s="1"/>
  <c r="AH6" i="7"/>
  <c r="AG6" i="7" a="1"/>
  <c r="AG6" i="7" s="1"/>
  <c r="AF6" i="7"/>
  <c r="AL5" i="7" a="1"/>
  <c r="AL5" i="7" s="1"/>
  <c r="AK5" i="7" a="1"/>
  <c r="AK5" i="7" s="1"/>
  <c r="AJ5" i="7"/>
  <c r="AI5" i="7" a="1"/>
  <c r="AI5" i="7" s="1"/>
  <c r="AH5" i="7"/>
  <c r="AG5" i="7" a="1"/>
  <c r="AG5" i="7" s="1"/>
  <c r="AF5" i="7"/>
  <c r="AL4" i="7" a="1"/>
  <c r="AL4" i="7" s="1"/>
  <c r="AK4" i="7" a="1"/>
  <c r="AK4" i="7" s="1"/>
  <c r="AJ4" i="7"/>
  <c r="AI4" i="7" a="1"/>
  <c r="AI4" i="7" s="1"/>
  <c r="AH4" i="7"/>
  <c r="AG4" i="7" a="1"/>
  <c r="AG4" i="7" s="1"/>
  <c r="AF4" i="7"/>
  <c r="AL3" i="7" a="1"/>
  <c r="AL3" i="7" s="1"/>
  <c r="AK3" i="7" a="1"/>
  <c r="AK3" i="7" s="1"/>
  <c r="AJ3" i="7"/>
  <c r="AI3" i="7" a="1"/>
  <c r="AI3" i="7" s="1"/>
  <c r="AH3" i="7"/>
  <c r="AG3" i="7" a="1"/>
  <c r="AG3" i="7" s="1"/>
  <c r="G17" i="7"/>
  <c r="Z17" i="7" s="1"/>
  <c r="AB17" i="7"/>
  <c r="G18" i="7"/>
  <c r="Z18" i="7" s="1"/>
  <c r="AB18" i="7"/>
  <c r="G19" i="7"/>
  <c r="AB19" i="7"/>
  <c r="G20" i="7"/>
  <c r="Z20" i="7" s="1"/>
  <c r="AB20" i="7"/>
  <c r="G21" i="7"/>
  <c r="Z21" i="7" s="1"/>
  <c r="AB21" i="7"/>
  <c r="G22" i="7"/>
  <c r="Z22" i="7" s="1"/>
  <c r="AB22" i="7"/>
  <c r="G23" i="7"/>
  <c r="Z23" i="7" s="1"/>
  <c r="AB23" i="7"/>
  <c r="G24" i="7"/>
  <c r="Z24" i="7" s="1"/>
  <c r="AB24" i="7"/>
  <c r="G25" i="7"/>
  <c r="Z25" i="7" s="1"/>
  <c r="AB25" i="7"/>
  <c r="G26" i="7"/>
  <c r="Z26" i="7" s="1"/>
  <c r="AB26" i="7"/>
  <c r="G27" i="7"/>
  <c r="Z27" i="7" s="1"/>
  <c r="AB27" i="7"/>
  <c r="G28" i="7"/>
  <c r="Z28" i="7" s="1"/>
  <c r="AB28" i="7"/>
  <c r="G29" i="7"/>
  <c r="Z29" i="7" s="1"/>
  <c r="AB29" i="7"/>
  <c r="G30" i="7"/>
  <c r="Z30" i="7" s="1"/>
  <c r="AB30" i="7"/>
  <c r="G31" i="7"/>
  <c r="Z31" i="7" s="1"/>
  <c r="AB31" i="7"/>
  <c r="G32" i="7"/>
  <c r="Z32" i="7" s="1"/>
  <c r="AB32" i="7"/>
  <c r="G33" i="7"/>
  <c r="Z33" i="7" s="1"/>
  <c r="AB33" i="7"/>
  <c r="G2" i="7"/>
  <c r="AB2" i="7"/>
  <c r="G3" i="7"/>
  <c r="Z3" i="7" s="1"/>
  <c r="AB3" i="7"/>
  <c r="G4" i="7"/>
  <c r="Z4" i="7" s="1"/>
  <c r="AB4" i="7"/>
  <c r="G5" i="7"/>
  <c r="Z5" i="7" s="1"/>
  <c r="AB5" i="7"/>
  <c r="G6" i="7"/>
  <c r="Z6" i="7" s="1"/>
  <c r="AB6" i="7"/>
  <c r="G7" i="7"/>
  <c r="Z7" i="7" s="1"/>
  <c r="AB7" i="7"/>
  <c r="G8" i="7"/>
  <c r="Z8" i="7" s="1"/>
  <c r="AB8" i="7"/>
  <c r="G9" i="7"/>
  <c r="Z9" i="7" s="1"/>
  <c r="AB9" i="7"/>
  <c r="G10" i="7"/>
  <c r="Z10" i="7" s="1"/>
  <c r="AB10" i="7"/>
  <c r="G11" i="7"/>
  <c r="Z11" i="7" s="1"/>
  <c r="AB11" i="7"/>
  <c r="G12" i="7"/>
  <c r="Z12" i="7" s="1"/>
  <c r="AB12" i="7"/>
  <c r="G13" i="7"/>
  <c r="Z13" i="7" s="1"/>
  <c r="AB13" i="7"/>
  <c r="G14" i="7"/>
  <c r="Z14" i="7" s="1"/>
  <c r="AB14" i="7"/>
  <c r="G15" i="7"/>
  <c r="Z15" i="7" s="1"/>
  <c r="AB15" i="7"/>
  <c r="G16" i="7"/>
  <c r="Z16" i="7" s="1"/>
  <c r="AB16" i="7"/>
  <c r="AL15" i="2" a="1"/>
  <c r="AL15" i="2" s="1"/>
  <c r="AK15" i="2" a="1"/>
  <c r="AK15" i="2" s="1"/>
  <c r="AJ15" i="2"/>
  <c r="AI15" i="2" a="1"/>
  <c r="AI15" i="2" s="1"/>
  <c r="AH15" i="2"/>
  <c r="AG15" i="2" a="1"/>
  <c r="AG15" i="2" s="1"/>
  <c r="AF15" i="2"/>
  <c r="AL14" i="2" a="1"/>
  <c r="AL14" i="2" s="1"/>
  <c r="AK14" i="2" a="1"/>
  <c r="AK14" i="2" s="1"/>
  <c r="AJ14" i="2"/>
  <c r="AI14" i="2" a="1"/>
  <c r="AI14" i="2" s="1"/>
  <c r="AH14" i="2"/>
  <c r="AG14" i="2" a="1"/>
  <c r="AG14" i="2" s="1"/>
  <c r="AF14" i="2"/>
  <c r="AL13" i="2" a="1"/>
  <c r="AL13" i="2" s="1"/>
  <c r="AK13" i="2" a="1"/>
  <c r="AK13" i="2" s="1"/>
  <c r="AJ13" i="2"/>
  <c r="AI13" i="2" a="1"/>
  <c r="AI13" i="2" s="1"/>
  <c r="AH13" i="2"/>
  <c r="AG13" i="2" a="1"/>
  <c r="AG13" i="2" s="1"/>
  <c r="AF13" i="2"/>
  <c r="AL12" i="2" a="1"/>
  <c r="AL12" i="2" s="1"/>
  <c r="AK12" i="2" a="1"/>
  <c r="AK12" i="2" s="1"/>
  <c r="AJ12" i="2"/>
  <c r="AI12" i="2" a="1"/>
  <c r="AI12" i="2" s="1"/>
  <c r="AH12" i="2"/>
  <c r="AG12" i="2" a="1"/>
  <c r="AG12" i="2" s="1"/>
  <c r="AF12" i="2"/>
  <c r="AL11" i="2" a="1"/>
  <c r="AL11" i="2" s="1"/>
  <c r="AK11" i="2" a="1"/>
  <c r="AK11" i="2" s="1"/>
  <c r="AJ11" i="2"/>
  <c r="AI11" i="2" a="1"/>
  <c r="AI11" i="2" s="1"/>
  <c r="AH11" i="2"/>
  <c r="AG11" i="2" a="1"/>
  <c r="AG11" i="2" s="1"/>
  <c r="AF11" i="2"/>
  <c r="AL10" i="2" a="1"/>
  <c r="AL10" i="2" s="1"/>
  <c r="AK10" i="2" a="1"/>
  <c r="AK10" i="2" s="1"/>
  <c r="AJ10" i="2"/>
  <c r="AI10" i="2" a="1"/>
  <c r="AI10" i="2" s="1"/>
  <c r="AH10" i="2"/>
  <c r="AG10" i="2" a="1"/>
  <c r="AG10" i="2" s="1"/>
  <c r="AF10" i="2"/>
  <c r="AL8" i="2" a="1"/>
  <c r="AL8" i="2" s="1"/>
  <c r="AK8" i="2" a="1"/>
  <c r="AK8" i="2" s="1"/>
  <c r="AJ8" i="2"/>
  <c r="AI8" i="2" a="1"/>
  <c r="AI8" i="2" s="1"/>
  <c r="AH8" i="2"/>
  <c r="AG8" i="2" a="1"/>
  <c r="AG8" i="2" s="1"/>
  <c r="AF8" i="2"/>
  <c r="AL7" i="2" a="1"/>
  <c r="AL7" i="2" s="1"/>
  <c r="AK7" i="2" a="1"/>
  <c r="AK7" i="2" s="1"/>
  <c r="AJ7" i="2"/>
  <c r="AI7" i="2" a="1"/>
  <c r="AI7" i="2" s="1"/>
  <c r="AH7" i="2"/>
  <c r="AG7" i="2" a="1"/>
  <c r="AG7" i="2" s="1"/>
  <c r="AF7" i="2"/>
  <c r="AL6" i="2" a="1"/>
  <c r="AL6" i="2" s="1"/>
  <c r="AK6" i="2" a="1"/>
  <c r="AK6" i="2" s="1"/>
  <c r="AJ6" i="2"/>
  <c r="AI6" i="2" a="1"/>
  <c r="AI6" i="2" s="1"/>
  <c r="AH6" i="2"/>
  <c r="AG6" i="2" a="1"/>
  <c r="AG6" i="2" s="1"/>
  <c r="AF6" i="2"/>
  <c r="AL5" i="2" a="1"/>
  <c r="AL5" i="2" s="1"/>
  <c r="AK5" i="2" a="1"/>
  <c r="AK5" i="2" s="1"/>
  <c r="AJ5" i="2"/>
  <c r="AI5" i="2" a="1"/>
  <c r="AI5" i="2" s="1"/>
  <c r="AH5" i="2"/>
  <c r="AG5" i="2" a="1"/>
  <c r="AG5" i="2" s="1"/>
  <c r="AF5" i="2"/>
  <c r="AL4" i="2" a="1"/>
  <c r="AL4" i="2" s="1"/>
  <c r="AK4" i="2" a="1"/>
  <c r="AK4" i="2" s="1"/>
  <c r="AJ4" i="2"/>
  <c r="AI4" i="2" a="1"/>
  <c r="AI4" i="2" s="1"/>
  <c r="AH4" i="2"/>
  <c r="AG4" i="2" a="1"/>
  <c r="AG4" i="2" s="1"/>
  <c r="AF4" i="2"/>
  <c r="AL3" i="2" a="1"/>
  <c r="AL3" i="2" s="1"/>
  <c r="AK3" i="2" a="1"/>
  <c r="AK3" i="2" s="1"/>
  <c r="AJ3" i="2"/>
  <c r="AI3" i="2" a="1"/>
  <c r="AI3" i="2" s="1"/>
  <c r="AH3" i="2"/>
  <c r="AG3" i="2" a="1"/>
  <c r="AG3" i="2" s="1"/>
  <c r="AF3" i="2"/>
  <c r="CP2" i="15"/>
  <c r="CQ2" i="15"/>
  <c r="CR2" i="15"/>
  <c r="CS2" i="15"/>
  <c r="CT2" i="15"/>
  <c r="CU2" i="15"/>
  <c r="Z2" i="15"/>
  <c r="Z3" i="15"/>
  <c r="Z4" i="15"/>
  <c r="Z5" i="15"/>
  <c r="Z6" i="15"/>
  <c r="Z7" i="15"/>
  <c r="Z8" i="15"/>
  <c r="Z9" i="15"/>
  <c r="Z10" i="15"/>
  <c r="Z11" i="15"/>
  <c r="Z12" i="15"/>
  <c r="Z13" i="15"/>
  <c r="DA10" i="15" s="1" a="1"/>
  <c r="DA10" i="15" s="1"/>
  <c r="Z14" i="15"/>
  <c r="Z15" i="15"/>
  <c r="Z16" i="15"/>
  <c r="Z17" i="15"/>
  <c r="Z18" i="15"/>
  <c r="Z19" i="15"/>
  <c r="Z20" i="15"/>
  <c r="Z21" i="15"/>
  <c r="Z22" i="15"/>
  <c r="Z23" i="15"/>
  <c r="Z24" i="15"/>
  <c r="Z25" i="15"/>
  <c r="DA4" i="15" s="1" a="1"/>
  <c r="DA4" i="15" s="1"/>
  <c r="Z26" i="15"/>
  <c r="Z27" i="15"/>
  <c r="Z28" i="15"/>
  <c r="Z29" i="15"/>
  <c r="Z30" i="15"/>
  <c r="Z31" i="15"/>
  <c r="Z32" i="15"/>
  <c r="Z33" i="15"/>
  <c r="Z34" i="15"/>
  <c r="Z35" i="15"/>
  <c r="Z36" i="15"/>
  <c r="Z37" i="15"/>
  <c r="Z38" i="15"/>
  <c r="X2" i="15"/>
  <c r="Y2" i="15"/>
  <c r="X3" i="15"/>
  <c r="Y3" i="15"/>
  <c r="X4" i="15"/>
  <c r="Y4" i="15"/>
  <c r="X5" i="15"/>
  <c r="Y5" i="15"/>
  <c r="X6" i="15"/>
  <c r="Y6" i="15"/>
  <c r="X7" i="15"/>
  <c r="Y7" i="15"/>
  <c r="DA3" i="15" s="1" a="1"/>
  <c r="DA3" i="15" s="1"/>
  <c r="X8" i="15"/>
  <c r="Y8" i="15"/>
  <c r="X9" i="15"/>
  <c r="Y9" i="15"/>
  <c r="X10" i="15"/>
  <c r="Y10" i="15"/>
  <c r="X11" i="15"/>
  <c r="Y11" i="15"/>
  <c r="X12" i="15"/>
  <c r="Y12" i="15"/>
  <c r="X13" i="15"/>
  <c r="Y13" i="15"/>
  <c r="DA9" i="15" s="1" a="1"/>
  <c r="DA9" i="15" s="1"/>
  <c r="X14" i="15"/>
  <c r="Y14" i="15"/>
  <c r="X15" i="15"/>
  <c r="Y15" i="15"/>
  <c r="X16" i="15"/>
  <c r="Y16" i="15"/>
  <c r="X17" i="15"/>
  <c r="Y17" i="15"/>
  <c r="X18" i="15"/>
  <c r="Y18" i="15"/>
  <c r="X19" i="15"/>
  <c r="Y19" i="15"/>
  <c r="X20" i="15"/>
  <c r="Y20" i="15"/>
  <c r="X21" i="15"/>
  <c r="Y21" i="15"/>
  <c r="X22" i="15"/>
  <c r="Y22" i="15"/>
  <c r="X23" i="15"/>
  <c r="Y23" i="15"/>
  <c r="X24" i="15"/>
  <c r="Y24" i="15"/>
  <c r="X25" i="15"/>
  <c r="Y25" i="15"/>
  <c r="X26" i="15"/>
  <c r="Y26" i="15"/>
  <c r="X27" i="15"/>
  <c r="Y27" i="15"/>
  <c r="X28" i="15"/>
  <c r="Y28" i="15"/>
  <c r="X29" i="15"/>
  <c r="Y29" i="15"/>
  <c r="X30" i="15"/>
  <c r="Y30" i="15"/>
  <c r="X31" i="15"/>
  <c r="Y31" i="15"/>
  <c r="X32" i="15"/>
  <c r="Y32" i="15"/>
  <c r="X33" i="15"/>
  <c r="Y33" i="15"/>
  <c r="X34" i="15"/>
  <c r="Y34" i="15"/>
  <c r="X35" i="15"/>
  <c r="Y35" i="15"/>
  <c r="X36" i="15"/>
  <c r="Y36" i="15"/>
  <c r="X37" i="15"/>
  <c r="Y37" i="15"/>
  <c r="X38" i="15"/>
  <c r="Y38" i="15"/>
  <c r="X39" i="15"/>
  <c r="Y39" i="15"/>
  <c r="X40" i="15"/>
  <c r="Y40" i="15"/>
  <c r="X41" i="15"/>
  <c r="Y41" i="15"/>
  <c r="X42" i="15"/>
  <c r="Y42" i="15"/>
  <c r="X43" i="15"/>
  <c r="Y43" i="15"/>
  <c r="X44" i="15"/>
  <c r="Y44" i="15"/>
  <c r="X45" i="15"/>
  <c r="Y45" i="15"/>
  <c r="X46" i="15"/>
  <c r="Y46" i="15"/>
  <c r="X47" i="15"/>
  <c r="Y47" i="15"/>
  <c r="CY9" i="15" a="1"/>
  <c r="CY9" i="15" s="1"/>
  <c r="DA8" i="15" a="1"/>
  <c r="DA8" i="15" s="1"/>
  <c r="CZ8" i="15" a="1"/>
  <c r="CZ8" i="15" s="1"/>
  <c r="CY8" i="15" a="1"/>
  <c r="CY8" i="15" s="1"/>
  <c r="DA2" i="15" a="1"/>
  <c r="DA2" i="15" s="1"/>
  <c r="CZ2" i="15" a="1"/>
  <c r="CZ2" i="15" s="1"/>
  <c r="CY2" i="15" a="1"/>
  <c r="CY2" i="15" s="1"/>
  <c r="R2" i="14"/>
  <c r="S2" i="14"/>
  <c r="T2" i="14"/>
  <c r="R3" i="14"/>
  <c r="S3" i="14"/>
  <c r="T3" i="14"/>
  <c r="R4" i="14"/>
  <c r="S4" i="14"/>
  <c r="T4" i="14"/>
  <c r="R5" i="14"/>
  <c r="S5" i="14"/>
  <c r="T5" i="14"/>
  <c r="R6" i="14"/>
  <c r="S6" i="14"/>
  <c r="T6" i="14"/>
  <c r="R7" i="14"/>
  <c r="S7" i="14"/>
  <c r="T7" i="14"/>
  <c r="R8" i="14"/>
  <c r="S8" i="14"/>
  <c r="T8" i="14"/>
  <c r="R9" i="14"/>
  <c r="S9" i="14"/>
  <c r="T9" i="14"/>
  <c r="R10" i="14"/>
  <c r="S10" i="14"/>
  <c r="T10" i="14"/>
  <c r="R11" i="14"/>
  <c r="S11" i="14"/>
  <c r="T11" i="14"/>
  <c r="R12" i="14"/>
  <c r="S12" i="14"/>
  <c r="T12" i="14"/>
  <c r="R13" i="14"/>
  <c r="S13" i="14"/>
  <c r="T13" i="14"/>
  <c r="R14" i="14"/>
  <c r="S14" i="14"/>
  <c r="T14" i="14"/>
  <c r="R15" i="14"/>
  <c r="S15" i="14"/>
  <c r="T15" i="14"/>
  <c r="R16" i="14"/>
  <c r="S16" i="14"/>
  <c r="T16" i="14"/>
  <c r="R17" i="14"/>
  <c r="S17" i="14"/>
  <c r="T17" i="14"/>
  <c r="R18" i="14"/>
  <c r="S18" i="14"/>
  <c r="T18" i="14"/>
  <c r="R19" i="14"/>
  <c r="S19" i="14"/>
  <c r="T19" i="14"/>
  <c r="R20" i="14"/>
  <c r="S20" i="14"/>
  <c r="T20" i="14"/>
  <c r="R21" i="14"/>
  <c r="S21" i="14"/>
  <c r="T21" i="14"/>
  <c r="R22" i="14"/>
  <c r="S22" i="14"/>
  <c r="T22" i="14"/>
  <c r="R23" i="14"/>
  <c r="S23" i="14"/>
  <c r="T23" i="14"/>
  <c r="R24" i="14"/>
  <c r="S24" i="14"/>
  <c r="T24" i="14"/>
  <c r="R25" i="14"/>
  <c r="S25" i="14"/>
  <c r="T25" i="14"/>
  <c r="R26" i="14"/>
  <c r="S26" i="14"/>
  <c r="T26" i="14"/>
  <c r="R27" i="14"/>
  <c r="S27" i="14"/>
  <c r="T27" i="14"/>
  <c r="R28" i="14"/>
  <c r="S28" i="14"/>
  <c r="T28" i="14"/>
  <c r="R29" i="14"/>
  <c r="S29" i="14"/>
  <c r="T29" i="14"/>
  <c r="R30" i="14"/>
  <c r="S30" i="14"/>
  <c r="T30" i="14"/>
  <c r="R31" i="14"/>
  <c r="S31" i="14"/>
  <c r="T31" i="14"/>
  <c r="R32" i="14"/>
  <c r="S32" i="14"/>
  <c r="T32" i="14"/>
  <c r="R33" i="14"/>
  <c r="S33" i="14"/>
  <c r="T33" i="14"/>
  <c r="R34" i="14"/>
  <c r="S34" i="14"/>
  <c r="T34" i="14"/>
  <c r="R35" i="14"/>
  <c r="S35" i="14"/>
  <c r="T35" i="14"/>
  <c r="R36" i="14"/>
  <c r="S36" i="14"/>
  <c r="T36" i="14"/>
  <c r="R37" i="14"/>
  <c r="S37" i="14"/>
  <c r="T37" i="14"/>
  <c r="R38" i="14"/>
  <c r="S38" i="14"/>
  <c r="T38" i="14"/>
  <c r="AA28" i="6" l="1"/>
  <c r="AA32" i="6"/>
  <c r="AA35" i="6"/>
  <c r="AL2" i="7" a="1"/>
  <c r="AL2" i="7" s="1"/>
  <c r="AL9" i="7" a="1"/>
  <c r="AL9" i="7" s="1"/>
  <c r="AJ2" i="7"/>
  <c r="AJ9" i="7"/>
  <c r="AK9" i="7" a="1"/>
  <c r="AK9" i="7" s="1"/>
  <c r="AK2" i="7" a="1"/>
  <c r="AK2" i="7" s="1"/>
  <c r="AF9" i="3"/>
  <c r="AF2" i="3"/>
  <c r="AA26" i="3"/>
  <c r="AK9" i="3" a="1"/>
  <c r="AK9" i="3" s="1"/>
  <c r="AJ2" i="3"/>
  <c r="AK2" i="3" a="1"/>
  <c r="AK2" i="3" s="1"/>
  <c r="AJ9" i="3"/>
  <c r="AG9" i="3" a="1"/>
  <c r="AG9" i="3" s="1"/>
  <c r="AG2" i="3" a="1"/>
  <c r="AG2" i="3" s="1"/>
  <c r="AA9" i="3"/>
  <c r="AA7" i="3"/>
  <c r="AA19" i="3"/>
  <c r="AA16" i="3"/>
  <c r="AA27" i="3"/>
  <c r="AA25" i="3"/>
  <c r="AA12" i="3"/>
  <c r="AA18" i="3"/>
  <c r="AA34" i="3"/>
  <c r="AA8" i="3"/>
  <c r="AA17" i="3"/>
  <c r="AA13" i="3"/>
  <c r="AA5" i="3"/>
  <c r="AA6" i="3"/>
  <c r="AA22" i="3"/>
  <c r="AA21" i="3"/>
  <c r="AA14" i="3"/>
  <c r="AA33" i="3"/>
  <c r="AA32" i="3"/>
  <c r="AA15" i="3"/>
  <c r="AA4" i="3"/>
  <c r="AA24" i="3"/>
  <c r="AA2" i="3"/>
  <c r="AA20" i="3"/>
  <c r="AA29" i="3"/>
  <c r="AA10" i="3"/>
  <c r="AA28" i="3"/>
  <c r="AA30" i="3"/>
  <c r="AA31" i="3"/>
  <c r="AA11" i="3"/>
  <c r="AA23" i="3"/>
  <c r="AA3" i="3"/>
  <c r="AA17" i="6"/>
  <c r="AA22" i="6"/>
  <c r="AA8" i="6"/>
  <c r="AA5" i="6"/>
  <c r="AA20" i="6"/>
  <c r="AA13" i="6"/>
  <c r="AF9" i="6"/>
  <c r="AA40" i="6"/>
  <c r="AA38" i="6"/>
  <c r="AA16" i="6"/>
  <c r="AA15" i="6"/>
  <c r="AA33" i="6"/>
  <c r="AA31" i="6"/>
  <c r="AA10" i="6"/>
  <c r="AA7" i="6"/>
  <c r="AA4" i="6"/>
  <c r="AA39" i="6"/>
  <c r="AA19" i="6"/>
  <c r="AA37" i="6"/>
  <c r="AA34" i="6"/>
  <c r="AA12" i="6"/>
  <c r="AA30" i="6"/>
  <c r="AA27" i="6"/>
  <c r="AA26" i="6"/>
  <c r="AA3" i="6"/>
  <c r="AA23" i="6"/>
  <c r="AA21" i="6"/>
  <c r="AA18" i="6"/>
  <c r="AA36" i="6"/>
  <c r="AA14" i="6"/>
  <c r="AA11" i="6"/>
  <c r="AA29" i="6"/>
  <c r="AA9" i="6"/>
  <c r="AA6" i="6"/>
  <c r="AA2" i="6"/>
  <c r="AJ9" i="6"/>
  <c r="AA14" i="7"/>
  <c r="AA11" i="7"/>
  <c r="AA8" i="7"/>
  <c r="AA5" i="7"/>
  <c r="AA2" i="7"/>
  <c r="AA31" i="7"/>
  <c r="AA28" i="7"/>
  <c r="AA25" i="7"/>
  <c r="AA22" i="7"/>
  <c r="AA19" i="7"/>
  <c r="Z2" i="7"/>
  <c r="AF2" i="7" s="1"/>
  <c r="Z19" i="7"/>
  <c r="AF9" i="7" s="1"/>
  <c r="AA16" i="7"/>
  <c r="AA13" i="7"/>
  <c r="AA10" i="7"/>
  <c r="AA7" i="7"/>
  <c r="AA4" i="7"/>
  <c r="AA33" i="7"/>
  <c r="AA30" i="7"/>
  <c r="AA27" i="7"/>
  <c r="AA24" i="7"/>
  <c r="AA21" i="7"/>
  <c r="AA18" i="7"/>
  <c r="AA15" i="7"/>
  <c r="AA12" i="7"/>
  <c r="AA9" i="7"/>
  <c r="AA6" i="7"/>
  <c r="AA3" i="7"/>
  <c r="AA32" i="7"/>
  <c r="AA29" i="7"/>
  <c r="AA26" i="7"/>
  <c r="AA23" i="7"/>
  <c r="AA20" i="7"/>
  <c r="AA17" i="7"/>
  <c r="CZ9" i="15" a="1"/>
  <c r="CZ9" i="15" s="1"/>
  <c r="CY3" i="15" a="1"/>
  <c r="CY3" i="15" s="1"/>
  <c r="CZ3" i="15" a="1"/>
  <c r="CZ3" i="15" s="1"/>
  <c r="CY4" i="15" a="1"/>
  <c r="CY4" i="15" s="1"/>
  <c r="CY10" i="15" a="1"/>
  <c r="CY10" i="15" s="1"/>
  <c r="CZ4" i="15" a="1"/>
  <c r="CZ4" i="15" s="1"/>
  <c r="CZ10" i="15" a="1"/>
  <c r="CZ10" i="15" s="1"/>
  <c r="AI2" i="3" l="1" a="1"/>
  <c r="AI2" i="3" s="1"/>
  <c r="AH9" i="6"/>
  <c r="AH9" i="7"/>
  <c r="AH2" i="7"/>
  <c r="AI2" i="7" a="1"/>
  <c r="AI2" i="7" s="1"/>
  <c r="AG2" i="7" a="1"/>
  <c r="AG2" i="7" s="1"/>
  <c r="AI9" i="7" a="1"/>
  <c r="AI9" i="7" s="1"/>
  <c r="AG9" i="7" a="1"/>
  <c r="AG9" i="7" s="1"/>
  <c r="AH9" i="3"/>
  <c r="AI9" i="3" a="1"/>
  <c r="AI9" i="3" s="1"/>
  <c r="AH2" i="3"/>
  <c r="AC13" i="14" a="1"/>
  <c r="AC13" i="14" s="1"/>
  <c r="AC12" i="14" a="1"/>
  <c r="AC12" i="14" s="1"/>
  <c r="AC11" i="14" a="1"/>
  <c r="AC11" i="14" s="1"/>
  <c r="AC10" i="14" a="1"/>
  <c r="AC10" i="14" s="1"/>
  <c r="AB10" i="14" a="1"/>
  <c r="AB10" i="14" s="1"/>
  <c r="AA10" i="14" a="1"/>
  <c r="AA10" i="14" s="1"/>
  <c r="AC9" i="14" a="1"/>
  <c r="AC9" i="14" s="1"/>
  <c r="AB9" i="14" a="1"/>
  <c r="AB9" i="14" s="1"/>
  <c r="AA9" i="14" a="1"/>
  <c r="AA9" i="14" s="1"/>
  <c r="AC8" i="14" a="1"/>
  <c r="AC8" i="14" s="1"/>
  <c r="AB8" i="14" a="1"/>
  <c r="AB8" i="14" s="1"/>
  <c r="AA8" i="14" a="1"/>
  <c r="AA8" i="14" s="1"/>
  <c r="AC7" i="14" a="1"/>
  <c r="AC7" i="14" s="1"/>
  <c r="AC6" i="14" a="1"/>
  <c r="AC6" i="14" s="1"/>
  <c r="AC5" i="14" a="1"/>
  <c r="AC5" i="14" s="1"/>
  <c r="AC4" i="14" a="1"/>
  <c r="AC4" i="14" s="1"/>
  <c r="AB4" i="14" a="1"/>
  <c r="AB4" i="14" s="1"/>
  <c r="AA4" i="14" a="1"/>
  <c r="AA4" i="14" s="1"/>
  <c r="AC3" i="14" a="1"/>
  <c r="AC3" i="14" s="1"/>
  <c r="AB3" i="14" a="1"/>
  <c r="AB3" i="14" s="1"/>
  <c r="AA3" i="14" a="1"/>
  <c r="AA3" i="14" s="1"/>
  <c r="AC2" i="14" a="1"/>
  <c r="AC2" i="14" s="1"/>
  <c r="AB2" i="14" a="1"/>
  <c r="AB2" i="14" s="1"/>
  <c r="AA2" i="14" a="1"/>
  <c r="AA2" i="14" s="1"/>
  <c r="E46" i="14" a="1"/>
  <c r="E46" i="14" s="1"/>
  <c r="F46" i="14" s="1" a="1"/>
  <c r="F46" i="14" s="1"/>
  <c r="E45" i="14" a="1"/>
  <c r="E45" i="14" s="1"/>
  <c r="F45" i="14" s="1" a="1"/>
  <c r="F45" i="14" s="1"/>
  <c r="R2" i="13"/>
  <c r="S2" i="13"/>
  <c r="T2" i="13"/>
  <c r="R3" i="13"/>
  <c r="S3" i="13"/>
  <c r="T3" i="13"/>
  <c r="R4" i="13"/>
  <c r="S4" i="13"/>
  <c r="T4" i="13"/>
  <c r="R5" i="13"/>
  <c r="S5" i="13"/>
  <c r="T5" i="13"/>
  <c r="R6" i="13"/>
  <c r="S6" i="13"/>
  <c r="T6" i="13"/>
  <c r="R7" i="13"/>
  <c r="S7" i="13"/>
  <c r="T7" i="13"/>
  <c r="R8" i="13"/>
  <c r="S8" i="13"/>
  <c r="T8" i="13"/>
  <c r="R9" i="13"/>
  <c r="S9" i="13"/>
  <c r="T9" i="13"/>
  <c r="R10" i="13"/>
  <c r="S10" i="13"/>
  <c r="T10" i="13"/>
  <c r="R11" i="13"/>
  <c r="S11" i="13"/>
  <c r="T11" i="13"/>
  <c r="R12" i="13"/>
  <c r="S12" i="13"/>
  <c r="T12" i="13"/>
  <c r="R13" i="13"/>
  <c r="S13" i="13"/>
  <c r="T13" i="13"/>
  <c r="R14" i="13"/>
  <c r="S14" i="13"/>
  <c r="T14" i="13"/>
  <c r="R15" i="13"/>
  <c r="S15" i="13"/>
  <c r="T15" i="13"/>
  <c r="R16" i="13"/>
  <c r="S16" i="13"/>
  <c r="T16" i="13"/>
  <c r="R17" i="13"/>
  <c r="S17" i="13"/>
  <c r="T17" i="13"/>
  <c r="R18" i="13"/>
  <c r="S18" i="13"/>
  <c r="T18" i="13"/>
  <c r="R19" i="13"/>
  <c r="S19" i="13"/>
  <c r="T19" i="13"/>
  <c r="R20" i="13"/>
  <c r="S20" i="13"/>
  <c r="T20" i="13"/>
  <c r="R21" i="13"/>
  <c r="S21" i="13"/>
  <c r="T21" i="13"/>
  <c r="R22" i="13"/>
  <c r="S22" i="13"/>
  <c r="T22" i="13"/>
  <c r="R23" i="13"/>
  <c r="S23" i="13"/>
  <c r="T23" i="13"/>
  <c r="R24" i="13"/>
  <c r="S24" i="13"/>
  <c r="T24" i="13"/>
  <c r="R25" i="13"/>
  <c r="S25" i="13"/>
  <c r="T25" i="13"/>
  <c r="R26" i="13"/>
  <c r="S26" i="13"/>
  <c r="T26" i="13"/>
  <c r="R27" i="13"/>
  <c r="S27" i="13"/>
  <c r="T27" i="13"/>
  <c r="R28" i="13"/>
  <c r="S28" i="13"/>
  <c r="T28" i="13"/>
  <c r="R29" i="13"/>
  <c r="S29" i="13"/>
  <c r="T29" i="13"/>
  <c r="R30" i="13"/>
  <c r="S30" i="13"/>
  <c r="T30" i="13"/>
  <c r="R31" i="13"/>
  <c r="S31" i="13"/>
  <c r="T31" i="13"/>
  <c r="R32" i="13"/>
  <c r="S32" i="13"/>
  <c r="T32" i="13"/>
  <c r="R33" i="13"/>
  <c r="S33" i="13"/>
  <c r="T33" i="13"/>
  <c r="R34" i="13"/>
  <c r="S34" i="13"/>
  <c r="T34" i="13"/>
  <c r="R35" i="13"/>
  <c r="S35" i="13"/>
  <c r="T35" i="13"/>
  <c r="R36" i="13"/>
  <c r="S36" i="13"/>
  <c r="T36" i="13"/>
  <c r="R37" i="13"/>
  <c r="S37" i="13"/>
  <c r="T37" i="13"/>
  <c r="R38" i="13"/>
  <c r="S38" i="13"/>
  <c r="T38" i="13"/>
  <c r="R39" i="13"/>
  <c r="S39" i="13"/>
  <c r="T39" i="13"/>
  <c r="R40" i="13"/>
  <c r="S40" i="13"/>
  <c r="T40" i="13"/>
  <c r="R41" i="13"/>
  <c r="S41" i="13"/>
  <c r="T41" i="13"/>
  <c r="R42" i="13"/>
  <c r="S42" i="13"/>
  <c r="T42" i="13"/>
  <c r="R43" i="13"/>
  <c r="S43" i="13"/>
  <c r="T43" i="13"/>
  <c r="R44" i="13"/>
  <c r="S44" i="13"/>
  <c r="T44" i="13"/>
  <c r="AC10" i="13" a="1"/>
  <c r="AC10" i="13" s="1"/>
  <c r="AB10" i="13" a="1"/>
  <c r="AB10" i="13" s="1"/>
  <c r="AA10" i="13" a="1"/>
  <c r="AA10" i="13" s="1"/>
  <c r="AC9" i="13" a="1"/>
  <c r="AC9" i="13" s="1"/>
  <c r="AB9" i="13" a="1"/>
  <c r="AB9" i="13" s="1"/>
  <c r="AA9" i="13" a="1"/>
  <c r="AA9" i="13" s="1"/>
  <c r="AC8" i="13" a="1"/>
  <c r="AC8" i="13" s="1"/>
  <c r="AB8" i="13" a="1"/>
  <c r="AB8" i="13" s="1"/>
  <c r="AA8" i="13" a="1"/>
  <c r="AA8" i="13" s="1"/>
  <c r="AC4" i="13" a="1"/>
  <c r="AC4" i="13" s="1"/>
  <c r="AB4" i="13" a="1"/>
  <c r="AB4" i="13" s="1"/>
  <c r="AA4" i="13" a="1"/>
  <c r="AA4" i="13" s="1"/>
  <c r="AC3" i="13" a="1"/>
  <c r="AC3" i="13" s="1"/>
  <c r="AB3" i="13" a="1"/>
  <c r="AB3" i="13" s="1"/>
  <c r="AA3" i="13" a="1"/>
  <c r="AA3" i="13" s="1"/>
  <c r="AC2" i="13" a="1"/>
  <c r="AC2" i="13" s="1"/>
  <c r="AB2" i="13" a="1"/>
  <c r="AB2" i="13" s="1"/>
  <c r="AA2" i="13" a="1"/>
  <c r="AA2" i="13" s="1"/>
  <c r="R2" i="12"/>
  <c r="S2" i="12"/>
  <c r="T2" i="12"/>
  <c r="R3" i="12"/>
  <c r="S3" i="12"/>
  <c r="T3" i="12"/>
  <c r="R4" i="12"/>
  <c r="S4" i="12"/>
  <c r="T4" i="12"/>
  <c r="R5" i="12"/>
  <c r="S5" i="12"/>
  <c r="T5" i="12"/>
  <c r="R6" i="12"/>
  <c r="S6" i="12"/>
  <c r="T6" i="12"/>
  <c r="R7" i="12"/>
  <c r="S7" i="12"/>
  <c r="T7" i="12"/>
  <c r="R8" i="12"/>
  <c r="S8" i="12"/>
  <c r="T8" i="12"/>
  <c r="R9" i="12"/>
  <c r="S9" i="12"/>
  <c r="T9" i="12"/>
  <c r="R10" i="12"/>
  <c r="S10" i="12"/>
  <c r="T10" i="12"/>
  <c r="R11" i="12"/>
  <c r="S11" i="12"/>
  <c r="T11" i="12"/>
  <c r="R12" i="12"/>
  <c r="S12" i="12"/>
  <c r="T12" i="12"/>
  <c r="R13" i="12"/>
  <c r="S13" i="12"/>
  <c r="T13" i="12"/>
  <c r="R14" i="12"/>
  <c r="S14" i="12"/>
  <c r="T14" i="12"/>
  <c r="R15" i="12"/>
  <c r="S15" i="12"/>
  <c r="T15" i="12"/>
  <c r="R16" i="12"/>
  <c r="S16" i="12"/>
  <c r="T16" i="12"/>
  <c r="R17" i="12"/>
  <c r="S17" i="12"/>
  <c r="T17" i="12"/>
  <c r="R18" i="12"/>
  <c r="S18" i="12"/>
  <c r="T18" i="12"/>
  <c r="R19" i="12"/>
  <c r="S19" i="12"/>
  <c r="T19" i="12"/>
  <c r="R20" i="12"/>
  <c r="S20" i="12"/>
  <c r="T20" i="12"/>
  <c r="R21" i="12"/>
  <c r="S21" i="12"/>
  <c r="T21" i="12"/>
  <c r="R22" i="12"/>
  <c r="S22" i="12"/>
  <c r="T22" i="12"/>
  <c r="R23" i="12"/>
  <c r="S23" i="12"/>
  <c r="T23" i="12"/>
  <c r="R24" i="12"/>
  <c r="S24" i="12"/>
  <c r="T24" i="12"/>
  <c r="R25" i="12"/>
  <c r="S25" i="12"/>
  <c r="T25" i="12"/>
  <c r="R26" i="12"/>
  <c r="S26" i="12"/>
  <c r="T26" i="12"/>
  <c r="R27" i="12"/>
  <c r="S27" i="12"/>
  <c r="T27" i="12"/>
  <c r="R28" i="12"/>
  <c r="S28" i="12"/>
  <c r="T28" i="12"/>
  <c r="R29" i="12"/>
  <c r="S29" i="12"/>
  <c r="T29" i="12"/>
  <c r="R30" i="12"/>
  <c r="S30" i="12"/>
  <c r="T30" i="12"/>
  <c r="R31" i="12"/>
  <c r="S31" i="12"/>
  <c r="T31" i="12"/>
  <c r="R32" i="12"/>
  <c r="S32" i="12"/>
  <c r="T32" i="12"/>
  <c r="R33" i="12"/>
  <c r="S33" i="12"/>
  <c r="T33" i="12"/>
  <c r="R34" i="12"/>
  <c r="S34" i="12"/>
  <c r="T34" i="12"/>
  <c r="R35" i="12"/>
  <c r="S35" i="12"/>
  <c r="T35" i="12"/>
  <c r="R36" i="12"/>
  <c r="S36" i="12"/>
  <c r="T36" i="12"/>
  <c r="R37" i="12"/>
  <c r="S37" i="12"/>
  <c r="T37" i="12"/>
  <c r="R38" i="12"/>
  <c r="S38" i="12"/>
  <c r="T38" i="12"/>
  <c r="R39" i="12"/>
  <c r="S39" i="12"/>
  <c r="T39" i="12"/>
  <c r="R40" i="12"/>
  <c r="S40" i="12"/>
  <c r="T40" i="12"/>
  <c r="R41" i="12"/>
  <c r="S41" i="12"/>
  <c r="T41" i="12"/>
  <c r="R42" i="12"/>
  <c r="S42" i="12"/>
  <c r="T42" i="12"/>
  <c r="R43" i="12"/>
  <c r="S43" i="12"/>
  <c r="T43" i="12"/>
  <c r="R44" i="12"/>
  <c r="S44" i="12"/>
  <c r="T44" i="12"/>
  <c r="R45" i="12"/>
  <c r="S45" i="12"/>
  <c r="T45" i="12"/>
  <c r="R46" i="12"/>
  <c r="S46" i="12"/>
  <c r="T46" i="12"/>
  <c r="R47" i="12"/>
  <c r="S47" i="12"/>
  <c r="T47" i="12"/>
  <c r="AC10" i="12" a="1"/>
  <c r="AC10" i="12" s="1"/>
  <c r="AB10" i="12" a="1"/>
  <c r="AB10" i="12" s="1"/>
  <c r="AA10" i="12" a="1"/>
  <c r="AA10" i="12" s="1"/>
  <c r="AC9" i="12" a="1"/>
  <c r="AC9" i="12" s="1"/>
  <c r="AB9" i="12" a="1"/>
  <c r="AB9" i="12" s="1"/>
  <c r="AA9" i="12" a="1"/>
  <c r="AA9" i="12" s="1"/>
  <c r="AC8" i="12" a="1"/>
  <c r="AC8" i="12" s="1"/>
  <c r="AB8" i="12" a="1"/>
  <c r="AB8" i="12" s="1"/>
  <c r="AA8" i="12" a="1"/>
  <c r="AA8" i="12" s="1"/>
  <c r="AC4" i="12" a="1"/>
  <c r="AC4" i="12" s="1"/>
  <c r="AB4" i="12" a="1"/>
  <c r="AB4" i="12" s="1"/>
  <c r="AA4" i="12" a="1"/>
  <c r="AA4" i="12" s="1"/>
  <c r="AC3" i="12" a="1"/>
  <c r="AC3" i="12" s="1"/>
  <c r="AB3" i="12" a="1"/>
  <c r="AB3" i="12" s="1"/>
  <c r="AA3" i="12" a="1"/>
  <c r="AA3" i="12" s="1"/>
  <c r="AC2" i="12" a="1"/>
  <c r="AC2" i="12" s="1"/>
  <c r="AB2" i="12" a="1"/>
  <c r="AB2" i="12" s="1"/>
  <c r="AA2" i="12" a="1"/>
  <c r="AA2" i="12" s="1"/>
  <c r="AC10" i="11" a="1"/>
  <c r="AC10" i="11" s="1"/>
  <c r="AB10" i="11" a="1"/>
  <c r="AB10" i="11" s="1"/>
  <c r="AA10" i="11" a="1"/>
  <c r="AA10" i="11" s="1"/>
  <c r="AC9" i="11" a="1"/>
  <c r="AC9" i="11" s="1"/>
  <c r="AB9" i="11" a="1"/>
  <c r="AB9" i="11" s="1"/>
  <c r="AA9" i="11" a="1"/>
  <c r="AA9" i="11" s="1"/>
  <c r="AC8" i="11" a="1"/>
  <c r="AC8" i="11" s="1"/>
  <c r="AB8" i="11" a="1"/>
  <c r="AB8" i="11" s="1"/>
  <c r="AA8" i="11" a="1"/>
  <c r="AA8" i="11" s="1"/>
  <c r="AC4" i="11" a="1"/>
  <c r="AC4" i="11" s="1"/>
  <c r="AB4" i="11" a="1"/>
  <c r="AB4" i="11" s="1"/>
  <c r="AA4" i="11" a="1"/>
  <c r="AA4" i="11" s="1"/>
  <c r="AC3" i="11" a="1"/>
  <c r="AC3" i="11" s="1"/>
  <c r="AB3" i="11" a="1"/>
  <c r="AB3" i="11" s="1"/>
  <c r="AA3" i="11" a="1"/>
  <c r="AA3" i="11" s="1"/>
  <c r="AC2" i="11" a="1"/>
  <c r="AC2" i="11" s="1"/>
  <c r="AB2" i="11" a="1"/>
  <c r="AB2" i="11" s="1"/>
  <c r="AA2" i="11" a="1"/>
  <c r="AA2" i="11" s="1"/>
  <c r="R2" i="11"/>
  <c r="AC5" i="11" s="1" a="1"/>
  <c r="AC5" i="11" s="1"/>
  <c r="S2" i="11"/>
  <c r="AC6" i="11" s="1" a="1"/>
  <c r="AC6" i="11" s="1"/>
  <c r="T2" i="11"/>
  <c r="AC7" i="11" s="1" a="1"/>
  <c r="AC7" i="11" s="1"/>
  <c r="R3" i="11"/>
  <c r="S3" i="11"/>
  <c r="T3" i="11"/>
  <c r="R4" i="11"/>
  <c r="S4" i="11"/>
  <c r="T4" i="11"/>
  <c r="R5" i="11"/>
  <c r="S5" i="11"/>
  <c r="T5" i="11"/>
  <c r="R6" i="11"/>
  <c r="S6" i="11"/>
  <c r="T6" i="11"/>
  <c r="R7" i="11"/>
  <c r="S7" i="11"/>
  <c r="T7" i="11"/>
  <c r="R8" i="11"/>
  <c r="S8" i="11"/>
  <c r="AC12" i="11" s="1" a="1"/>
  <c r="AC12" i="11" s="1"/>
  <c r="T8" i="11"/>
  <c r="AC13" i="11" s="1" a="1"/>
  <c r="AC13" i="11" s="1"/>
  <c r="R9" i="11"/>
  <c r="S9" i="11"/>
  <c r="T9" i="11"/>
  <c r="R10" i="11"/>
  <c r="S10" i="11"/>
  <c r="T10" i="11"/>
  <c r="R11" i="11"/>
  <c r="S11" i="11"/>
  <c r="T11" i="11"/>
  <c r="R12" i="11"/>
  <c r="S12" i="11"/>
  <c r="T12" i="11"/>
  <c r="R13" i="11"/>
  <c r="S13" i="11"/>
  <c r="T13" i="11"/>
  <c r="R14" i="11"/>
  <c r="S14" i="11"/>
  <c r="T14" i="11"/>
  <c r="R15" i="11"/>
  <c r="S15" i="11"/>
  <c r="T15" i="11"/>
  <c r="R16" i="11"/>
  <c r="S16" i="11"/>
  <c r="T16" i="11"/>
  <c r="R17" i="11"/>
  <c r="S17" i="11"/>
  <c r="T17" i="11"/>
  <c r="R18" i="11"/>
  <c r="S18" i="11"/>
  <c r="T18" i="11"/>
  <c r="R19" i="11"/>
  <c r="S19" i="11"/>
  <c r="T19" i="11"/>
  <c r="R20" i="11"/>
  <c r="S20" i="11"/>
  <c r="T20" i="11"/>
  <c r="R21" i="11"/>
  <c r="S21" i="11"/>
  <c r="T21" i="11"/>
  <c r="R22" i="11"/>
  <c r="S22" i="11"/>
  <c r="T22" i="11"/>
  <c r="R23" i="11"/>
  <c r="S23" i="11"/>
  <c r="T23" i="11"/>
  <c r="R24" i="11"/>
  <c r="S24" i="11"/>
  <c r="T24" i="11"/>
  <c r="R25" i="11"/>
  <c r="S25" i="11"/>
  <c r="T25" i="11"/>
  <c r="R26" i="11"/>
  <c r="S26" i="11"/>
  <c r="T26" i="11"/>
  <c r="R27" i="11"/>
  <c r="S27" i="11"/>
  <c r="T27" i="11"/>
  <c r="R28" i="11"/>
  <c r="S28" i="11"/>
  <c r="T28" i="11"/>
  <c r="R29" i="11"/>
  <c r="S29" i="11"/>
  <c r="T29" i="11"/>
  <c r="R30" i="11"/>
  <c r="S30" i="11"/>
  <c r="T30" i="11"/>
  <c r="R31" i="11"/>
  <c r="S31" i="11"/>
  <c r="T31" i="11"/>
  <c r="R32" i="11"/>
  <c r="S32" i="11"/>
  <c r="T32" i="11"/>
  <c r="R33" i="11"/>
  <c r="S33" i="11"/>
  <c r="T33" i="11"/>
  <c r="R34" i="11"/>
  <c r="S34" i="11"/>
  <c r="T34" i="11"/>
  <c r="R35" i="11"/>
  <c r="S35" i="11"/>
  <c r="T35" i="11"/>
  <c r="R36" i="11"/>
  <c r="S36" i="11"/>
  <c r="T36" i="11"/>
  <c r="R37" i="11"/>
  <c r="S37" i="11"/>
  <c r="T37" i="11"/>
  <c r="R38" i="11"/>
  <c r="S38" i="11"/>
  <c r="T38" i="11"/>
  <c r="R39" i="11"/>
  <c r="S39" i="11"/>
  <c r="T39" i="11"/>
  <c r="R40" i="11"/>
  <c r="S40" i="11"/>
  <c r="T40" i="11"/>
  <c r="R41" i="11"/>
  <c r="S41" i="11"/>
  <c r="T41" i="11"/>
  <c r="R42" i="11"/>
  <c r="S42" i="11"/>
  <c r="T42" i="11"/>
  <c r="R43" i="11"/>
  <c r="S43" i="11"/>
  <c r="T43" i="11"/>
  <c r="R44" i="11"/>
  <c r="S44" i="11"/>
  <c r="T44" i="11"/>
  <c r="R45" i="11"/>
  <c r="S45" i="11"/>
  <c r="T45" i="11"/>
  <c r="R26" i="10"/>
  <c r="S26" i="10"/>
  <c r="T26" i="10"/>
  <c r="R2" i="10"/>
  <c r="S2" i="10"/>
  <c r="T2" i="10"/>
  <c r="R27" i="10"/>
  <c r="S27" i="10"/>
  <c r="T27" i="10"/>
  <c r="R3" i="10"/>
  <c r="S3" i="10"/>
  <c r="T3" i="10"/>
  <c r="R4" i="10"/>
  <c r="AC5" i="10" s="1" a="1"/>
  <c r="AC5" i="10" s="1"/>
  <c r="S4" i="10"/>
  <c r="T4" i="10"/>
  <c r="R28" i="10"/>
  <c r="S28" i="10"/>
  <c r="T28" i="10"/>
  <c r="R5" i="10"/>
  <c r="S5" i="10"/>
  <c r="T5" i="10"/>
  <c r="R6" i="10"/>
  <c r="S6" i="10"/>
  <c r="T6" i="10"/>
  <c r="R29" i="10"/>
  <c r="S29" i="10"/>
  <c r="T29" i="10"/>
  <c r="R7" i="10"/>
  <c r="S7" i="10"/>
  <c r="T7" i="10"/>
  <c r="R30" i="10"/>
  <c r="S30" i="10"/>
  <c r="T30" i="10"/>
  <c r="R8" i="10"/>
  <c r="S8" i="10"/>
  <c r="T8" i="10"/>
  <c r="R31" i="10"/>
  <c r="S31" i="10"/>
  <c r="T31" i="10"/>
  <c r="R32" i="10"/>
  <c r="S32" i="10"/>
  <c r="T32" i="10"/>
  <c r="R33" i="10"/>
  <c r="S33" i="10"/>
  <c r="T33" i="10"/>
  <c r="R9" i="10"/>
  <c r="S9" i="10"/>
  <c r="T9" i="10"/>
  <c r="R34" i="10"/>
  <c r="S34" i="10"/>
  <c r="T34" i="10"/>
  <c r="R10" i="10"/>
  <c r="S10" i="10"/>
  <c r="T10" i="10"/>
  <c r="R35" i="10"/>
  <c r="S35" i="10"/>
  <c r="T35" i="10"/>
  <c r="R36" i="10"/>
  <c r="S36" i="10"/>
  <c r="AC12" i="10" s="1" a="1"/>
  <c r="AC12" i="10" s="1"/>
  <c r="T36" i="10"/>
  <c r="R16" i="10"/>
  <c r="S16" i="10"/>
  <c r="T16" i="10"/>
  <c r="R37" i="10"/>
  <c r="S37" i="10"/>
  <c r="T37" i="10"/>
  <c r="R11" i="10"/>
  <c r="S11" i="10"/>
  <c r="T11" i="10"/>
  <c r="R12" i="10"/>
  <c r="S12" i="10"/>
  <c r="T12" i="10"/>
  <c r="R13" i="10"/>
  <c r="S13" i="10"/>
  <c r="T13" i="10"/>
  <c r="R14" i="10"/>
  <c r="S14" i="10"/>
  <c r="T14" i="10"/>
  <c r="R15" i="10"/>
  <c r="S15" i="10"/>
  <c r="T15" i="10"/>
  <c r="R17" i="10"/>
  <c r="S17" i="10"/>
  <c r="T17" i="10"/>
  <c r="R38" i="10"/>
  <c r="S38" i="10"/>
  <c r="T38" i="10"/>
  <c r="R18" i="10"/>
  <c r="S18" i="10"/>
  <c r="T18" i="10"/>
  <c r="R19" i="10"/>
  <c r="S19" i="10"/>
  <c r="T19" i="10"/>
  <c r="R20" i="10"/>
  <c r="S20" i="10"/>
  <c r="T20" i="10"/>
  <c r="R21" i="10"/>
  <c r="S21" i="10"/>
  <c r="T21" i="10"/>
  <c r="R39" i="10"/>
  <c r="S39" i="10"/>
  <c r="T39" i="10"/>
  <c r="R22" i="10"/>
  <c r="S22" i="10"/>
  <c r="T22" i="10"/>
  <c r="R23" i="10"/>
  <c r="S23" i="10"/>
  <c r="T23" i="10"/>
  <c r="R40" i="10"/>
  <c r="S40" i="10"/>
  <c r="T40" i="10"/>
  <c r="R41" i="10"/>
  <c r="S41" i="10"/>
  <c r="T41" i="10"/>
  <c r="R24" i="10"/>
  <c r="S24" i="10"/>
  <c r="T24" i="10"/>
  <c r="R25" i="10"/>
  <c r="S25" i="10"/>
  <c r="T25" i="10"/>
  <c r="R42" i="10"/>
  <c r="S42" i="10"/>
  <c r="T42" i="10"/>
  <c r="R43" i="10"/>
  <c r="S43" i="10"/>
  <c r="T43" i="10"/>
  <c r="R44" i="10"/>
  <c r="S44" i="10"/>
  <c r="T44" i="10"/>
  <c r="AC6" i="10" a="1"/>
  <c r="AC6" i="10" s="1"/>
  <c r="AC10" i="10" a="1"/>
  <c r="AC10" i="10" s="1"/>
  <c r="AB10" i="10" a="1"/>
  <c r="AB10" i="10" s="1"/>
  <c r="AA10" i="10" a="1"/>
  <c r="AA10" i="10" s="1"/>
  <c r="AC9" i="10" a="1"/>
  <c r="AC9" i="10" s="1"/>
  <c r="AB9" i="10" a="1"/>
  <c r="AB9" i="10" s="1"/>
  <c r="AA9" i="10" a="1"/>
  <c r="AA9" i="10" s="1"/>
  <c r="AC8" i="10" a="1"/>
  <c r="AC8" i="10" s="1"/>
  <c r="AB8" i="10" a="1"/>
  <c r="AB8" i="10" s="1"/>
  <c r="AA8" i="10" a="1"/>
  <c r="AA8" i="10" s="1"/>
  <c r="AC4" i="10" a="1"/>
  <c r="AC4" i="10" s="1"/>
  <c r="AB4" i="10" a="1"/>
  <c r="AB4" i="10" s="1"/>
  <c r="AA4" i="10" a="1"/>
  <c r="AA4" i="10" s="1"/>
  <c r="AC3" i="10" a="1"/>
  <c r="AC3" i="10" s="1"/>
  <c r="AB3" i="10" a="1"/>
  <c r="AB3" i="10" s="1"/>
  <c r="AA3" i="10" a="1"/>
  <c r="AA3" i="10" s="1"/>
  <c r="AC2" i="10" a="1"/>
  <c r="AC2" i="10" s="1"/>
  <c r="AB2" i="10" a="1"/>
  <c r="AB2" i="10" s="1"/>
  <c r="AA2" i="10" a="1"/>
  <c r="AA2" i="10" s="1"/>
  <c r="AC10" i="8" a="1"/>
  <c r="AC10" i="8" s="1"/>
  <c r="AB10" i="8" a="1"/>
  <c r="AB10" i="8" s="1"/>
  <c r="AA10" i="8" a="1"/>
  <c r="AA10" i="8" s="1"/>
  <c r="AC9" i="8" a="1"/>
  <c r="AC9" i="8" s="1"/>
  <c r="AB9" i="8" a="1"/>
  <c r="AB9" i="8" s="1"/>
  <c r="AA9" i="8" a="1"/>
  <c r="AA9" i="8" s="1"/>
  <c r="AC8" i="8" a="1"/>
  <c r="AC8" i="8" s="1"/>
  <c r="AB8" i="8" a="1"/>
  <c r="AB8" i="8" s="1"/>
  <c r="AA8" i="8" a="1"/>
  <c r="AA8" i="8" s="1"/>
  <c r="AC4" i="8" a="1"/>
  <c r="AC4" i="8" s="1"/>
  <c r="AB4" i="8" a="1"/>
  <c r="AB4" i="8" s="1"/>
  <c r="AA4" i="8" a="1"/>
  <c r="AA4" i="8" s="1"/>
  <c r="AC3" i="8" a="1"/>
  <c r="AC3" i="8" s="1"/>
  <c r="AB3" i="8" a="1"/>
  <c r="AB3" i="8" s="1"/>
  <c r="AA3" i="8" a="1"/>
  <c r="AA3" i="8" s="1"/>
  <c r="AC2" i="8" a="1"/>
  <c r="AC2" i="8" s="1"/>
  <c r="AB2" i="8" a="1"/>
  <c r="AB2" i="8" s="1"/>
  <c r="AA2" i="8" a="1"/>
  <c r="AA2" i="8" s="1"/>
  <c r="C65" i="15" a="1"/>
  <c r="C65" i="15" s="1"/>
  <c r="E64" i="15" a="1"/>
  <c r="E64" i="15" s="1"/>
  <c r="F64" i="15" s="1" a="1"/>
  <c r="F64" i="15" s="1"/>
  <c r="C60" i="15" a="1"/>
  <c r="C60" i="15" s="1"/>
  <c r="E52" i="14" a="1"/>
  <c r="E52" i="14" s="1"/>
  <c r="F52" i="14" s="1" a="1"/>
  <c r="F52" i="14" s="1"/>
  <c r="E55" i="12" a="1"/>
  <c r="E55" i="12" s="1"/>
  <c r="F55" i="12" s="1" a="1"/>
  <c r="F55" i="12" s="1"/>
  <c r="C51" i="8" a="1"/>
  <c r="C51" i="8" s="1"/>
  <c r="T2" i="8"/>
  <c r="T7" i="8"/>
  <c r="T11" i="8"/>
  <c r="T6" i="8"/>
  <c r="T3" i="8"/>
  <c r="T26" i="8"/>
  <c r="T5" i="8"/>
  <c r="T27" i="8"/>
  <c r="T13" i="8"/>
  <c r="T12" i="8"/>
  <c r="T9" i="8"/>
  <c r="T28" i="8"/>
  <c r="T8" i="8"/>
  <c r="T10" i="8"/>
  <c r="T29" i="8"/>
  <c r="T30" i="8"/>
  <c r="T4" i="8"/>
  <c r="T31" i="8"/>
  <c r="T32" i="8"/>
  <c r="T33" i="8"/>
  <c r="T34" i="8"/>
  <c r="T35" i="8"/>
  <c r="T21" i="8"/>
  <c r="T36" i="8"/>
  <c r="T37" i="8"/>
  <c r="T14" i="8"/>
  <c r="T15" i="8"/>
  <c r="T19" i="8"/>
  <c r="T18" i="8"/>
  <c r="T16" i="8"/>
  <c r="T20" i="8"/>
  <c r="T17" i="8"/>
  <c r="T38" i="8"/>
  <c r="T25" i="8"/>
  <c r="T39" i="8"/>
  <c r="T40" i="8"/>
  <c r="T41" i="8"/>
  <c r="T42" i="8"/>
  <c r="T43" i="8"/>
  <c r="T24" i="8"/>
  <c r="T23" i="8"/>
  <c r="T22" i="8"/>
  <c r="T44" i="8"/>
  <c r="T45" i="8"/>
  <c r="T46" i="8"/>
  <c r="T47" i="8"/>
  <c r="C57" i="8" a="1"/>
  <c r="C57" i="8" s="1"/>
  <c r="C52" i="8" a="1"/>
  <c r="C52" i="8" s="1"/>
  <c r="S2" i="8"/>
  <c r="S4" i="8"/>
  <c r="S3" i="8"/>
  <c r="S9" i="8"/>
  <c r="S7" i="8"/>
  <c r="S26" i="8"/>
  <c r="S8" i="8"/>
  <c r="S27" i="8"/>
  <c r="S10" i="8"/>
  <c r="S6" i="8"/>
  <c r="S11" i="8"/>
  <c r="S28" i="8"/>
  <c r="S12" i="8"/>
  <c r="S13" i="8"/>
  <c r="S29" i="8"/>
  <c r="S30" i="8"/>
  <c r="S5" i="8"/>
  <c r="S31" i="8"/>
  <c r="S32" i="8"/>
  <c r="S33" i="8"/>
  <c r="S34" i="8"/>
  <c r="S35" i="8"/>
  <c r="S16" i="8"/>
  <c r="S36" i="8"/>
  <c r="S37" i="8"/>
  <c r="S14" i="8"/>
  <c r="S15" i="8"/>
  <c r="S17" i="8"/>
  <c r="S18" i="8"/>
  <c r="S19" i="8"/>
  <c r="S20" i="8"/>
  <c r="S21" i="8"/>
  <c r="S38" i="8"/>
  <c r="S22" i="8"/>
  <c r="S39" i="8"/>
  <c r="S40" i="8"/>
  <c r="S41" i="8"/>
  <c r="S42" i="8"/>
  <c r="S43" i="8"/>
  <c r="S23" i="8"/>
  <c r="S24" i="8"/>
  <c r="S25" i="8"/>
  <c r="S44" i="8"/>
  <c r="S45" i="8"/>
  <c r="S46" i="8"/>
  <c r="S47" i="8"/>
  <c r="AB2" i="2"/>
  <c r="AB3" i="2"/>
  <c r="AB4" i="2"/>
  <c r="AB5" i="2"/>
  <c r="AB6" i="2"/>
  <c r="AB7" i="2"/>
  <c r="AB8" i="2"/>
  <c r="AB9" i="2"/>
  <c r="AB10" i="2"/>
  <c r="AB11" i="2"/>
  <c r="AB12" i="2"/>
  <c r="AB13" i="2"/>
  <c r="AB14" i="2"/>
  <c r="AB15" i="2"/>
  <c r="AB16" i="2"/>
  <c r="AB17" i="2"/>
  <c r="AB18" i="2"/>
  <c r="AB19" i="2"/>
  <c r="AB20" i="2"/>
  <c r="AB21" i="2"/>
  <c r="AB22" i="2"/>
  <c r="AB23" i="2"/>
  <c r="AB24" i="2"/>
  <c r="AB25" i="2"/>
  <c r="AB26" i="2"/>
  <c r="AB27" i="2"/>
  <c r="AB28" i="2"/>
  <c r="AB29" i="2"/>
  <c r="AB30" i="2"/>
  <c r="AB31" i="2"/>
  <c r="AB32" i="2"/>
  <c r="AB33" i="2"/>
  <c r="AB34" i="2"/>
  <c r="AB35" i="2"/>
  <c r="AB36" i="2"/>
  <c r="AB37" i="2"/>
  <c r="AB38" i="2"/>
  <c r="I40" i="7" a="1"/>
  <c r="I40" i="7" s="1"/>
  <c r="C53" i="2"/>
  <c r="D50" i="14" a="1"/>
  <c r="D50" i="14" s="1"/>
  <c r="E44" i="14" a="1"/>
  <c r="E44" i="14" s="1"/>
  <c r="F44" i="14" s="1" a="1"/>
  <c r="F44" i="14" s="1"/>
  <c r="E50" i="14" a="1"/>
  <c r="E50" i="14" s="1"/>
  <c r="F50" i="14" s="1" a="1"/>
  <c r="F50" i="14" s="1"/>
  <c r="E43" i="14" a="1"/>
  <c r="E43" i="14" s="1"/>
  <c r="F43" i="14" s="1" a="1"/>
  <c r="F43" i="14" s="1"/>
  <c r="E49" i="14" a="1"/>
  <c r="E49" i="14" s="1"/>
  <c r="F49" i="14" s="1" a="1"/>
  <c r="F49" i="14" s="1"/>
  <c r="E48" i="14" a="1"/>
  <c r="E48" i="14" s="1"/>
  <c r="F48" i="14" s="1" a="1"/>
  <c r="F48" i="14" s="1"/>
  <c r="E42" i="14" a="1"/>
  <c r="E42" i="14" s="1"/>
  <c r="F42" i="14" s="1" a="1"/>
  <c r="F42" i="14" s="1"/>
  <c r="D51" i="8" a="1"/>
  <c r="D51" i="8" s="1"/>
  <c r="E48" i="7"/>
  <c r="G44" i="7"/>
  <c r="G42" i="7"/>
  <c r="D40" i="7" a="1"/>
  <c r="D40" i="7" s="1"/>
  <c r="D49" i="3" a="1"/>
  <c r="D49" i="3" s="1"/>
  <c r="R2" i="8"/>
  <c r="CO12" i="15"/>
  <c r="CO6" i="15"/>
  <c r="CO9" i="15"/>
  <c r="CO4" i="15"/>
  <c r="CO10" i="15"/>
  <c r="CO7" i="15"/>
  <c r="CO13" i="15"/>
  <c r="CO15" i="15"/>
  <c r="CO8" i="15"/>
  <c r="CO17" i="15"/>
  <c r="CO2" i="15"/>
  <c r="CO5" i="15"/>
  <c r="CO11" i="15"/>
  <c r="CO14" i="15"/>
  <c r="CO16" i="15"/>
  <c r="CO18" i="15"/>
  <c r="CO19" i="15"/>
  <c r="CO20" i="15"/>
  <c r="CO21" i="15"/>
  <c r="CO22" i="15"/>
  <c r="CO23" i="15"/>
  <c r="CO24" i="15"/>
  <c r="CO25" i="15"/>
  <c r="CO26" i="15"/>
  <c r="CO27" i="15"/>
  <c r="CO28" i="15"/>
  <c r="CO29" i="15"/>
  <c r="CO30" i="15"/>
  <c r="CO31" i="15"/>
  <c r="CO32" i="15"/>
  <c r="CO33" i="15"/>
  <c r="CO34" i="15"/>
  <c r="CO35" i="15"/>
  <c r="CO36" i="15"/>
  <c r="CO37" i="15"/>
  <c r="CO38" i="15"/>
  <c r="CO39" i="15"/>
  <c r="CO40" i="15"/>
  <c r="CO41" i="15"/>
  <c r="CO42" i="15"/>
  <c r="CO43" i="15"/>
  <c r="CO44" i="15"/>
  <c r="CO45" i="15"/>
  <c r="CO46" i="15"/>
  <c r="CO47" i="15"/>
  <c r="CO48" i="15"/>
  <c r="CO49" i="15"/>
  <c r="CO50" i="15"/>
  <c r="CO51" i="15"/>
  <c r="CO52" i="15"/>
  <c r="CO53" i="15"/>
  <c r="CO3" i="15"/>
  <c r="BS3" i="15"/>
  <c r="BS12" i="15"/>
  <c r="BS6" i="15"/>
  <c r="BS9" i="15"/>
  <c r="BS4" i="15"/>
  <c r="BS10" i="15"/>
  <c r="BS7" i="15"/>
  <c r="BS13" i="15"/>
  <c r="BS15" i="15"/>
  <c r="BS8" i="15"/>
  <c r="BS17" i="15"/>
  <c r="BS2" i="15"/>
  <c r="BS5" i="15"/>
  <c r="BS11" i="15"/>
  <c r="BS14" i="15"/>
  <c r="BS16" i="15"/>
  <c r="BS18" i="15"/>
  <c r="BS19" i="15"/>
  <c r="BS20" i="15"/>
  <c r="BS21" i="15"/>
  <c r="BS22" i="15"/>
  <c r="BS23" i="15"/>
  <c r="BS24" i="15"/>
  <c r="BS25" i="15"/>
  <c r="BS26" i="15"/>
  <c r="BS27" i="15"/>
  <c r="BS28" i="15"/>
  <c r="BS29" i="15"/>
  <c r="BS30" i="15"/>
  <c r="BS31" i="15"/>
  <c r="BS32" i="15"/>
  <c r="BS33" i="15"/>
  <c r="BS34" i="15"/>
  <c r="BS35" i="15"/>
  <c r="BS36" i="15"/>
  <c r="BS37" i="15"/>
  <c r="BS38" i="15"/>
  <c r="BS39" i="15"/>
  <c r="BS40" i="15"/>
  <c r="BS41" i="15"/>
  <c r="BS42" i="15"/>
  <c r="BS43" i="15"/>
  <c r="BS44" i="15"/>
  <c r="BS45" i="15"/>
  <c r="BS46" i="15"/>
  <c r="BS47" i="15"/>
  <c r="BS48" i="15"/>
  <c r="BS49" i="15"/>
  <c r="BS50" i="15"/>
  <c r="BS51" i="15"/>
  <c r="BS52" i="15"/>
  <c r="BS53" i="15"/>
  <c r="AW3" i="15"/>
  <c r="AW12" i="15"/>
  <c r="AW6" i="15"/>
  <c r="AW9" i="15"/>
  <c r="AW4" i="15"/>
  <c r="AW10" i="15"/>
  <c r="AW7" i="15"/>
  <c r="AW13" i="15"/>
  <c r="AW15" i="15"/>
  <c r="AW8" i="15"/>
  <c r="AW17" i="15"/>
  <c r="AW2" i="15"/>
  <c r="AW5" i="15"/>
  <c r="AW11" i="15"/>
  <c r="AW14" i="15"/>
  <c r="AW16" i="15"/>
  <c r="AW18" i="15"/>
  <c r="AW19" i="15"/>
  <c r="AW20" i="15"/>
  <c r="AW21" i="15"/>
  <c r="AW22" i="15"/>
  <c r="AW23" i="15"/>
  <c r="AW24" i="15"/>
  <c r="AW25" i="15"/>
  <c r="AW26" i="15"/>
  <c r="AW27" i="15"/>
  <c r="AW28" i="15"/>
  <c r="AW29" i="15"/>
  <c r="AW30" i="15"/>
  <c r="AW31" i="15"/>
  <c r="AW32" i="15"/>
  <c r="AW33" i="15"/>
  <c r="AW34" i="15"/>
  <c r="AW35" i="15"/>
  <c r="AW36" i="15"/>
  <c r="AW37" i="15"/>
  <c r="AW38" i="15"/>
  <c r="AW39" i="15"/>
  <c r="AW40" i="15"/>
  <c r="AW41" i="15"/>
  <c r="AW42" i="15"/>
  <c r="AW43" i="15"/>
  <c r="AW44" i="15"/>
  <c r="AW45" i="15"/>
  <c r="AW46" i="15"/>
  <c r="AW47" i="15"/>
  <c r="AW48" i="15"/>
  <c r="AW49" i="15"/>
  <c r="AW50" i="15"/>
  <c r="AW51" i="15"/>
  <c r="AW52" i="15"/>
  <c r="AW53" i="15"/>
  <c r="AA3" i="15"/>
  <c r="AA12" i="15"/>
  <c r="AA6" i="15"/>
  <c r="AA9" i="15"/>
  <c r="AA4" i="15"/>
  <c r="AA10" i="15"/>
  <c r="E10" i="15" s="1"/>
  <c r="AA7" i="15"/>
  <c r="AA13" i="15"/>
  <c r="AA15" i="15"/>
  <c r="AA8" i="15"/>
  <c r="AA17" i="15"/>
  <c r="E17" i="15" s="1"/>
  <c r="AA2" i="15"/>
  <c r="AA5" i="15"/>
  <c r="AA11" i="15"/>
  <c r="AA14" i="15"/>
  <c r="AA16" i="15"/>
  <c r="AA18" i="15"/>
  <c r="AA19" i="15"/>
  <c r="E19" i="15" s="1"/>
  <c r="CS19" i="15" s="1"/>
  <c r="AA20" i="15"/>
  <c r="AA21" i="15"/>
  <c r="AA22" i="15"/>
  <c r="AA23" i="15"/>
  <c r="AA24" i="15"/>
  <c r="E24" i="15" s="1"/>
  <c r="CU24" i="15" s="1"/>
  <c r="AA25" i="15"/>
  <c r="E25" i="15" s="1"/>
  <c r="CU25" i="15" s="1"/>
  <c r="AA26" i="15"/>
  <c r="E26" i="15" s="1"/>
  <c r="CU26" i="15" s="1"/>
  <c r="AA27" i="15"/>
  <c r="AA28" i="15"/>
  <c r="AA29" i="15"/>
  <c r="AA30" i="15"/>
  <c r="AA31" i="15"/>
  <c r="E31" i="15" s="1"/>
  <c r="CU31" i="15" s="1"/>
  <c r="AA32" i="15"/>
  <c r="AA33" i="15"/>
  <c r="AA34" i="15"/>
  <c r="AA35" i="15"/>
  <c r="AA36" i="15"/>
  <c r="E36" i="15" s="1"/>
  <c r="CS36" i="15" s="1"/>
  <c r="AA37" i="15"/>
  <c r="E37" i="15" s="1"/>
  <c r="CQ37" i="15" s="1"/>
  <c r="AA38" i="15"/>
  <c r="E38" i="15" s="1"/>
  <c r="CT38" i="15" s="1"/>
  <c r="AA39" i="15"/>
  <c r="AA40" i="15"/>
  <c r="AA41" i="15"/>
  <c r="AA42" i="15"/>
  <c r="AA43" i="15"/>
  <c r="E43" i="15" s="1"/>
  <c r="CT43" i="15" s="1"/>
  <c r="AA44" i="15"/>
  <c r="AA45" i="15"/>
  <c r="AA46" i="15"/>
  <c r="AA47" i="15"/>
  <c r="AA48" i="15"/>
  <c r="E48" i="15" s="1"/>
  <c r="CS48" i="15" s="1"/>
  <c r="AA49" i="15"/>
  <c r="E49" i="15" s="1"/>
  <c r="CT49" i="15" s="1"/>
  <c r="AA50" i="15"/>
  <c r="E50" i="15" s="1"/>
  <c r="CS50" i="15" s="1"/>
  <c r="AA51" i="15"/>
  <c r="AA52" i="15"/>
  <c r="AA53" i="15"/>
  <c r="CM6" i="15"/>
  <c r="C56" i="10" a="1"/>
  <c r="C56" i="10" s="1"/>
  <c r="H47" i="3" a="1"/>
  <c r="H47" i="3" s="1"/>
  <c r="H48" i="3" a="1"/>
  <c r="H48" i="3" s="1"/>
  <c r="H51" i="3" a="1"/>
  <c r="H51" i="3" s="1"/>
  <c r="H50" i="3" a="1"/>
  <c r="H50" i="3" s="1"/>
  <c r="H49" i="3" a="1"/>
  <c r="H49" i="3" s="1"/>
  <c r="H46" i="3" a="1"/>
  <c r="H46" i="3" s="1"/>
  <c r="F49" i="3" a="1"/>
  <c r="F49" i="3" s="1"/>
  <c r="F47" i="3" a="1"/>
  <c r="F47" i="3" s="1"/>
  <c r="F48" i="3" a="1"/>
  <c r="F48" i="3" s="1"/>
  <c r="F51" i="3" a="1"/>
  <c r="F51" i="3" s="1"/>
  <c r="F50" i="3" a="1"/>
  <c r="F50" i="3" s="1"/>
  <c r="F46" i="3" a="1"/>
  <c r="F46" i="3" s="1"/>
  <c r="D47" i="3" a="1"/>
  <c r="D47" i="3" s="1"/>
  <c r="D48" i="3" a="1"/>
  <c r="D48" i="3" s="1"/>
  <c r="D51" i="3" a="1"/>
  <c r="D51" i="3" s="1"/>
  <c r="D50" i="3" a="1"/>
  <c r="D50" i="3" s="1"/>
  <c r="D46" i="3" a="1"/>
  <c r="D46" i="3" s="1"/>
  <c r="D48" i="6" a="1"/>
  <c r="D48" i="6" s="1"/>
  <c r="H55" i="6" a="1"/>
  <c r="H55" i="6" s="1"/>
  <c r="F46" i="6" a="1"/>
  <c r="F46" i="6" s="1"/>
  <c r="F47" i="6" a="1"/>
  <c r="F47" i="6" s="1"/>
  <c r="F50" i="6" a="1"/>
  <c r="F50" i="6" s="1"/>
  <c r="F49" i="6" a="1"/>
  <c r="F49" i="6" s="1"/>
  <c r="F48" i="6" a="1"/>
  <c r="F48" i="6" s="1"/>
  <c r="F45" i="6" a="1"/>
  <c r="F45" i="6" s="1"/>
  <c r="D46" i="6" a="1"/>
  <c r="D46" i="6" s="1"/>
  <c r="D47" i="6" a="1"/>
  <c r="D47" i="6" s="1"/>
  <c r="D50" i="6" a="1"/>
  <c r="D50" i="6" s="1"/>
  <c r="D49" i="6" a="1"/>
  <c r="D49" i="6" s="1"/>
  <c r="D45" i="6" a="1"/>
  <c r="D45" i="6" s="1"/>
  <c r="H46" i="6" a="1"/>
  <c r="H46" i="6" s="1"/>
  <c r="H47" i="6" a="1"/>
  <c r="H47" i="6" s="1"/>
  <c r="H50" i="6" a="1"/>
  <c r="H50" i="6" s="1"/>
  <c r="H49" i="6" a="1"/>
  <c r="H49" i="6" s="1"/>
  <c r="H48" i="6" a="1"/>
  <c r="H48" i="6" s="1"/>
  <c r="H45" i="6" a="1"/>
  <c r="H45" i="6" s="1"/>
  <c r="F53" i="6" a="1"/>
  <c r="F53" i="6" s="1"/>
  <c r="H53" i="6" a="1"/>
  <c r="H53" i="6" s="1"/>
  <c r="H54" i="6" a="1"/>
  <c r="H54" i="6" s="1"/>
  <c r="H57" i="6" a="1"/>
  <c r="H57" i="6" s="1"/>
  <c r="H56" i="6" a="1"/>
  <c r="H56" i="6" s="1"/>
  <c r="H52" i="6" a="1"/>
  <c r="H52" i="6" s="1"/>
  <c r="F54" i="6" a="1"/>
  <c r="F54" i="6" s="1"/>
  <c r="F57" i="6" a="1"/>
  <c r="F57" i="6" s="1"/>
  <c r="F56" i="6" a="1"/>
  <c r="F56" i="6" s="1"/>
  <c r="F55" i="6" a="1"/>
  <c r="F55" i="6" s="1"/>
  <c r="F52" i="6" a="1"/>
  <c r="F52" i="6" s="1"/>
  <c r="D53" i="6" a="1"/>
  <c r="D53" i="6" s="1"/>
  <c r="D54" i="6" a="1"/>
  <c r="D54" i="6" s="1"/>
  <c r="D57" i="6" a="1"/>
  <c r="D57" i="6" s="1"/>
  <c r="D56" i="6" a="1"/>
  <c r="D56" i="6" s="1"/>
  <c r="D55" i="6" a="1"/>
  <c r="D55" i="6" s="1"/>
  <c r="D52" i="6" a="1"/>
  <c r="D52" i="6" s="1"/>
  <c r="F41" i="7" a="1"/>
  <c r="F41" i="7" s="1"/>
  <c r="F43" i="7" a="1"/>
  <c r="F43" i="7" s="1"/>
  <c r="F49" i="7" a="1"/>
  <c r="F49" i="7" s="1"/>
  <c r="F47" i="7" a="1"/>
  <c r="F47" i="7" s="1"/>
  <c r="F45" i="7" a="1"/>
  <c r="F45" i="7" s="1"/>
  <c r="F39" i="7" a="1"/>
  <c r="F39" i="7" s="1"/>
  <c r="D41" i="7" a="1"/>
  <c r="D41" i="7" s="1"/>
  <c r="D43" i="7" a="1"/>
  <c r="D43" i="7" s="1"/>
  <c r="D49" i="7" a="1"/>
  <c r="D49" i="7" s="1"/>
  <c r="D47" i="7" a="1"/>
  <c r="D47" i="7" s="1"/>
  <c r="D45" i="7" a="1"/>
  <c r="D45" i="7" s="1"/>
  <c r="D39" i="7" a="1"/>
  <c r="D39" i="7" s="1"/>
  <c r="H41" i="7" a="1"/>
  <c r="H41" i="7" s="1"/>
  <c r="H43" i="7" a="1"/>
  <c r="H43" i="7" s="1"/>
  <c r="H49" i="7" a="1"/>
  <c r="H49" i="7" s="1"/>
  <c r="H47" i="7" a="1"/>
  <c r="H47" i="7" s="1"/>
  <c r="H45" i="7" a="1"/>
  <c r="H45" i="7" s="1"/>
  <c r="H42" i="7" a="1"/>
  <c r="H42" i="7" s="1"/>
  <c r="H44" i="7" a="1"/>
  <c r="H44" i="7" s="1"/>
  <c r="H50" i="7" a="1"/>
  <c r="H50" i="7" s="1"/>
  <c r="H48" i="7" a="1"/>
  <c r="H48" i="7" s="1"/>
  <c r="H46" i="7" a="1"/>
  <c r="H46" i="7" s="1"/>
  <c r="F42" i="7" a="1"/>
  <c r="F42" i="7" s="1"/>
  <c r="F44" i="7" a="1"/>
  <c r="F44" i="7" s="1"/>
  <c r="F50" i="7" a="1"/>
  <c r="F50" i="7" s="1"/>
  <c r="F48" i="7" a="1"/>
  <c r="F48" i="7" s="1"/>
  <c r="F46" i="7" a="1"/>
  <c r="F46" i="7" s="1"/>
  <c r="F40" i="7" a="1"/>
  <c r="F40" i="7" s="1"/>
  <c r="D42" i="7" a="1"/>
  <c r="D42" i="7" s="1"/>
  <c r="D44" i="7" a="1"/>
  <c r="D44" i="7" s="1"/>
  <c r="D50" i="7" a="1"/>
  <c r="D50" i="7" s="1"/>
  <c r="D48" i="7" a="1"/>
  <c r="D48" i="7" s="1"/>
  <c r="D46" i="7" a="1"/>
  <c r="D46" i="7" s="1"/>
  <c r="F44" i="2" a="1"/>
  <c r="F44" i="2" s="1"/>
  <c r="D47" i="2" a="1"/>
  <c r="D47" i="2" s="1"/>
  <c r="D44" i="2" a="1"/>
  <c r="D44" i="2" s="1"/>
  <c r="F45" i="2" a="1"/>
  <c r="F45" i="2" s="1"/>
  <c r="F46" i="2" a="1"/>
  <c r="F46" i="2" s="1"/>
  <c r="F49" i="2" a="1"/>
  <c r="F49" i="2" s="1"/>
  <c r="F48" i="2" a="1"/>
  <c r="F48" i="2" s="1"/>
  <c r="F47" i="2" a="1"/>
  <c r="F47" i="2" s="1"/>
  <c r="D45" i="2" a="1"/>
  <c r="D45" i="2" s="1"/>
  <c r="D46" i="2" a="1"/>
  <c r="D46" i="2" s="1"/>
  <c r="D49" i="2" a="1"/>
  <c r="D49" i="2" s="1"/>
  <c r="D48" i="2" a="1"/>
  <c r="D48" i="2" s="1"/>
  <c r="H45" i="2" a="1"/>
  <c r="H45" i="2" s="1"/>
  <c r="H46" i="2" a="1"/>
  <c r="H46" i="2" s="1"/>
  <c r="H49" i="2" a="1"/>
  <c r="H49" i="2" s="1"/>
  <c r="H48" i="2" a="1"/>
  <c r="H48" i="2" s="1"/>
  <c r="H47" i="2" a="1"/>
  <c r="H47" i="2" s="1"/>
  <c r="H44" i="2" a="1"/>
  <c r="H44" i="2" s="1"/>
  <c r="H52" i="2" a="1"/>
  <c r="H52" i="2" s="1"/>
  <c r="H53" i="2" a="1"/>
  <c r="H53" i="2" s="1"/>
  <c r="H56" i="2" a="1"/>
  <c r="H56" i="2" s="1"/>
  <c r="H55" i="2" a="1"/>
  <c r="H55" i="2" s="1"/>
  <c r="H54" i="2" a="1"/>
  <c r="H54" i="2" s="1"/>
  <c r="H51" i="2" a="1"/>
  <c r="H51" i="2" s="1"/>
  <c r="G52" i="2"/>
  <c r="F52" i="2" a="1"/>
  <c r="F52" i="2" s="1"/>
  <c r="F53" i="2" a="1"/>
  <c r="F53" i="2" s="1"/>
  <c r="F56" i="2" a="1"/>
  <c r="F56" i="2" s="1"/>
  <c r="F55" i="2" a="1"/>
  <c r="F55" i="2" s="1"/>
  <c r="F54" i="2" a="1"/>
  <c r="F54" i="2" s="1"/>
  <c r="F51" i="2" a="1"/>
  <c r="F51" i="2" s="1"/>
  <c r="E51" i="2"/>
  <c r="G51" i="2"/>
  <c r="D52" i="2" a="1"/>
  <c r="D52" i="2" s="1"/>
  <c r="D53" i="2" a="1"/>
  <c r="D53" i="2" s="1"/>
  <c r="D56" i="2" a="1"/>
  <c r="D56" i="2" s="1"/>
  <c r="D55" i="2" a="1"/>
  <c r="D55" i="2" s="1"/>
  <c r="D54" i="2" a="1"/>
  <c r="D54" i="2" s="1"/>
  <c r="D51" i="2" a="1"/>
  <c r="D51" i="2" s="1"/>
  <c r="D43" i="14" a="1"/>
  <c r="D43" i="14" s="1"/>
  <c r="D49" i="14" a="1"/>
  <c r="D49" i="14" s="1"/>
  <c r="D44" i="14" a="1"/>
  <c r="D44" i="14" s="1"/>
  <c r="D42" i="14" a="1"/>
  <c r="D42" i="14" s="1"/>
  <c r="D48" i="14" a="1"/>
  <c r="D48" i="14" s="1"/>
  <c r="C50" i="14" a="1"/>
  <c r="C50" i="14" s="1"/>
  <c r="C44" i="14" a="1"/>
  <c r="C44" i="14" s="1"/>
  <c r="C43" i="14" a="1"/>
  <c r="C43" i="14" s="1"/>
  <c r="C49" i="14" a="1"/>
  <c r="C49" i="14" s="1"/>
  <c r="C48" i="14" a="1"/>
  <c r="C48" i="14" s="1"/>
  <c r="C42" i="14" a="1"/>
  <c r="C42" i="14" s="1"/>
  <c r="E54" i="13" a="1"/>
  <c r="E54" i="13" s="1"/>
  <c r="F54" i="13" s="1" a="1"/>
  <c r="F54" i="13" s="1"/>
  <c r="E50" i="13" a="1"/>
  <c r="E50" i="13" s="1"/>
  <c r="F50" i="13" s="1" a="1"/>
  <c r="F50" i="13" s="1"/>
  <c r="E56" i="13" a="1"/>
  <c r="E56" i="13" s="1"/>
  <c r="F56" i="13" s="1" a="1"/>
  <c r="F56" i="13" s="1"/>
  <c r="E49" i="13" a="1"/>
  <c r="E49" i="13" s="1"/>
  <c r="F49" i="13" s="1" a="1"/>
  <c r="F49" i="13" s="1"/>
  <c r="E55" i="13" a="1"/>
  <c r="E55" i="13" s="1"/>
  <c r="F55" i="13" s="1" a="1"/>
  <c r="F55" i="13" s="1"/>
  <c r="E48" i="13" a="1"/>
  <c r="E48" i="13" s="1"/>
  <c r="F48" i="13" s="1" a="1"/>
  <c r="F48" i="13" s="1"/>
  <c r="D50" i="13" a="1"/>
  <c r="D50" i="13" s="1"/>
  <c r="D56" i="13" a="1"/>
  <c r="D56" i="13" s="1"/>
  <c r="D49" i="13" a="1"/>
  <c r="D49" i="13" s="1"/>
  <c r="D55" i="13" a="1"/>
  <c r="D55" i="13" s="1"/>
  <c r="D48" i="13" a="1"/>
  <c r="D48" i="13" s="1"/>
  <c r="D54" i="13" a="1"/>
  <c r="D54" i="13" s="1"/>
  <c r="C56" i="13" a="1"/>
  <c r="C56" i="13" s="1"/>
  <c r="C50" i="13" a="1"/>
  <c r="C50" i="13" s="1"/>
  <c r="C49" i="13" a="1"/>
  <c r="C49" i="13" s="1"/>
  <c r="C55" i="13" a="1"/>
  <c r="C55" i="13" s="1"/>
  <c r="C48" i="13" a="1"/>
  <c r="C48" i="13" s="1"/>
  <c r="C54" i="13" a="1"/>
  <c r="C54" i="13" s="1"/>
  <c r="E53" i="12" a="1"/>
  <c r="E53" i="12" s="1"/>
  <c r="F53" i="12" s="1" a="1"/>
  <c r="F53" i="12" s="1"/>
  <c r="E59" i="12" a="1"/>
  <c r="E59" i="12" s="1"/>
  <c r="F59" i="12" s="1" a="1"/>
  <c r="F59" i="12" s="1"/>
  <c r="E52" i="12" a="1"/>
  <c r="E52" i="12" s="1"/>
  <c r="F52" i="12" s="1" a="1"/>
  <c r="F52" i="12" s="1"/>
  <c r="E58" i="12" a="1"/>
  <c r="E58" i="12" s="1"/>
  <c r="F58" i="12" s="1" a="1"/>
  <c r="F58" i="12" s="1"/>
  <c r="E51" i="12" a="1"/>
  <c r="E51" i="12" s="1"/>
  <c r="F51" i="12" s="1" a="1"/>
  <c r="F51" i="12" s="1"/>
  <c r="E57" i="12" a="1"/>
  <c r="E57" i="12" s="1"/>
  <c r="F57" i="12" s="1" a="1"/>
  <c r="F57" i="12" s="1"/>
  <c r="D59" i="12" a="1"/>
  <c r="D59" i="12" s="1"/>
  <c r="D58" i="12" a="1"/>
  <c r="D58" i="12" s="1"/>
  <c r="D51" i="12" a="1"/>
  <c r="D51" i="12" s="1"/>
  <c r="D53" i="12" a="1"/>
  <c r="D53" i="12" s="1"/>
  <c r="D52" i="12" a="1"/>
  <c r="D52" i="12" s="1"/>
  <c r="D57" i="12" a="1"/>
  <c r="D57" i="12" s="1"/>
  <c r="C53" i="12" a="1"/>
  <c r="C53" i="12" s="1"/>
  <c r="C59" i="12" a="1"/>
  <c r="C59" i="12" s="1"/>
  <c r="C58" i="12" a="1"/>
  <c r="C58" i="12" s="1"/>
  <c r="C52" i="12" a="1"/>
  <c r="C52" i="12" s="1"/>
  <c r="C51" i="12" a="1"/>
  <c r="C51" i="12" s="1"/>
  <c r="C57" i="12" a="1"/>
  <c r="C57" i="12" s="1"/>
  <c r="E51" i="11" a="1"/>
  <c r="E51" i="11" s="1"/>
  <c r="F51" i="11" s="1" a="1"/>
  <c r="F51" i="11" s="1"/>
  <c r="E57" i="11" a="1"/>
  <c r="E57" i="11" s="1"/>
  <c r="F57" i="11" s="1" a="1"/>
  <c r="F57" i="11" s="1"/>
  <c r="E50" i="11" a="1"/>
  <c r="E50" i="11" s="1"/>
  <c r="F50" i="11" s="1" a="1"/>
  <c r="F50" i="11" s="1"/>
  <c r="E56" i="11" a="1"/>
  <c r="E56" i="11" s="1"/>
  <c r="F56" i="11" s="1" a="1"/>
  <c r="F56" i="11" s="1"/>
  <c r="E49" i="11" a="1"/>
  <c r="E49" i="11" s="1"/>
  <c r="F49" i="11" s="1" a="1"/>
  <c r="F49" i="11" s="1"/>
  <c r="E55" i="11" a="1"/>
  <c r="E55" i="11" s="1"/>
  <c r="F55" i="11" s="1" a="1"/>
  <c r="F55" i="11" s="1"/>
  <c r="D51" i="11" a="1"/>
  <c r="D51" i="11" s="1"/>
  <c r="D57" i="11" a="1"/>
  <c r="D57" i="11" s="1"/>
  <c r="D50" i="11" a="1"/>
  <c r="D50" i="11" s="1"/>
  <c r="D56" i="11" a="1"/>
  <c r="D56" i="11" s="1"/>
  <c r="D49" i="11" a="1"/>
  <c r="D49" i="11" s="1"/>
  <c r="D55" i="11" a="1"/>
  <c r="D55" i="11" s="1"/>
  <c r="C51" i="11" a="1"/>
  <c r="C51" i="11" s="1"/>
  <c r="C57" i="11" a="1"/>
  <c r="C57" i="11" s="1"/>
  <c r="C50" i="11" a="1"/>
  <c r="C50" i="11" s="1"/>
  <c r="C56" i="11" a="1"/>
  <c r="C56" i="11" s="1"/>
  <c r="C49" i="11" a="1"/>
  <c r="C49" i="11" s="1"/>
  <c r="C55" i="11" a="1"/>
  <c r="C55" i="11" s="1"/>
  <c r="E50" i="10" a="1"/>
  <c r="E50" i="10" s="1"/>
  <c r="F50" i="10" s="1" a="1"/>
  <c r="F50" i="10" s="1"/>
  <c r="E56" i="10" a="1"/>
  <c r="E56" i="10" s="1"/>
  <c r="F56" i="10" s="1" a="1"/>
  <c r="F56" i="10" s="1"/>
  <c r="E49" i="10" a="1"/>
  <c r="E49" i="10" s="1"/>
  <c r="F49" i="10" s="1" a="1"/>
  <c r="F49" i="10" s="1"/>
  <c r="E55" i="10" a="1"/>
  <c r="E55" i="10" s="1"/>
  <c r="F55" i="10" s="1" a="1"/>
  <c r="F55" i="10" s="1"/>
  <c r="E48" i="10" a="1"/>
  <c r="E48" i="10" s="1"/>
  <c r="F48" i="10" s="1" a="1"/>
  <c r="F48" i="10" s="1"/>
  <c r="E54" i="10" a="1"/>
  <c r="E54" i="10" s="1"/>
  <c r="F54" i="10" s="1" a="1"/>
  <c r="F54" i="10" s="1"/>
  <c r="D49" i="10" a="1"/>
  <c r="D49" i="10" s="1"/>
  <c r="D56" i="10" a="1"/>
  <c r="D56" i="10" s="1"/>
  <c r="D55" i="10" a="1"/>
  <c r="D55" i="10" s="1"/>
  <c r="D50" i="10" a="1"/>
  <c r="D50" i="10" s="1"/>
  <c r="D48" i="10" a="1"/>
  <c r="D48" i="10" s="1"/>
  <c r="D54" i="10" a="1"/>
  <c r="D54" i="10" s="1"/>
  <c r="D52" i="8" a="1"/>
  <c r="D52" i="8" s="1"/>
  <c r="E51" i="8" a="1"/>
  <c r="E51" i="8" s="1"/>
  <c r="F51" i="8" s="1" a="1"/>
  <c r="F51" i="8" s="1"/>
  <c r="D53" i="8" a="1"/>
  <c r="D53" i="8" s="1"/>
  <c r="D59" i="8" a="1"/>
  <c r="D59" i="8" s="1"/>
  <c r="D58" i="8" a="1"/>
  <c r="D58" i="8" s="1"/>
  <c r="D57" i="8" a="1"/>
  <c r="D57" i="8" s="1"/>
  <c r="C49" i="10" a="1"/>
  <c r="C49" i="10" s="1"/>
  <c r="C55" i="10" a="1"/>
  <c r="C55" i="10" s="1"/>
  <c r="C50" i="10" a="1"/>
  <c r="C50" i="10" s="1"/>
  <c r="C48" i="10" a="1"/>
  <c r="C48" i="10" s="1"/>
  <c r="C54" i="10" a="1"/>
  <c r="C54" i="10" s="1"/>
  <c r="E59" i="8" a="1"/>
  <c r="E59" i="8" s="1"/>
  <c r="F59" i="8" s="1" a="1"/>
  <c r="F59" i="8" s="1"/>
  <c r="E53" i="8" a="1"/>
  <c r="E53" i="8" s="1"/>
  <c r="F53" i="8" s="1" a="1"/>
  <c r="F53" i="8" s="1"/>
  <c r="E52" i="8" a="1"/>
  <c r="E52" i="8" s="1"/>
  <c r="F52" i="8" s="1" a="1"/>
  <c r="F52" i="8" s="1"/>
  <c r="E58" i="8" a="1"/>
  <c r="E58" i="8" s="1"/>
  <c r="F58" i="8" s="1" a="1"/>
  <c r="F58" i="8" s="1"/>
  <c r="E57" i="8" a="1"/>
  <c r="E57" i="8" s="1"/>
  <c r="F57" i="8" s="1" a="1"/>
  <c r="F57" i="8" s="1"/>
  <c r="C53" i="8" a="1"/>
  <c r="C53" i="8" s="1"/>
  <c r="C59" i="8" a="1"/>
  <c r="C59" i="8" s="1"/>
  <c r="C58" i="8" a="1"/>
  <c r="C58" i="8" s="1"/>
  <c r="I41" i="3" a="1"/>
  <c r="I41" i="3" s="1"/>
  <c r="J41" i="3" s="1" a="1"/>
  <c r="J41" i="3" s="1"/>
  <c r="I46" i="3" a="1"/>
  <c r="I46" i="3" s="1"/>
  <c r="J46" i="3" s="1" a="1"/>
  <c r="J46" i="3" s="1"/>
  <c r="I38" i="3" a="1"/>
  <c r="I38" i="3" s="1"/>
  <c r="J38" i="3" s="1" a="1"/>
  <c r="J38" i="3" s="1"/>
  <c r="I40" i="3" a="1"/>
  <c r="I40" i="3" s="1"/>
  <c r="J40" i="3" s="1" a="1"/>
  <c r="J40" i="3" s="1"/>
  <c r="H40" i="3" a="1"/>
  <c r="H40" i="3" s="1"/>
  <c r="G40" i="3"/>
  <c r="F40" i="3" a="1"/>
  <c r="F40" i="3" s="1"/>
  <c r="E40" i="3"/>
  <c r="D40" i="3" a="1"/>
  <c r="D40" i="3" s="1"/>
  <c r="C40" i="3"/>
  <c r="H41" i="3" a="1"/>
  <c r="H41" i="3" s="1"/>
  <c r="G41" i="3"/>
  <c r="F41" i="3" a="1"/>
  <c r="F41" i="3" s="1"/>
  <c r="E41" i="3"/>
  <c r="D41" i="3" a="1"/>
  <c r="D41" i="3" s="1"/>
  <c r="C41" i="3"/>
  <c r="I44" i="3" a="1"/>
  <c r="I44" i="3" s="1"/>
  <c r="J44" i="3" s="1" a="1"/>
  <c r="J44" i="3" s="1"/>
  <c r="H44" i="3" a="1"/>
  <c r="H44" i="3" s="1"/>
  <c r="G44" i="3"/>
  <c r="F44" i="3" a="1"/>
  <c r="F44" i="3" s="1"/>
  <c r="E44" i="3"/>
  <c r="D44" i="3" a="1"/>
  <c r="D44" i="3" s="1"/>
  <c r="C44" i="3"/>
  <c r="I43" i="3" a="1"/>
  <c r="I43" i="3" s="1"/>
  <c r="J43" i="3" s="1" a="1"/>
  <c r="J43" i="3" s="1"/>
  <c r="H43" i="3" a="1"/>
  <c r="H43" i="3" s="1"/>
  <c r="G43" i="3"/>
  <c r="F43" i="3" a="1"/>
  <c r="F43" i="3" s="1"/>
  <c r="E43" i="3"/>
  <c r="D43" i="3" a="1"/>
  <c r="D43" i="3" s="1"/>
  <c r="C43" i="3"/>
  <c r="I42" i="3" a="1"/>
  <c r="I42" i="3" s="1"/>
  <c r="J42" i="3" s="1" a="1"/>
  <c r="J42" i="3" s="1"/>
  <c r="H42" i="3" a="1"/>
  <c r="H42" i="3" s="1"/>
  <c r="G42" i="3"/>
  <c r="F42" i="3" a="1"/>
  <c r="F42" i="3" s="1"/>
  <c r="E42" i="3"/>
  <c r="D42" i="3" a="1"/>
  <c r="D42" i="3" s="1"/>
  <c r="C42" i="3"/>
  <c r="I39" i="3" a="1"/>
  <c r="I39" i="3" s="1"/>
  <c r="J39" i="3" s="1" a="1"/>
  <c r="J39" i="3" s="1"/>
  <c r="H39" i="3" a="1"/>
  <c r="H39" i="3" s="1"/>
  <c r="G39" i="3"/>
  <c r="F39" i="3" a="1"/>
  <c r="F39" i="3" s="1"/>
  <c r="E39" i="3"/>
  <c r="D39" i="3" a="1"/>
  <c r="D39" i="3" s="1"/>
  <c r="C39" i="3"/>
  <c r="I45" i="3" a="1"/>
  <c r="I45" i="3" s="1"/>
  <c r="J45" i="3" s="1" a="1"/>
  <c r="J45" i="3" s="1"/>
  <c r="I47" i="3" a="1"/>
  <c r="I47" i="3" s="1"/>
  <c r="J47" i="3" s="1" a="1"/>
  <c r="J47" i="3" s="1"/>
  <c r="G47" i="3"/>
  <c r="E47" i="3"/>
  <c r="C47" i="3"/>
  <c r="I48" i="3" a="1"/>
  <c r="I48" i="3" s="1"/>
  <c r="J48" i="3" s="1" a="1"/>
  <c r="J48" i="3" s="1"/>
  <c r="G48" i="3"/>
  <c r="E48" i="3"/>
  <c r="C48" i="3"/>
  <c r="I51" i="3" a="1"/>
  <c r="I51" i="3" s="1"/>
  <c r="J51" i="3" s="1" a="1"/>
  <c r="J51" i="3" s="1"/>
  <c r="G51" i="3"/>
  <c r="E51" i="3"/>
  <c r="C51" i="3"/>
  <c r="I50" i="3" a="1"/>
  <c r="I50" i="3" s="1"/>
  <c r="J50" i="3" s="1" a="1"/>
  <c r="J50" i="3" s="1"/>
  <c r="G50" i="3"/>
  <c r="E50" i="3"/>
  <c r="C50" i="3"/>
  <c r="I49" i="3" a="1"/>
  <c r="I49" i="3" s="1"/>
  <c r="J49" i="3" s="1" a="1"/>
  <c r="J49" i="3" s="1"/>
  <c r="G49" i="3"/>
  <c r="E49" i="3"/>
  <c r="C49" i="3"/>
  <c r="G46" i="3"/>
  <c r="E46" i="3"/>
  <c r="C46" i="3"/>
  <c r="G24" i="6"/>
  <c r="G25" i="6"/>
  <c r="AA25" i="6" s="1"/>
  <c r="G3" i="2"/>
  <c r="AA3" i="2" s="1"/>
  <c r="G2" i="2"/>
  <c r="AA2" i="2" s="1"/>
  <c r="I44" i="6" a="1"/>
  <c r="I44" i="6" s="1"/>
  <c r="J44" i="6" s="1" a="1"/>
  <c r="J44" i="6" s="1"/>
  <c r="I46" i="6" a="1"/>
  <c r="I46" i="6" s="1"/>
  <c r="J46" i="6" s="1" a="1"/>
  <c r="J46" i="6" s="1"/>
  <c r="G46" i="6"/>
  <c r="E46" i="6"/>
  <c r="I47" i="6" a="1"/>
  <c r="I47" i="6" s="1"/>
  <c r="J47" i="6" s="1" a="1"/>
  <c r="J47" i="6" s="1"/>
  <c r="G47" i="6"/>
  <c r="E47" i="6"/>
  <c r="I50" i="6" a="1"/>
  <c r="I50" i="6" s="1"/>
  <c r="J50" i="6" s="1" a="1"/>
  <c r="J50" i="6" s="1"/>
  <c r="G50" i="6"/>
  <c r="E50" i="6"/>
  <c r="I49" i="6" a="1"/>
  <c r="I49" i="6" s="1"/>
  <c r="J49" i="6" s="1" a="1"/>
  <c r="J49" i="6" s="1"/>
  <c r="G49" i="6"/>
  <c r="E49" i="6"/>
  <c r="I48" i="6" a="1"/>
  <c r="I48" i="6" s="1"/>
  <c r="J48" i="6" s="1" a="1"/>
  <c r="J48" i="6" s="1"/>
  <c r="G48" i="6"/>
  <c r="E48" i="6"/>
  <c r="I45" i="6" a="1"/>
  <c r="I45" i="6" s="1"/>
  <c r="J45" i="6" s="1" a="1"/>
  <c r="J45" i="6" s="1"/>
  <c r="G45" i="6"/>
  <c r="E45" i="6"/>
  <c r="C46" i="6"/>
  <c r="C47" i="6"/>
  <c r="C50" i="6"/>
  <c r="C49" i="6"/>
  <c r="C48" i="6"/>
  <c r="C45" i="6"/>
  <c r="I51" i="6" a="1"/>
  <c r="I51" i="6" s="1"/>
  <c r="J51" i="6" s="1" a="1"/>
  <c r="J51" i="6" s="1"/>
  <c r="I53" i="6" a="1"/>
  <c r="I53" i="6" s="1"/>
  <c r="J53" i="6" s="1" a="1"/>
  <c r="J53" i="6" s="1"/>
  <c r="I54" i="6" a="1"/>
  <c r="I54" i="6" s="1"/>
  <c r="J54" i="6" s="1" a="1"/>
  <c r="J54" i="6" s="1"/>
  <c r="I57" i="6" a="1"/>
  <c r="I57" i="6" s="1"/>
  <c r="J57" i="6" s="1" a="1"/>
  <c r="J57" i="6" s="1"/>
  <c r="I56" i="6" a="1"/>
  <c r="I56" i="6" s="1"/>
  <c r="J56" i="6" s="1" a="1"/>
  <c r="J56" i="6" s="1"/>
  <c r="I55" i="6" a="1"/>
  <c r="I55" i="6" s="1"/>
  <c r="J55" i="6" s="1" a="1"/>
  <c r="J55" i="6" s="1"/>
  <c r="I52" i="6" a="1"/>
  <c r="I52" i="6" s="1"/>
  <c r="J52" i="6" s="1" a="1"/>
  <c r="J52" i="6" s="1"/>
  <c r="E52" i="6"/>
  <c r="G53" i="6"/>
  <c r="G54" i="6"/>
  <c r="G57" i="6"/>
  <c r="G56" i="6"/>
  <c r="G55" i="6"/>
  <c r="G52" i="6"/>
  <c r="E53" i="6"/>
  <c r="E54" i="6"/>
  <c r="E57" i="6"/>
  <c r="E56" i="6"/>
  <c r="E55" i="6"/>
  <c r="C53" i="6"/>
  <c r="C54" i="6"/>
  <c r="C57" i="6"/>
  <c r="C56" i="6"/>
  <c r="C55" i="6"/>
  <c r="C52" i="6"/>
  <c r="I46" i="7" a="1"/>
  <c r="I46" i="7" s="1"/>
  <c r="J46" i="7" s="1" a="1"/>
  <c r="J46" i="7" s="1"/>
  <c r="G45" i="2"/>
  <c r="G46" i="2"/>
  <c r="G49" i="2"/>
  <c r="G48" i="2"/>
  <c r="G47" i="2"/>
  <c r="G44" i="2"/>
  <c r="E45" i="2"/>
  <c r="E46" i="2"/>
  <c r="E49" i="2"/>
  <c r="E48" i="2"/>
  <c r="E47" i="2"/>
  <c r="E44" i="2"/>
  <c r="I45" i="2" a="1"/>
  <c r="I45" i="2" s="1"/>
  <c r="J45" i="2" s="1" a="1"/>
  <c r="J45" i="2" s="1"/>
  <c r="I46" i="2" a="1"/>
  <c r="I46" i="2" s="1"/>
  <c r="J46" i="2" s="1" a="1"/>
  <c r="J46" i="2" s="1"/>
  <c r="I49" i="2" a="1"/>
  <c r="I49" i="2" s="1"/>
  <c r="J49" i="2" s="1" a="1"/>
  <c r="J49" i="2" s="1"/>
  <c r="I48" i="2" a="1"/>
  <c r="I48" i="2" s="1"/>
  <c r="J48" i="2" s="1" a="1"/>
  <c r="J48" i="2" s="1"/>
  <c r="I47" i="2" a="1"/>
  <c r="I47" i="2" s="1"/>
  <c r="J47" i="2" s="1" a="1"/>
  <c r="J47" i="2" s="1"/>
  <c r="I44" i="2" a="1"/>
  <c r="I44" i="2" s="1"/>
  <c r="J44" i="2" s="1" a="1"/>
  <c r="J44" i="2" s="1"/>
  <c r="C45" i="2"/>
  <c r="C46" i="2"/>
  <c r="C49" i="2"/>
  <c r="C48" i="2"/>
  <c r="C47" i="2"/>
  <c r="C44" i="2"/>
  <c r="I52" i="2" a="1"/>
  <c r="I52" i="2" s="1"/>
  <c r="J52" i="2" s="1" a="1"/>
  <c r="J52" i="2" s="1"/>
  <c r="I53" i="2" a="1"/>
  <c r="I53" i="2" s="1"/>
  <c r="J53" i="2" s="1" a="1"/>
  <c r="J53" i="2" s="1"/>
  <c r="I56" i="2" a="1"/>
  <c r="I56" i="2" s="1"/>
  <c r="J56" i="2" s="1" a="1"/>
  <c r="J56" i="2" s="1"/>
  <c r="I55" i="2" a="1"/>
  <c r="I55" i="2" s="1"/>
  <c r="J55" i="2" s="1" a="1"/>
  <c r="J55" i="2" s="1"/>
  <c r="I54" i="2" a="1"/>
  <c r="I54" i="2" s="1"/>
  <c r="J54" i="2" s="1" a="1"/>
  <c r="J54" i="2" s="1"/>
  <c r="I51" i="2" a="1"/>
  <c r="I51" i="2" s="1"/>
  <c r="J51" i="2" s="1" a="1"/>
  <c r="J51" i="2" s="1"/>
  <c r="G53" i="2"/>
  <c r="G56" i="2"/>
  <c r="G55" i="2"/>
  <c r="G54" i="2"/>
  <c r="E52" i="2"/>
  <c r="E53" i="2"/>
  <c r="E56" i="2"/>
  <c r="E55" i="2"/>
  <c r="E54" i="2"/>
  <c r="G4" i="2"/>
  <c r="AA4" i="2" s="1"/>
  <c r="G5" i="2"/>
  <c r="AA5" i="2" s="1"/>
  <c r="G6" i="2"/>
  <c r="AA6" i="2" s="1"/>
  <c r="G7" i="2"/>
  <c r="AA7" i="2" s="1"/>
  <c r="G8" i="2"/>
  <c r="AA8" i="2" s="1"/>
  <c r="G9" i="2"/>
  <c r="AA9" i="2" s="1"/>
  <c r="G10" i="2"/>
  <c r="Z10" i="2" s="1"/>
  <c r="G11" i="2"/>
  <c r="AA11" i="2" s="1"/>
  <c r="G12" i="2"/>
  <c r="AA12" i="2" s="1"/>
  <c r="G13" i="2"/>
  <c r="AA13" i="2" s="1"/>
  <c r="G14" i="2"/>
  <c r="AA14" i="2" s="1"/>
  <c r="G15" i="2"/>
  <c r="AA15" i="2" s="1"/>
  <c r="G16" i="2"/>
  <c r="AA16" i="2" s="1"/>
  <c r="G17" i="2"/>
  <c r="AA17" i="2" s="1"/>
  <c r="G18" i="2"/>
  <c r="AA18" i="2" s="1"/>
  <c r="G19" i="2"/>
  <c r="AA19" i="2" s="1"/>
  <c r="G20" i="2"/>
  <c r="AA20" i="2" s="1"/>
  <c r="G21" i="2"/>
  <c r="AA21" i="2" s="1"/>
  <c r="G22" i="2"/>
  <c r="AA22" i="2" s="1"/>
  <c r="G23" i="2"/>
  <c r="AA23" i="2" s="1"/>
  <c r="G24" i="2"/>
  <c r="AA24" i="2" s="1"/>
  <c r="G25" i="2"/>
  <c r="AA25" i="2" s="1"/>
  <c r="G26" i="2"/>
  <c r="AA26" i="2" s="1"/>
  <c r="G27" i="2"/>
  <c r="AA27" i="2" s="1"/>
  <c r="G28" i="2"/>
  <c r="AA28" i="2" s="1"/>
  <c r="G29" i="2"/>
  <c r="AA29" i="2" s="1"/>
  <c r="G30" i="2"/>
  <c r="AA30" i="2" s="1"/>
  <c r="G31" i="2"/>
  <c r="AA31" i="2" s="1"/>
  <c r="G32" i="2"/>
  <c r="AA32" i="2" s="1"/>
  <c r="G33" i="2"/>
  <c r="AA33" i="2" s="1"/>
  <c r="G34" i="2"/>
  <c r="Z34" i="2" s="1"/>
  <c r="G35" i="2"/>
  <c r="AA35" i="2" s="1"/>
  <c r="G36" i="2"/>
  <c r="AA36" i="2" s="1"/>
  <c r="G37" i="2"/>
  <c r="AA37" i="2" s="1"/>
  <c r="G38" i="2"/>
  <c r="AA38" i="2" s="1"/>
  <c r="C51" i="2"/>
  <c r="C52" i="2"/>
  <c r="C56" i="2"/>
  <c r="C55" i="2"/>
  <c r="C54" i="2"/>
  <c r="I41" i="7" a="1"/>
  <c r="I41" i="7" s="1"/>
  <c r="J41" i="7" s="1" a="1"/>
  <c r="J41" i="7" s="1"/>
  <c r="I43" i="7" a="1"/>
  <c r="I43" i="7" s="1"/>
  <c r="J43" i="7" s="1" a="1"/>
  <c r="J43" i="7" s="1"/>
  <c r="I49" i="7" a="1"/>
  <c r="I49" i="7" s="1"/>
  <c r="J49" i="7" s="1" a="1"/>
  <c r="J49" i="7" s="1"/>
  <c r="I47" i="7" a="1"/>
  <c r="I47" i="7" s="1"/>
  <c r="J47" i="7" s="1" a="1"/>
  <c r="J47" i="7" s="1"/>
  <c r="I39" i="7" a="1"/>
  <c r="I39" i="7" s="1"/>
  <c r="J39" i="7" s="1" a="1"/>
  <c r="J39" i="7" s="1"/>
  <c r="I45" i="7" a="1"/>
  <c r="I45" i="7" s="1"/>
  <c r="J45" i="7" s="1" a="1"/>
  <c r="J45" i="7" s="1"/>
  <c r="I42" i="7" a="1"/>
  <c r="I42" i="7" s="1"/>
  <c r="J42" i="7" s="1" a="1"/>
  <c r="J42" i="7" s="1"/>
  <c r="I44" i="7" a="1"/>
  <c r="I44" i="7" s="1"/>
  <c r="J44" i="7" s="1" a="1"/>
  <c r="J44" i="7" s="1"/>
  <c r="I50" i="7" a="1"/>
  <c r="I50" i="7" s="1"/>
  <c r="J50" i="7" s="1" a="1"/>
  <c r="J50" i="7" s="1"/>
  <c r="I48" i="7" a="1"/>
  <c r="I48" i="7" s="1"/>
  <c r="J48" i="7" s="1" a="1"/>
  <c r="J48" i="7" s="1"/>
  <c r="C39" i="7"/>
  <c r="E39" i="7"/>
  <c r="G39" i="7"/>
  <c r="E45" i="7"/>
  <c r="G45" i="7"/>
  <c r="E47" i="7"/>
  <c r="G47" i="7"/>
  <c r="E49" i="7"/>
  <c r="G49" i="7"/>
  <c r="E43" i="7"/>
  <c r="G43" i="7"/>
  <c r="E41" i="7"/>
  <c r="G41" i="7"/>
  <c r="C41" i="7"/>
  <c r="C43" i="7"/>
  <c r="C49" i="7"/>
  <c r="C47" i="7"/>
  <c r="C45" i="7"/>
  <c r="C40" i="7"/>
  <c r="G48" i="7"/>
  <c r="E50" i="7"/>
  <c r="G50" i="7"/>
  <c r="C50" i="7"/>
  <c r="E44" i="7"/>
  <c r="E42" i="7"/>
  <c r="C42" i="7"/>
  <c r="C44" i="7"/>
  <c r="C48" i="7"/>
  <c r="E46" i="7"/>
  <c r="C46" i="7"/>
  <c r="E40" i="7"/>
  <c r="R3" i="8"/>
  <c r="R4" i="8"/>
  <c r="R28" i="8"/>
  <c r="R27" i="8"/>
  <c r="R26" i="8"/>
  <c r="R5" i="8"/>
  <c r="R6" i="8"/>
  <c r="R30" i="8"/>
  <c r="R7" i="8"/>
  <c r="R8" i="8"/>
  <c r="R9" i="8"/>
  <c r="R10" i="8"/>
  <c r="R29" i="8"/>
  <c r="R11" i="8"/>
  <c r="R32" i="8"/>
  <c r="R34" i="8"/>
  <c r="R31" i="8"/>
  <c r="R12" i="8"/>
  <c r="R33" i="8"/>
  <c r="R13" i="8"/>
  <c r="R35" i="8"/>
  <c r="R14" i="8"/>
  <c r="R15" i="8"/>
  <c r="R16" i="8"/>
  <c r="R17" i="8"/>
  <c r="R18" i="8"/>
  <c r="R38" i="8"/>
  <c r="R19" i="8"/>
  <c r="R20" i="8"/>
  <c r="R36" i="8"/>
  <c r="R37" i="8"/>
  <c r="R21" i="8"/>
  <c r="R22" i="8"/>
  <c r="R23" i="8"/>
  <c r="R39" i="8"/>
  <c r="R24" i="8"/>
  <c r="R44" i="8"/>
  <c r="R41" i="8"/>
  <c r="R43" i="8"/>
  <c r="R42" i="8"/>
  <c r="R45" i="8"/>
  <c r="R40" i="8"/>
  <c r="R46" i="8"/>
  <c r="R25" i="8"/>
  <c r="R47" i="8"/>
  <c r="CM33" i="15"/>
  <c r="CM50" i="15"/>
  <c r="CM30" i="15"/>
  <c r="CM37" i="15"/>
  <c r="CM10" i="15"/>
  <c r="CM38" i="15"/>
  <c r="CM25" i="15"/>
  <c r="CM5" i="15"/>
  <c r="CM45" i="15"/>
  <c r="CM11" i="15"/>
  <c r="CM21" i="15"/>
  <c r="CM2" i="15"/>
  <c r="CM7" i="15"/>
  <c r="CM31" i="15"/>
  <c r="CM19" i="15"/>
  <c r="CM51" i="15"/>
  <c r="CM29" i="15"/>
  <c r="CM52" i="15"/>
  <c r="CM22" i="15"/>
  <c r="CM3" i="15"/>
  <c r="CM15" i="15"/>
  <c r="CM44" i="15"/>
  <c r="CM17" i="15"/>
  <c r="CM47" i="15"/>
  <c r="CM16" i="15"/>
  <c r="CM46" i="15"/>
  <c r="CM20" i="15"/>
  <c r="CM35" i="15"/>
  <c r="CM8" i="15"/>
  <c r="CM13" i="15"/>
  <c r="CM24" i="15"/>
  <c r="CM34" i="15"/>
  <c r="CM42" i="15"/>
  <c r="CM9" i="15"/>
  <c r="CM27" i="15"/>
  <c r="CM4" i="15"/>
  <c r="CM36" i="15"/>
  <c r="CM40" i="15"/>
  <c r="CM18" i="15"/>
  <c r="CM48" i="15"/>
  <c r="CM14" i="15"/>
  <c r="CM49" i="15"/>
  <c r="CM12" i="15"/>
  <c r="CM53" i="15"/>
  <c r="CM43" i="15"/>
  <c r="CM28" i="15"/>
  <c r="CM41" i="15"/>
  <c r="CM26" i="15"/>
  <c r="CM23" i="15"/>
  <c r="CM39" i="15"/>
  <c r="CL33" i="15"/>
  <c r="CL50" i="15"/>
  <c r="CL30" i="15"/>
  <c r="CL37" i="15"/>
  <c r="CL10" i="15"/>
  <c r="CL38" i="15"/>
  <c r="CL25" i="15"/>
  <c r="CL5" i="15"/>
  <c r="CL45" i="15"/>
  <c r="CL11" i="15"/>
  <c r="CL21" i="15"/>
  <c r="CL2" i="15"/>
  <c r="CL7" i="15"/>
  <c r="CL31" i="15"/>
  <c r="CL19" i="15"/>
  <c r="CL51" i="15"/>
  <c r="CL29" i="15"/>
  <c r="CL6" i="15"/>
  <c r="CL52" i="15"/>
  <c r="CL22" i="15"/>
  <c r="CL3" i="15"/>
  <c r="CL15" i="15"/>
  <c r="CL44" i="15"/>
  <c r="CL17" i="15"/>
  <c r="CL47" i="15"/>
  <c r="CL16" i="15"/>
  <c r="CL46" i="15"/>
  <c r="CL20" i="15"/>
  <c r="CL35" i="15"/>
  <c r="CL8" i="15"/>
  <c r="CL13" i="15"/>
  <c r="CL24" i="15"/>
  <c r="CL34" i="15"/>
  <c r="CL42" i="15"/>
  <c r="CL9" i="15"/>
  <c r="CL27" i="15"/>
  <c r="CL4" i="15"/>
  <c r="CL36" i="15"/>
  <c r="CL40" i="15"/>
  <c r="CL18" i="15"/>
  <c r="CL48" i="15"/>
  <c r="CL14" i="15"/>
  <c r="CL49" i="15"/>
  <c r="CL12" i="15"/>
  <c r="CL53" i="15"/>
  <c r="CL43" i="15"/>
  <c r="CL28" i="15"/>
  <c r="CL41" i="15"/>
  <c r="CL26" i="15"/>
  <c r="CL23" i="15"/>
  <c r="CL39" i="15"/>
  <c r="CM32" i="15"/>
  <c r="CL32" i="15"/>
  <c r="BP33" i="15"/>
  <c r="BP50" i="15"/>
  <c r="BP30" i="15"/>
  <c r="BP37" i="15"/>
  <c r="BP10" i="15"/>
  <c r="BP38" i="15"/>
  <c r="BP25" i="15"/>
  <c r="BP5" i="15"/>
  <c r="BP45" i="15"/>
  <c r="BP11" i="15"/>
  <c r="BP21" i="15"/>
  <c r="BP2" i="15"/>
  <c r="BP7" i="15"/>
  <c r="BP31" i="15"/>
  <c r="BP19" i="15"/>
  <c r="BP51" i="15"/>
  <c r="BP29" i="15"/>
  <c r="BP6" i="15"/>
  <c r="BP52" i="15"/>
  <c r="BP22" i="15"/>
  <c r="BP3" i="15"/>
  <c r="BP15" i="15"/>
  <c r="BP44" i="15"/>
  <c r="BP17" i="15"/>
  <c r="BP47" i="15"/>
  <c r="BP16" i="15"/>
  <c r="BP46" i="15"/>
  <c r="BP20" i="15"/>
  <c r="BP35" i="15"/>
  <c r="BP8" i="15"/>
  <c r="BP13" i="15"/>
  <c r="BP24" i="15"/>
  <c r="BP34" i="15"/>
  <c r="BP42" i="15"/>
  <c r="BP9" i="15"/>
  <c r="BP27" i="15"/>
  <c r="BP4" i="15"/>
  <c r="BP36" i="15"/>
  <c r="BP40" i="15"/>
  <c r="BP18" i="15"/>
  <c r="BP48" i="15"/>
  <c r="BP14" i="15"/>
  <c r="BP49" i="15"/>
  <c r="BP12" i="15"/>
  <c r="BP53" i="15"/>
  <c r="BP43" i="15"/>
  <c r="BP28" i="15"/>
  <c r="BP41" i="15"/>
  <c r="BP26" i="15"/>
  <c r="BP23" i="15"/>
  <c r="BP39" i="15"/>
  <c r="BQ33" i="15"/>
  <c r="BQ50" i="15"/>
  <c r="BQ30" i="15"/>
  <c r="BQ37" i="15"/>
  <c r="BQ10" i="15"/>
  <c r="BQ38" i="15"/>
  <c r="BQ25" i="15"/>
  <c r="BQ5" i="15"/>
  <c r="BQ45" i="15"/>
  <c r="BQ11" i="15"/>
  <c r="BQ21" i="15"/>
  <c r="BQ2" i="15"/>
  <c r="BQ7" i="15"/>
  <c r="BQ31" i="15"/>
  <c r="BQ19" i="15"/>
  <c r="BQ51" i="15"/>
  <c r="BQ29" i="15"/>
  <c r="BQ6" i="15"/>
  <c r="BQ52" i="15"/>
  <c r="BQ22" i="15"/>
  <c r="BQ3" i="15"/>
  <c r="BQ15" i="15"/>
  <c r="BQ44" i="15"/>
  <c r="BQ17" i="15"/>
  <c r="BQ47" i="15"/>
  <c r="BQ16" i="15"/>
  <c r="BQ46" i="15"/>
  <c r="BQ20" i="15"/>
  <c r="BQ35" i="15"/>
  <c r="BQ8" i="15"/>
  <c r="BQ13" i="15"/>
  <c r="BQ24" i="15"/>
  <c r="BQ34" i="15"/>
  <c r="BQ42" i="15"/>
  <c r="BQ9" i="15"/>
  <c r="BQ27" i="15"/>
  <c r="BQ4" i="15"/>
  <c r="BQ36" i="15"/>
  <c r="BQ40" i="15"/>
  <c r="BQ18" i="15"/>
  <c r="BQ48" i="15"/>
  <c r="BQ14" i="15"/>
  <c r="BQ49" i="15"/>
  <c r="BQ12" i="15"/>
  <c r="BQ53" i="15"/>
  <c r="BQ43" i="15"/>
  <c r="BQ28" i="15"/>
  <c r="BQ41" i="15"/>
  <c r="BQ26" i="15"/>
  <c r="BQ23" i="15"/>
  <c r="BQ39" i="15"/>
  <c r="BQ32" i="15"/>
  <c r="BP32" i="15"/>
  <c r="AT32" i="15"/>
  <c r="AU33" i="15"/>
  <c r="AU50" i="15"/>
  <c r="AU30" i="15"/>
  <c r="AU37" i="15"/>
  <c r="AU10" i="15"/>
  <c r="AU38" i="15"/>
  <c r="AU25" i="15"/>
  <c r="AU5" i="15"/>
  <c r="AU45" i="15"/>
  <c r="AU11" i="15"/>
  <c r="AU21" i="15"/>
  <c r="AU2" i="15"/>
  <c r="AU7" i="15"/>
  <c r="AU31" i="15"/>
  <c r="AU19" i="15"/>
  <c r="AU51" i="15"/>
  <c r="AU29" i="15"/>
  <c r="AU6" i="15"/>
  <c r="AU52" i="15"/>
  <c r="AU22" i="15"/>
  <c r="AU3" i="15"/>
  <c r="AU15" i="15"/>
  <c r="AU44" i="15"/>
  <c r="AU17" i="15"/>
  <c r="AU47" i="15"/>
  <c r="AU16" i="15"/>
  <c r="AU46" i="15"/>
  <c r="AU20" i="15"/>
  <c r="AU35" i="15"/>
  <c r="AU8" i="15"/>
  <c r="AU13" i="15"/>
  <c r="AU24" i="15"/>
  <c r="AU34" i="15"/>
  <c r="AU42" i="15"/>
  <c r="AU9" i="15"/>
  <c r="AU27" i="15"/>
  <c r="AU4" i="15"/>
  <c r="AU36" i="15"/>
  <c r="AU40" i="15"/>
  <c r="AU18" i="15"/>
  <c r="AU48" i="15"/>
  <c r="AU14" i="15"/>
  <c r="AU49" i="15"/>
  <c r="AU12" i="15"/>
  <c r="AU53" i="15"/>
  <c r="AU43" i="15"/>
  <c r="AU28" i="15"/>
  <c r="AU41" i="15"/>
  <c r="AU26" i="15"/>
  <c r="AU23" i="15"/>
  <c r="AU39" i="15"/>
  <c r="AT33" i="15"/>
  <c r="AT50" i="15"/>
  <c r="AT30" i="15"/>
  <c r="AT37" i="15"/>
  <c r="AT10" i="15"/>
  <c r="AT38" i="15"/>
  <c r="AT25" i="15"/>
  <c r="AT5" i="15"/>
  <c r="AT45" i="15"/>
  <c r="AT11" i="15"/>
  <c r="AT21" i="15"/>
  <c r="AT2" i="15"/>
  <c r="AT7" i="15"/>
  <c r="AT31" i="15"/>
  <c r="AT19" i="15"/>
  <c r="AT51" i="15"/>
  <c r="AT29" i="15"/>
  <c r="AT6" i="15"/>
  <c r="AT52" i="15"/>
  <c r="AT22" i="15"/>
  <c r="AT3" i="15"/>
  <c r="AT15" i="15"/>
  <c r="AT44" i="15"/>
  <c r="AT17" i="15"/>
  <c r="AT47" i="15"/>
  <c r="AT16" i="15"/>
  <c r="AT46" i="15"/>
  <c r="AT20" i="15"/>
  <c r="AT35" i="15"/>
  <c r="AT8" i="15"/>
  <c r="AT13" i="15"/>
  <c r="AT24" i="15"/>
  <c r="AT34" i="15"/>
  <c r="AT42" i="15"/>
  <c r="AT9" i="15"/>
  <c r="AT27" i="15"/>
  <c r="AT4" i="15"/>
  <c r="AT36" i="15"/>
  <c r="AT40" i="15"/>
  <c r="AT18" i="15"/>
  <c r="AT48" i="15"/>
  <c r="AT14" i="15"/>
  <c r="AT49" i="15"/>
  <c r="AT12" i="15"/>
  <c r="AT53" i="15"/>
  <c r="AT43" i="15"/>
  <c r="AT28" i="15"/>
  <c r="AT41" i="15"/>
  <c r="AT26" i="15"/>
  <c r="AT23" i="15"/>
  <c r="AT39" i="15"/>
  <c r="AU32" i="15"/>
  <c r="Y50" i="15"/>
  <c r="Y51" i="15"/>
  <c r="Y52" i="15"/>
  <c r="E65" i="15" a="1"/>
  <c r="E65" i="15" s="1"/>
  <c r="F65" i="15" s="1" a="1"/>
  <c r="F65" i="15" s="1"/>
  <c r="Y48" i="15"/>
  <c r="Y49" i="15"/>
  <c r="Y53" i="15"/>
  <c r="X50" i="15"/>
  <c r="X51" i="15"/>
  <c r="X52" i="15"/>
  <c r="X48" i="15"/>
  <c r="X49" i="15"/>
  <c r="X53" i="15"/>
  <c r="E38" i="14"/>
  <c r="E37" i="14"/>
  <c r="E32" i="14"/>
  <c r="E13" i="14"/>
  <c r="E20" i="14"/>
  <c r="E8" i="14"/>
  <c r="E16" i="14"/>
  <c r="E26" i="14"/>
  <c r="E3" i="14"/>
  <c r="E10" i="14"/>
  <c r="E33" i="14"/>
  <c r="E5" i="14"/>
  <c r="E35" i="14"/>
  <c r="E31" i="14"/>
  <c r="E15" i="14"/>
  <c r="E24" i="14"/>
  <c r="E2" i="14"/>
  <c r="E12" i="14"/>
  <c r="E14" i="14"/>
  <c r="E18" i="14"/>
  <c r="E19" i="14"/>
  <c r="E21" i="14"/>
  <c r="E7" i="14"/>
  <c r="E9" i="14"/>
  <c r="E27" i="14"/>
  <c r="E6" i="14"/>
  <c r="E29" i="14"/>
  <c r="E11" i="14"/>
  <c r="E22" i="14"/>
  <c r="E17" i="14"/>
  <c r="E25" i="14"/>
  <c r="E4" i="14"/>
  <c r="E30" i="14"/>
  <c r="E23" i="14"/>
  <c r="E28" i="14"/>
  <c r="E34" i="14"/>
  <c r="E36" i="14"/>
  <c r="E43" i="13"/>
  <c r="U43" i="13" s="1" a="1"/>
  <c r="U43" i="13" s="1"/>
  <c r="E42" i="13"/>
  <c r="V42" i="13" s="1" a="1"/>
  <c r="V42" i="13" s="1"/>
  <c r="E39" i="13"/>
  <c r="U39" i="13" s="1" a="1"/>
  <c r="U39" i="13" s="1"/>
  <c r="E26" i="13"/>
  <c r="V26" i="13" s="1" a="1"/>
  <c r="V26" i="13" s="1"/>
  <c r="E11" i="13"/>
  <c r="U11" i="13" s="1" a="1"/>
  <c r="U11" i="13" s="1"/>
  <c r="E40" i="13"/>
  <c r="W40" i="13" s="1" a="1"/>
  <c r="W40" i="13" s="1"/>
  <c r="E31" i="13"/>
  <c r="U31" i="13" s="1" a="1"/>
  <c r="U31" i="13" s="1"/>
  <c r="E16" i="13"/>
  <c r="W16" i="13" s="1" a="1"/>
  <c r="W16" i="13" s="1"/>
  <c r="E9" i="13"/>
  <c r="U9" i="13" s="1" a="1"/>
  <c r="U9" i="13" s="1"/>
  <c r="E27" i="13"/>
  <c r="U27" i="13" s="1" a="1"/>
  <c r="U27" i="13" s="1"/>
  <c r="E6" i="13"/>
  <c r="V6" i="13" s="1" a="1"/>
  <c r="V6" i="13" s="1"/>
  <c r="E13" i="13"/>
  <c r="U13" i="13" s="1" a="1"/>
  <c r="U13" i="13" s="1"/>
  <c r="E41" i="13"/>
  <c r="U41" i="13" s="1" a="1"/>
  <c r="U41" i="13" s="1"/>
  <c r="E18" i="13"/>
  <c r="V18" i="13" s="1" a="1"/>
  <c r="V18" i="13" s="1"/>
  <c r="E37" i="13"/>
  <c r="U37" i="13" s="1" a="1"/>
  <c r="U37" i="13" s="1"/>
  <c r="E4" i="13"/>
  <c r="W4" i="13" s="1" a="1"/>
  <c r="W4" i="13" s="1"/>
  <c r="E23" i="13"/>
  <c r="U23" i="13" s="1" a="1"/>
  <c r="U23" i="13" s="1"/>
  <c r="E2" i="13"/>
  <c r="V2" i="13" s="1" a="1"/>
  <c r="V2" i="13" s="1"/>
  <c r="E7" i="13"/>
  <c r="U7" i="13" s="1" a="1"/>
  <c r="U7" i="13" s="1"/>
  <c r="E17" i="13"/>
  <c r="U17" i="13" s="1" a="1"/>
  <c r="U17" i="13" s="1"/>
  <c r="E14" i="13"/>
  <c r="V14" i="13" s="1" a="1"/>
  <c r="V14" i="13" s="1"/>
  <c r="E20" i="13"/>
  <c r="W20" i="13" s="1" a="1"/>
  <c r="W20" i="13" s="1"/>
  <c r="E21" i="13"/>
  <c r="U21" i="13" s="1" a="1"/>
  <c r="U21" i="13" s="1"/>
  <c r="E25" i="13"/>
  <c r="U25" i="13" s="1" a="1"/>
  <c r="U25" i="13" s="1"/>
  <c r="E35" i="13"/>
  <c r="U35" i="13" s="1" a="1"/>
  <c r="U35" i="13" s="1"/>
  <c r="E8" i="13"/>
  <c r="W8" i="13" s="1" a="1"/>
  <c r="W8" i="13" s="1"/>
  <c r="E10" i="13"/>
  <c r="U10" i="13" s="1" a="1"/>
  <c r="U10" i="13" s="1"/>
  <c r="E28" i="13"/>
  <c r="W28" i="13" s="1" a="1"/>
  <c r="W28" i="13" s="1"/>
  <c r="E22" i="13"/>
  <c r="V22" i="13" s="1" a="1"/>
  <c r="V22" i="13" s="1"/>
  <c r="E12" i="13"/>
  <c r="W12" i="13" s="1" a="1"/>
  <c r="W12" i="13" s="1"/>
  <c r="E32" i="13"/>
  <c r="W32" i="13" s="1" a="1"/>
  <c r="W32" i="13" s="1"/>
  <c r="E5" i="13"/>
  <c r="U5" i="13" s="1" a="1"/>
  <c r="U5" i="13" s="1"/>
  <c r="E30" i="13"/>
  <c r="V30" i="13" s="1" a="1"/>
  <c r="V30" i="13" s="1"/>
  <c r="E19" i="13"/>
  <c r="U19" i="13" s="1" a="1"/>
  <c r="U19" i="13" s="1"/>
  <c r="E33" i="13"/>
  <c r="U33" i="13" s="1" a="1"/>
  <c r="U33" i="13" s="1"/>
  <c r="E15" i="13"/>
  <c r="U15" i="13" s="1" a="1"/>
  <c r="U15" i="13" s="1"/>
  <c r="E3" i="13"/>
  <c r="U3" i="13" s="1" a="1"/>
  <c r="U3" i="13" s="1"/>
  <c r="E38" i="13"/>
  <c r="V38" i="13" s="1" a="1"/>
  <c r="V38" i="13" s="1"/>
  <c r="E36" i="13"/>
  <c r="W36" i="13" s="1" a="1"/>
  <c r="W36" i="13" s="1"/>
  <c r="E34" i="13"/>
  <c r="V34" i="13" s="1" a="1"/>
  <c r="V34" i="13" s="1"/>
  <c r="E24" i="13"/>
  <c r="W24" i="13" s="1" a="1"/>
  <c r="W24" i="13" s="1"/>
  <c r="E29" i="13"/>
  <c r="U29" i="13" s="1" a="1"/>
  <c r="U29" i="13" s="1"/>
  <c r="E44" i="13"/>
  <c r="W44" i="13" s="1" a="1"/>
  <c r="W44" i="13" s="1"/>
  <c r="E46" i="12"/>
  <c r="U46" i="12" s="1" a="1"/>
  <c r="U46" i="12" s="1"/>
  <c r="E43" i="12"/>
  <c r="U43" i="12" s="1" a="1"/>
  <c r="U43" i="12" s="1"/>
  <c r="E40" i="12"/>
  <c r="W40" i="12" s="1" a="1"/>
  <c r="W40" i="12" s="1"/>
  <c r="E30" i="12"/>
  <c r="U30" i="12" s="1" a="1"/>
  <c r="U30" i="12" s="1"/>
  <c r="E8" i="12"/>
  <c r="W8" i="12" s="1" a="1"/>
  <c r="W8" i="12" s="1"/>
  <c r="E32" i="12"/>
  <c r="W32" i="12" s="1" a="1"/>
  <c r="W32" i="12" s="1"/>
  <c r="E41" i="12"/>
  <c r="U41" i="12" s="1" a="1"/>
  <c r="U41" i="12" s="1"/>
  <c r="E3" i="12"/>
  <c r="U3" i="12" s="1" a="1"/>
  <c r="U3" i="12" s="1"/>
  <c r="E35" i="12"/>
  <c r="U35" i="12" s="1" a="1"/>
  <c r="U35" i="12" s="1"/>
  <c r="E10" i="12"/>
  <c r="U10" i="12" s="1" a="1"/>
  <c r="U10" i="12" s="1"/>
  <c r="E24" i="12"/>
  <c r="W24" i="12" s="1" a="1"/>
  <c r="W24" i="12" s="1"/>
  <c r="E4" i="12"/>
  <c r="W4" i="12" s="1" a="1"/>
  <c r="W4" i="12" s="1"/>
  <c r="E6" i="12"/>
  <c r="U6" i="12" s="1" a="1"/>
  <c r="U6" i="12" s="1"/>
  <c r="E45" i="12"/>
  <c r="U45" i="12" s="1" a="1"/>
  <c r="U45" i="12" s="1"/>
  <c r="E5" i="12"/>
  <c r="U5" i="12" s="1" a="1"/>
  <c r="U5" i="12" s="1"/>
  <c r="E42" i="12"/>
  <c r="U42" i="12" s="1" a="1"/>
  <c r="U42" i="12" s="1"/>
  <c r="E36" i="12"/>
  <c r="W36" i="12" s="1" a="1"/>
  <c r="W36" i="12" s="1"/>
  <c r="E11" i="12"/>
  <c r="U11" i="12" s="1" a="1"/>
  <c r="U11" i="12" s="1"/>
  <c r="E38" i="12"/>
  <c r="U38" i="12" s="1" a="1"/>
  <c r="U38" i="12" s="1"/>
  <c r="E27" i="12"/>
  <c r="U27" i="12" s="1" a="1"/>
  <c r="U27" i="12" s="1"/>
  <c r="E2" i="12"/>
  <c r="U2" i="12" s="1" a="1"/>
  <c r="U2" i="12" s="1"/>
  <c r="E15" i="12"/>
  <c r="U15" i="12" s="1" a="1"/>
  <c r="U15" i="12" s="1"/>
  <c r="E19" i="12"/>
  <c r="U19" i="12" s="1" a="1"/>
  <c r="U19" i="12" s="1"/>
  <c r="E21" i="12"/>
  <c r="U21" i="12" s="1" a="1"/>
  <c r="U21" i="12" s="1"/>
  <c r="E14" i="12"/>
  <c r="U14" i="12" s="1" a="1"/>
  <c r="U14" i="12" s="1"/>
  <c r="E20" i="12"/>
  <c r="W20" i="12" s="1" a="1"/>
  <c r="W20" i="12" s="1"/>
  <c r="E26" i="12"/>
  <c r="U26" i="12" s="1" a="1"/>
  <c r="U26" i="12" s="1"/>
  <c r="E7" i="12"/>
  <c r="E9" i="12"/>
  <c r="U9" i="12" s="1" a="1"/>
  <c r="U9" i="12" s="1"/>
  <c r="E17" i="12"/>
  <c r="U17" i="12" s="1" a="1"/>
  <c r="U17" i="12" s="1"/>
  <c r="E28" i="12"/>
  <c r="W28" i="12" s="1" a="1"/>
  <c r="W28" i="12" s="1"/>
  <c r="E31" i="12"/>
  <c r="U31" i="12" s="1" a="1"/>
  <c r="U31" i="12" s="1"/>
  <c r="E37" i="12"/>
  <c r="U37" i="12" s="1" a="1"/>
  <c r="U37" i="12" s="1"/>
  <c r="E18" i="12"/>
  <c r="U18" i="12" s="1" a="1"/>
  <c r="U18" i="12" s="1"/>
  <c r="E44" i="12"/>
  <c r="W44" i="12" s="1" a="1"/>
  <c r="W44" i="12" s="1"/>
  <c r="E13" i="12"/>
  <c r="U13" i="12" s="1" a="1"/>
  <c r="U13" i="12" s="1"/>
  <c r="E23" i="12"/>
  <c r="U23" i="12" s="1" a="1"/>
  <c r="U23" i="12" s="1"/>
  <c r="E22" i="12"/>
  <c r="U22" i="12" s="1" a="1"/>
  <c r="U22" i="12" s="1"/>
  <c r="E33" i="12"/>
  <c r="U33" i="12" s="1" a="1"/>
  <c r="U33" i="12" s="1"/>
  <c r="E12" i="12"/>
  <c r="W12" i="12" s="1" a="1"/>
  <c r="W12" i="12" s="1"/>
  <c r="E16" i="12"/>
  <c r="W16" i="12" s="1" a="1"/>
  <c r="W16" i="12" s="1"/>
  <c r="E47" i="12"/>
  <c r="U47" i="12" s="1" a="1"/>
  <c r="U47" i="12" s="1"/>
  <c r="E39" i="12"/>
  <c r="U39" i="12" s="1" a="1"/>
  <c r="U39" i="12" s="1"/>
  <c r="E34" i="12"/>
  <c r="U34" i="12" s="1" a="1"/>
  <c r="U34" i="12" s="1"/>
  <c r="E25" i="12"/>
  <c r="U25" i="12" s="1" a="1"/>
  <c r="U25" i="12" s="1"/>
  <c r="E29" i="12"/>
  <c r="U29" i="12" s="1" a="1"/>
  <c r="U29" i="12" s="1"/>
  <c r="E44" i="11"/>
  <c r="U44" i="11" s="1" a="1"/>
  <c r="U44" i="11" s="1"/>
  <c r="E45" i="11"/>
  <c r="U45" i="11" s="1" a="1"/>
  <c r="U45" i="11" s="1"/>
  <c r="E43" i="11"/>
  <c r="U43" i="11" s="1" a="1"/>
  <c r="U43" i="11" s="1"/>
  <c r="E41" i="11"/>
  <c r="U41" i="11" s="1" a="1"/>
  <c r="U41" i="11" s="1"/>
  <c r="E4" i="11"/>
  <c r="U4" i="11" s="1" a="1"/>
  <c r="U4" i="11" s="1"/>
  <c r="E11" i="11"/>
  <c r="U11" i="11" s="1" a="1"/>
  <c r="U11" i="11" s="1"/>
  <c r="E39" i="11"/>
  <c r="U39" i="11" s="1" a="1"/>
  <c r="U39" i="11" s="1"/>
  <c r="E7" i="11"/>
  <c r="U7" i="11" s="1" a="1"/>
  <c r="U7" i="11" s="1"/>
  <c r="E38" i="11"/>
  <c r="U38" i="11" s="1" a="1"/>
  <c r="U38" i="11" s="1"/>
  <c r="E14" i="11"/>
  <c r="U14" i="11" s="1" a="1"/>
  <c r="U14" i="11" s="1"/>
  <c r="E22" i="11"/>
  <c r="U22" i="11" s="1" a="1"/>
  <c r="U22" i="11" s="1"/>
  <c r="E2" i="11"/>
  <c r="U2" i="11" s="1" a="1"/>
  <c r="U2" i="11" s="1"/>
  <c r="E15" i="11"/>
  <c r="U15" i="11" s="1" a="1"/>
  <c r="U15" i="11" s="1"/>
  <c r="E36" i="11"/>
  <c r="U36" i="11" s="1" a="1"/>
  <c r="U36" i="11" s="1"/>
  <c r="E9" i="11"/>
  <c r="U9" i="11" s="1" a="1"/>
  <c r="U9" i="11" s="1"/>
  <c r="E42" i="11"/>
  <c r="U42" i="11" s="1" a="1"/>
  <c r="U42" i="11" s="1"/>
  <c r="E37" i="11"/>
  <c r="U37" i="11" s="1" a="1"/>
  <c r="U37" i="11" s="1"/>
  <c r="E5" i="11"/>
  <c r="U5" i="11" s="1" a="1"/>
  <c r="U5" i="11" s="1"/>
  <c r="E24" i="11"/>
  <c r="W24" i="11" s="1" a="1"/>
  <c r="W24" i="11" s="1"/>
  <c r="E3" i="11"/>
  <c r="U3" i="11" s="1" a="1"/>
  <c r="U3" i="11" s="1"/>
  <c r="E18" i="11"/>
  <c r="U18" i="11" s="1" a="1"/>
  <c r="U18" i="11" s="1"/>
  <c r="E19" i="11"/>
  <c r="U19" i="11" s="1" a="1"/>
  <c r="U19" i="11" s="1"/>
  <c r="E16" i="11"/>
  <c r="U16" i="11" s="1" a="1"/>
  <c r="U16" i="11" s="1"/>
  <c r="E40" i="11"/>
  <c r="U40" i="11" s="1" a="1"/>
  <c r="U40" i="11" s="1"/>
  <c r="E25" i="11"/>
  <c r="U25" i="11" s="1" a="1"/>
  <c r="U25" i="11" s="1"/>
  <c r="E30" i="11"/>
  <c r="U30" i="11" s="1" a="1"/>
  <c r="U30" i="11" s="1"/>
  <c r="E13" i="11"/>
  <c r="U13" i="11" s="1" a="1"/>
  <c r="U13" i="11" s="1"/>
  <c r="E17" i="11"/>
  <c r="U17" i="11" s="1" a="1"/>
  <c r="U17" i="11" s="1"/>
  <c r="E29" i="11"/>
  <c r="U29" i="11" s="1" a="1"/>
  <c r="U29" i="11" s="1"/>
  <c r="E23" i="11"/>
  <c r="U23" i="11" s="1" a="1"/>
  <c r="U23" i="11" s="1"/>
  <c r="E8" i="11"/>
  <c r="W8" i="11" s="1" a="1"/>
  <c r="W8" i="11" s="1"/>
  <c r="E31" i="11"/>
  <c r="U31" i="11" s="1" a="1"/>
  <c r="U31" i="11" s="1"/>
  <c r="E6" i="11"/>
  <c r="U6" i="11" s="1" a="1"/>
  <c r="U6" i="11" s="1"/>
  <c r="E21" i="11"/>
  <c r="U21" i="11" s="1" a="1"/>
  <c r="U21" i="11" s="1"/>
  <c r="E20" i="11"/>
  <c r="U20" i="11" s="1" a="1"/>
  <c r="U20" i="11" s="1"/>
  <c r="E33" i="11"/>
  <c r="U33" i="11" s="1" a="1"/>
  <c r="U33" i="11" s="1"/>
  <c r="E12" i="11"/>
  <c r="W12" i="11" s="1" a="1"/>
  <c r="W12" i="11" s="1"/>
  <c r="E27" i="11"/>
  <c r="U27" i="11" s="1" a="1"/>
  <c r="U27" i="11" s="1"/>
  <c r="E10" i="11"/>
  <c r="U10" i="11" s="1" a="1"/>
  <c r="U10" i="11" s="1"/>
  <c r="E35" i="11"/>
  <c r="U35" i="11" s="1" a="1"/>
  <c r="U35" i="11" s="1"/>
  <c r="E34" i="11"/>
  <c r="U34" i="11" s="1" a="1"/>
  <c r="U34" i="11" s="1"/>
  <c r="E26" i="11"/>
  <c r="U26" i="11" s="1" a="1"/>
  <c r="U26" i="11" s="1"/>
  <c r="E28" i="11"/>
  <c r="W28" i="11" s="1" a="1"/>
  <c r="W28" i="11" s="1"/>
  <c r="E32" i="11"/>
  <c r="U32" i="11" s="1" a="1"/>
  <c r="U32" i="11" s="1"/>
  <c r="E44" i="10"/>
  <c r="W44" i="10" s="1" a="1"/>
  <c r="W44" i="10" s="1"/>
  <c r="E42" i="10"/>
  <c r="U42" i="10" s="1" a="1"/>
  <c r="U42" i="10" s="1"/>
  <c r="E40" i="10"/>
  <c r="U40" i="10" s="1" a="1"/>
  <c r="U40" i="10" s="1"/>
  <c r="E29" i="10"/>
  <c r="U29" i="10" s="1" a="1"/>
  <c r="U29" i="10" s="1"/>
  <c r="E24" i="10"/>
  <c r="W24" i="10" s="1" a="1"/>
  <c r="W24" i="10" s="1"/>
  <c r="E25" i="10"/>
  <c r="U25" i="10" s="1" a="1"/>
  <c r="U25" i="10" s="1"/>
  <c r="E5" i="10"/>
  <c r="W5" i="10" s="1" a="1"/>
  <c r="W5" i="10" s="1"/>
  <c r="E32" i="10"/>
  <c r="U32" i="10" s="1" a="1"/>
  <c r="U32" i="10" s="1"/>
  <c r="E14" i="10"/>
  <c r="U14" i="10" s="1" a="1"/>
  <c r="U14" i="10" s="1"/>
  <c r="E3" i="10"/>
  <c r="U3" i="10" s="1" a="1"/>
  <c r="U3" i="10" s="1"/>
  <c r="E9" i="10"/>
  <c r="U9" i="10" s="1" a="1"/>
  <c r="U9" i="10" s="1"/>
  <c r="E41" i="10"/>
  <c r="U41" i="10" s="1" a="1"/>
  <c r="U41" i="10" s="1"/>
  <c r="E18" i="10"/>
  <c r="U18" i="10" s="1" a="1"/>
  <c r="U18" i="10" s="1"/>
  <c r="E23" i="10"/>
  <c r="U23" i="10" s="1" a="1"/>
  <c r="U23" i="10" s="1"/>
  <c r="E7" i="10"/>
  <c r="U7" i="10" s="1" a="1"/>
  <c r="U7" i="10" s="1"/>
  <c r="E15" i="10"/>
  <c r="W15" i="10" s="1" a="1"/>
  <c r="W15" i="10" s="1"/>
  <c r="E6" i="10"/>
  <c r="U6" i="10" s="1" a="1"/>
  <c r="U6" i="10" s="1"/>
  <c r="E30" i="10"/>
  <c r="W30" i="10" s="1" a="1"/>
  <c r="W30" i="10" s="1"/>
  <c r="E19" i="10"/>
  <c r="W19" i="10" s="1" a="1"/>
  <c r="W19" i="10" s="1"/>
  <c r="E36" i="10"/>
  <c r="U36" i="10" s="1" a="1"/>
  <c r="U36" i="10" s="1"/>
  <c r="E35" i="10"/>
  <c r="W35" i="10" s="1" a="1"/>
  <c r="W35" i="10" s="1"/>
  <c r="E33" i="10"/>
  <c r="W33" i="10" s="1" a="1"/>
  <c r="W33" i="10" s="1"/>
  <c r="E34" i="10"/>
  <c r="U34" i="10" s="1" a="1"/>
  <c r="U34" i="10" s="1"/>
  <c r="E12" i="10"/>
  <c r="U12" i="10" s="1" a="1"/>
  <c r="U12" i="10" s="1"/>
  <c r="E16" i="10"/>
  <c r="U16" i="10" s="1" a="1"/>
  <c r="U16" i="10" s="1"/>
  <c r="E10" i="10"/>
  <c r="U10" i="10" s="1" a="1"/>
  <c r="U10" i="10" s="1"/>
  <c r="E27" i="10"/>
  <c r="W27" i="10" s="1" a="1"/>
  <c r="W27" i="10" s="1"/>
  <c r="E38" i="10"/>
  <c r="U38" i="10" s="1" a="1"/>
  <c r="U38" i="10" s="1"/>
  <c r="E4" i="10"/>
  <c r="U4" i="10" s="1" a="1"/>
  <c r="U4" i="10" s="1"/>
  <c r="E28" i="10"/>
  <c r="U28" i="10" s="1" a="1"/>
  <c r="U28" i="10" s="1"/>
  <c r="E20" i="10"/>
  <c r="U20" i="10" s="1" a="1"/>
  <c r="U20" i="10" s="1"/>
  <c r="E8" i="10"/>
  <c r="U8" i="10" s="1" a="1"/>
  <c r="U8" i="10" s="1"/>
  <c r="E2" i="10"/>
  <c r="U2" i="10" s="1" a="1"/>
  <c r="U2" i="10" s="1"/>
  <c r="E13" i="10"/>
  <c r="U13" i="10" s="1" a="1"/>
  <c r="U13" i="10" s="1"/>
  <c r="E37" i="10"/>
  <c r="U37" i="10" s="1" a="1"/>
  <c r="U37" i="10" s="1"/>
  <c r="E39" i="10"/>
  <c r="U39" i="10" s="1" a="1"/>
  <c r="U39" i="10" s="1"/>
  <c r="E31" i="10"/>
  <c r="U31" i="10" s="1" a="1"/>
  <c r="U31" i="10" s="1"/>
  <c r="E26" i="10"/>
  <c r="U26" i="10" s="1" a="1"/>
  <c r="U26" i="10" s="1"/>
  <c r="E22" i="10"/>
  <c r="W22" i="10" s="1" a="1"/>
  <c r="W22" i="10" s="1"/>
  <c r="E17" i="10"/>
  <c r="U17" i="10" s="1" a="1"/>
  <c r="U17" i="10" s="1"/>
  <c r="E11" i="10"/>
  <c r="W11" i="10" s="1" a="1"/>
  <c r="W11" i="10" s="1"/>
  <c r="E21" i="10"/>
  <c r="U21" i="10" s="1" a="1"/>
  <c r="U21" i="10" s="1"/>
  <c r="E43" i="10"/>
  <c r="U43" i="10" s="1" a="1"/>
  <c r="U43" i="10" s="1"/>
  <c r="E42" i="8"/>
  <c r="W42" i="8" s="1" a="1"/>
  <c r="W42" i="8" s="1"/>
  <c r="E43" i="8"/>
  <c r="W43" i="8" s="1" a="1"/>
  <c r="W43" i="8" s="1"/>
  <c r="E41" i="8"/>
  <c r="W41" i="8" s="1" a="1"/>
  <c r="W41" i="8" s="1"/>
  <c r="E39" i="8"/>
  <c r="V39" i="8" s="1" a="1"/>
  <c r="V39" i="8" s="1"/>
  <c r="E27" i="8"/>
  <c r="W27" i="8" s="1" a="1"/>
  <c r="W27" i="8" s="1"/>
  <c r="E12" i="8"/>
  <c r="U12" i="8" s="1" a="1"/>
  <c r="U12" i="8" s="1"/>
  <c r="E9" i="8"/>
  <c r="V9" i="8" s="1" a="1"/>
  <c r="V9" i="8" s="1"/>
  <c r="E8" i="8"/>
  <c r="V8" i="8" s="1" a="1"/>
  <c r="V8" i="8" s="1"/>
  <c r="E26" i="8"/>
  <c r="W26" i="8" s="1" a="1"/>
  <c r="W26" i="8" s="1"/>
  <c r="E14" i="8"/>
  <c r="V14" i="8" s="1" a="1"/>
  <c r="V14" i="8" s="1"/>
  <c r="E4" i="8"/>
  <c r="W4" i="8" s="1" a="1"/>
  <c r="W4" i="8" s="1"/>
  <c r="E3" i="8"/>
  <c r="V3" i="8" s="1" a="1"/>
  <c r="V3" i="8" s="1"/>
  <c r="E40" i="8"/>
  <c r="U40" i="8" s="1" a="1"/>
  <c r="U40" i="8" s="1"/>
  <c r="E10" i="8"/>
  <c r="V10" i="8" s="1" a="1"/>
  <c r="V10" i="8" s="1"/>
  <c r="E45" i="8"/>
  <c r="W45" i="8" s="1" a="1"/>
  <c r="W45" i="8" s="1"/>
  <c r="E22" i="8"/>
  <c r="U22" i="8" s="1" a="1"/>
  <c r="U22" i="8" s="1"/>
  <c r="E5" i="8"/>
  <c r="U5" i="8" s="1" a="1"/>
  <c r="U5" i="8" s="1"/>
  <c r="E44" i="8"/>
  <c r="V44" i="8" s="1" a="1"/>
  <c r="V44" i="8" s="1"/>
  <c r="E18" i="8"/>
  <c r="W18" i="8" s="1" a="1"/>
  <c r="W18" i="8" s="1"/>
  <c r="E2" i="8"/>
  <c r="W2" i="8" s="1" a="1"/>
  <c r="W2" i="8" s="1"/>
  <c r="E32" i="8"/>
  <c r="W32" i="8" s="1" a="1"/>
  <c r="W32" i="8" s="1"/>
  <c r="E31" i="8"/>
  <c r="W31" i="8" s="1" a="1"/>
  <c r="W31" i="8" s="1"/>
  <c r="E47" i="8"/>
  <c r="U47" i="8" s="1" a="1"/>
  <c r="U47" i="8" s="1"/>
  <c r="E29" i="8"/>
  <c r="V29" i="8" s="1" a="1"/>
  <c r="V29" i="8" s="1"/>
  <c r="E46" i="8"/>
  <c r="U46" i="8" s="1" a="1"/>
  <c r="U46" i="8" s="1"/>
  <c r="E16" i="8"/>
  <c r="V16" i="8" s="1" a="1"/>
  <c r="V16" i="8" s="1"/>
  <c r="E13" i="8"/>
  <c r="U13" i="8" s="1" a="1"/>
  <c r="U13" i="8" s="1"/>
  <c r="E7" i="8"/>
  <c r="U7" i="8" s="1" a="1"/>
  <c r="U7" i="8" s="1"/>
  <c r="E34" i="8"/>
  <c r="W34" i="8" s="1" a="1"/>
  <c r="W34" i="8" s="1"/>
  <c r="E36" i="8"/>
  <c r="U36" i="8" s="1" a="1"/>
  <c r="U36" i="8" s="1"/>
  <c r="E6" i="8"/>
  <c r="U6" i="8" s="1" a="1"/>
  <c r="U6" i="8" s="1"/>
  <c r="E21" i="8"/>
  <c r="U21" i="8" s="1" a="1"/>
  <c r="U21" i="8" s="1"/>
  <c r="E30" i="8"/>
  <c r="U30" i="8" s="1" a="1"/>
  <c r="U30" i="8" s="1"/>
  <c r="E25" i="8"/>
  <c r="U25" i="8" s="1" a="1"/>
  <c r="U25" i="8" s="1"/>
  <c r="E11" i="8"/>
  <c r="W11" i="8" s="1" a="1"/>
  <c r="W11" i="8" s="1"/>
  <c r="E17" i="8"/>
  <c r="V17" i="8" s="1" a="1"/>
  <c r="V17" i="8" s="1"/>
  <c r="E35" i="8"/>
  <c r="U35" i="8" s="1" a="1"/>
  <c r="U35" i="8" s="1"/>
  <c r="E37" i="8"/>
  <c r="U37" i="8" s="1" a="1"/>
  <c r="U37" i="8" s="1"/>
  <c r="E33" i="8"/>
  <c r="U33" i="8" s="1" a="1"/>
  <c r="U33" i="8" s="1"/>
  <c r="E38" i="8"/>
  <c r="W38" i="8" s="1" a="1"/>
  <c r="W38" i="8" s="1"/>
  <c r="E28" i="8"/>
  <c r="W28" i="8" s="1" a="1"/>
  <c r="W28" i="8" s="1"/>
  <c r="E24" i="8"/>
  <c r="V24" i="8" s="1" a="1"/>
  <c r="V24" i="8" s="1"/>
  <c r="E23" i="8"/>
  <c r="V23" i="8" s="1" a="1"/>
  <c r="V23" i="8" s="1"/>
  <c r="E20" i="8"/>
  <c r="W20" i="8" s="1" a="1"/>
  <c r="W20" i="8" s="1"/>
  <c r="E15" i="8"/>
  <c r="V15" i="8" s="1" a="1"/>
  <c r="V15" i="8" s="1"/>
  <c r="E19" i="8"/>
  <c r="W19" i="8" s="1" a="1"/>
  <c r="W19" i="8" s="1"/>
  <c r="CN33" i="15"/>
  <c r="CN50" i="15"/>
  <c r="CN30" i="15"/>
  <c r="CN37" i="15"/>
  <c r="CN10" i="15"/>
  <c r="CN38" i="15"/>
  <c r="CN25" i="15"/>
  <c r="CN5" i="15"/>
  <c r="CN45" i="15"/>
  <c r="CN11" i="15"/>
  <c r="CN21" i="15"/>
  <c r="CN2" i="15"/>
  <c r="CN7" i="15"/>
  <c r="CN31" i="15"/>
  <c r="CN19" i="15"/>
  <c r="CN51" i="15"/>
  <c r="CN29" i="15"/>
  <c r="CN6" i="15"/>
  <c r="CN52" i="15"/>
  <c r="CN22" i="15"/>
  <c r="CN3" i="15"/>
  <c r="CN15" i="15"/>
  <c r="CN44" i="15"/>
  <c r="CN17" i="15"/>
  <c r="CN47" i="15"/>
  <c r="CN16" i="15"/>
  <c r="CN46" i="15"/>
  <c r="CN20" i="15"/>
  <c r="CN35" i="15"/>
  <c r="CN8" i="15"/>
  <c r="CN13" i="15"/>
  <c r="CN24" i="15"/>
  <c r="CN34" i="15"/>
  <c r="CN42" i="15"/>
  <c r="CN9" i="15"/>
  <c r="CN27" i="15"/>
  <c r="CN4" i="15"/>
  <c r="CN36" i="15"/>
  <c r="CN40" i="15"/>
  <c r="CN18" i="15"/>
  <c r="CN48" i="15"/>
  <c r="CN14" i="15"/>
  <c r="CN49" i="15"/>
  <c r="CN12" i="15"/>
  <c r="CN53" i="15"/>
  <c r="CN43" i="15"/>
  <c r="CN28" i="15"/>
  <c r="CN41" i="15"/>
  <c r="CN26" i="15"/>
  <c r="CN23" i="15"/>
  <c r="CN39" i="15"/>
  <c r="CN32" i="15"/>
  <c r="BR3" i="15"/>
  <c r="BR33" i="15"/>
  <c r="BR50" i="15"/>
  <c r="BR30" i="15"/>
  <c r="BR37" i="15"/>
  <c r="BR10" i="15"/>
  <c r="BR38" i="15"/>
  <c r="BR25" i="15"/>
  <c r="BR5" i="15"/>
  <c r="BR45" i="15"/>
  <c r="BR11" i="15"/>
  <c r="BR21" i="15"/>
  <c r="BR2" i="15"/>
  <c r="BR7" i="15"/>
  <c r="BR31" i="15"/>
  <c r="BR19" i="15"/>
  <c r="BR51" i="15"/>
  <c r="BR29" i="15"/>
  <c r="BR6" i="15"/>
  <c r="BR52" i="15"/>
  <c r="BR22" i="15"/>
  <c r="BR15" i="15"/>
  <c r="BR44" i="15"/>
  <c r="BR17" i="15"/>
  <c r="BR47" i="15"/>
  <c r="BR16" i="15"/>
  <c r="BR46" i="15"/>
  <c r="BR20" i="15"/>
  <c r="BR35" i="15"/>
  <c r="BR8" i="15"/>
  <c r="BR13" i="15"/>
  <c r="BR24" i="15"/>
  <c r="BR34" i="15"/>
  <c r="BR42" i="15"/>
  <c r="BR9" i="15"/>
  <c r="BR27" i="15"/>
  <c r="BR4" i="15"/>
  <c r="BR36" i="15"/>
  <c r="BR40" i="15"/>
  <c r="BR18" i="15"/>
  <c r="BR48" i="15"/>
  <c r="BR14" i="15"/>
  <c r="BR49" i="15"/>
  <c r="BR12" i="15"/>
  <c r="BR53" i="15"/>
  <c r="BR43" i="15"/>
  <c r="BR28" i="15"/>
  <c r="BR41" i="15"/>
  <c r="BR26" i="15"/>
  <c r="BR23" i="15"/>
  <c r="BR39" i="15"/>
  <c r="BR32" i="15"/>
  <c r="AV26" i="15"/>
  <c r="AV33" i="15"/>
  <c r="AV50" i="15"/>
  <c r="AV30" i="15"/>
  <c r="AV37" i="15"/>
  <c r="AV10" i="15"/>
  <c r="AV38" i="15"/>
  <c r="AV25" i="15"/>
  <c r="AV5" i="15"/>
  <c r="AV45" i="15"/>
  <c r="AV11" i="15"/>
  <c r="AV21" i="15"/>
  <c r="AV2" i="15"/>
  <c r="AV7" i="15"/>
  <c r="AV31" i="15"/>
  <c r="AV19" i="15"/>
  <c r="AV51" i="15"/>
  <c r="AV29" i="15"/>
  <c r="AV6" i="15"/>
  <c r="AV52" i="15"/>
  <c r="AV22" i="15"/>
  <c r="AV3" i="15"/>
  <c r="AV15" i="15"/>
  <c r="AV44" i="15"/>
  <c r="AV17" i="15"/>
  <c r="AV47" i="15"/>
  <c r="AV16" i="15"/>
  <c r="AV46" i="15"/>
  <c r="AV20" i="15"/>
  <c r="AV35" i="15"/>
  <c r="AV8" i="15"/>
  <c r="AV13" i="15"/>
  <c r="AV24" i="15"/>
  <c r="AV34" i="15"/>
  <c r="AV42" i="15"/>
  <c r="AV9" i="15"/>
  <c r="AV27" i="15"/>
  <c r="AV4" i="15"/>
  <c r="AV36" i="15"/>
  <c r="AV40" i="15"/>
  <c r="AV18" i="15"/>
  <c r="AV48" i="15"/>
  <c r="AV14" i="15"/>
  <c r="AV49" i="15"/>
  <c r="AV12" i="15"/>
  <c r="AV53" i="15"/>
  <c r="AV43" i="15"/>
  <c r="AV28" i="15"/>
  <c r="AV41" i="15"/>
  <c r="AV23" i="15"/>
  <c r="AV39" i="15"/>
  <c r="AV32" i="15"/>
  <c r="Z50" i="15"/>
  <c r="Z45" i="15"/>
  <c r="Z51" i="15"/>
  <c r="Z52" i="15"/>
  <c r="Z44" i="15"/>
  <c r="Z47" i="15"/>
  <c r="Z46" i="15"/>
  <c r="Z42" i="15"/>
  <c r="E66" i="15" a="1"/>
  <c r="E66" i="15" s="1"/>
  <c r="F66" i="15" s="1" a="1"/>
  <c r="F66" i="15" s="1"/>
  <c r="Z40" i="15"/>
  <c r="Z48" i="15"/>
  <c r="Z49" i="15"/>
  <c r="Z53" i="15"/>
  <c r="Z43" i="15"/>
  <c r="Z41" i="15"/>
  <c r="Z39" i="15"/>
  <c r="AK9" i="2" l="1" a="1"/>
  <c r="AK9" i="2" s="1"/>
  <c r="AK2" i="2" a="1"/>
  <c r="AK2" i="2" s="1"/>
  <c r="AI2" i="2" a="1"/>
  <c r="AI2" i="2" s="1"/>
  <c r="AH2" i="2"/>
  <c r="AA10" i="2"/>
  <c r="AJ9" i="2"/>
  <c r="AL9" i="2" a="1"/>
  <c r="AL9" i="2" s="1"/>
  <c r="AL2" i="2" a="1"/>
  <c r="AL2" i="2" s="1"/>
  <c r="AJ2" i="2"/>
  <c r="E60" i="8" a="1"/>
  <c r="E60" i="8" s="1"/>
  <c r="F60" i="8" s="1" a="1"/>
  <c r="F60" i="8" s="1"/>
  <c r="AC11" i="10" a="1"/>
  <c r="AC11" i="10" s="1"/>
  <c r="E58" i="11" a="1"/>
  <c r="E58" i="11" s="1"/>
  <c r="F58" i="11" s="1" a="1"/>
  <c r="F58" i="11" s="1"/>
  <c r="AB7" i="11" a="1"/>
  <c r="AB7" i="11" s="1"/>
  <c r="AB11" i="11" a="1"/>
  <c r="AB11" i="11" s="1"/>
  <c r="AC11" i="11" a="1"/>
  <c r="AC11" i="11" s="1"/>
  <c r="AA7" i="11" a="1"/>
  <c r="AA7" i="11" s="1"/>
  <c r="AA12" i="11" a="1"/>
  <c r="AA12" i="11" s="1"/>
  <c r="AB12" i="11" a="1"/>
  <c r="AB12" i="11" s="1"/>
  <c r="AA5" i="11" a="1"/>
  <c r="AA5" i="11" s="1"/>
  <c r="AA13" i="11" a="1"/>
  <c r="AA13" i="11" s="1"/>
  <c r="V21" i="11" a="1"/>
  <c r="V21" i="11" s="1"/>
  <c r="AB5" i="11" a="1"/>
  <c r="AB5" i="11" s="1"/>
  <c r="AB13" i="11" a="1"/>
  <c r="AB13" i="11" s="1"/>
  <c r="C54" i="11" a="1"/>
  <c r="C54" i="11" s="1"/>
  <c r="AA11" i="11" a="1"/>
  <c r="AA11" i="11" s="1"/>
  <c r="AA6" i="11" a="1"/>
  <c r="AA6" i="11" s="1"/>
  <c r="AB6" i="11" a="1"/>
  <c r="AB6" i="11" s="1"/>
  <c r="E52" i="11" a="1"/>
  <c r="E52" i="11" s="1"/>
  <c r="F52" i="11" s="1" a="1"/>
  <c r="F52" i="11" s="1"/>
  <c r="E61" i="12" a="1"/>
  <c r="E61" i="12" s="1"/>
  <c r="F61" i="12" s="1" a="1"/>
  <c r="F61" i="12" s="1"/>
  <c r="AC6" i="12" a="1"/>
  <c r="AC6" i="12" s="1"/>
  <c r="AC5" i="12" a="1"/>
  <c r="AC5" i="12" s="1"/>
  <c r="V40" i="13" a="1"/>
  <c r="V40" i="13" s="1"/>
  <c r="AA24" i="6"/>
  <c r="AH2" i="6" s="1"/>
  <c r="AK9" i="6" a="1"/>
  <c r="AK9" i="6" s="1"/>
  <c r="AI2" i="6" a="1"/>
  <c r="AI2" i="6" s="1"/>
  <c r="AG9" i="6" a="1"/>
  <c r="AG9" i="6" s="1"/>
  <c r="AI9" i="6" a="1"/>
  <c r="AI9" i="6" s="1"/>
  <c r="AK2" i="6" a="1"/>
  <c r="AK2" i="6" s="1"/>
  <c r="AG2" i="6" a="1"/>
  <c r="AG2" i="6" s="1"/>
  <c r="AJ2" i="6"/>
  <c r="X64" i="15" a="1"/>
  <c r="X64" i="15" s="1"/>
  <c r="X65" i="15" a="1"/>
  <c r="X65" i="15" s="1"/>
  <c r="X66" i="15" a="1"/>
  <c r="X66" i="15" s="1"/>
  <c r="U30" i="14" a="1"/>
  <c r="U30" i="14" s="1"/>
  <c r="V30" i="14" a="1"/>
  <c r="V30" i="14" s="1"/>
  <c r="W30" i="14" a="1"/>
  <c r="W30" i="14" s="1"/>
  <c r="U19" i="14" a="1"/>
  <c r="U19" i="14" s="1"/>
  <c r="V19" i="14" a="1"/>
  <c r="V19" i="14" s="1"/>
  <c r="W19" i="14" a="1"/>
  <c r="W19" i="14" s="1"/>
  <c r="U3" i="14" a="1"/>
  <c r="U3" i="14" s="1"/>
  <c r="V3" i="14" a="1"/>
  <c r="V3" i="14" s="1"/>
  <c r="W3" i="14" a="1"/>
  <c r="W3" i="14" s="1"/>
  <c r="U33" i="14" a="1"/>
  <c r="U33" i="14" s="1"/>
  <c r="V33" i="14" a="1"/>
  <c r="V33" i="14" s="1"/>
  <c r="W33" i="14" a="1"/>
  <c r="W33" i="14" s="1"/>
  <c r="W4" i="14" a="1"/>
  <c r="W4" i="14" s="1"/>
  <c r="U4" i="14" a="1"/>
  <c r="U4" i="14" s="1"/>
  <c r="V4" i="14" a="1"/>
  <c r="V4" i="14" s="1"/>
  <c r="U18" i="14" a="1"/>
  <c r="U18" i="14" s="1"/>
  <c r="V18" i="14" a="1"/>
  <c r="V18" i="14" s="1"/>
  <c r="W18" i="14" a="1"/>
  <c r="W18" i="14" s="1"/>
  <c r="U26" i="14" a="1"/>
  <c r="U26" i="14" s="1"/>
  <c r="V26" i="14" a="1"/>
  <c r="V26" i="14" s="1"/>
  <c r="W26" i="14" a="1"/>
  <c r="W26" i="14" s="1"/>
  <c r="U7" i="14" a="1"/>
  <c r="U7" i="14" s="1"/>
  <c r="V7" i="14" a="1"/>
  <c r="V7" i="14" s="1"/>
  <c r="W7" i="14" a="1"/>
  <c r="W7" i="14" s="1"/>
  <c r="U21" i="14" a="1"/>
  <c r="U21" i="14" s="1"/>
  <c r="V21" i="14" a="1"/>
  <c r="V21" i="14" s="1"/>
  <c r="W21" i="14" a="1"/>
  <c r="W21" i="14" s="1"/>
  <c r="U25" i="14" a="1"/>
  <c r="U25" i="14" s="1"/>
  <c r="W25" i="14" a="1"/>
  <c r="W25" i="14" s="1"/>
  <c r="V25" i="14" a="1"/>
  <c r="V25" i="14" s="1"/>
  <c r="U14" i="14" a="1"/>
  <c r="U14" i="14" s="1"/>
  <c r="V14" i="14" a="1"/>
  <c r="V14" i="14" s="1"/>
  <c r="W14" i="14" a="1"/>
  <c r="W14" i="14" s="1"/>
  <c r="W16" i="14" a="1"/>
  <c r="W16" i="14" s="1"/>
  <c r="U16" i="14" a="1"/>
  <c r="U16" i="14" s="1"/>
  <c r="V16" i="14" a="1"/>
  <c r="V16" i="14" s="1"/>
  <c r="U17" i="14" a="1"/>
  <c r="U17" i="14" s="1"/>
  <c r="V17" i="14" a="1"/>
  <c r="V17" i="14" s="1"/>
  <c r="W17" i="14" a="1"/>
  <c r="W17" i="14" s="1"/>
  <c r="W12" i="14" a="1"/>
  <c r="W12" i="14" s="1"/>
  <c r="U12" i="14" a="1"/>
  <c r="U12" i="14" s="1"/>
  <c r="V12" i="14" a="1"/>
  <c r="V12" i="14" s="1"/>
  <c r="U8" i="14" a="1"/>
  <c r="U8" i="14" s="1"/>
  <c r="W8" i="14" a="1"/>
  <c r="W8" i="14" s="1"/>
  <c r="V8" i="14" a="1"/>
  <c r="V8" i="14" s="1"/>
  <c r="U2" i="14" a="1"/>
  <c r="U2" i="14" s="1"/>
  <c r="V2" i="14" a="1"/>
  <c r="V2" i="14" s="1"/>
  <c r="W2" i="14" a="1"/>
  <c r="W2" i="14" s="1"/>
  <c r="W20" i="14" a="1"/>
  <c r="W20" i="14" s="1"/>
  <c r="U20" i="14" a="1"/>
  <c r="U20" i="14" s="1"/>
  <c r="V20" i="14" a="1"/>
  <c r="V20" i="14" s="1"/>
  <c r="U11" i="14" a="1"/>
  <c r="U11" i="14" s="1"/>
  <c r="V11" i="14" a="1"/>
  <c r="V11" i="14" s="1"/>
  <c r="W11" i="14" a="1"/>
  <c r="W11" i="14" s="1"/>
  <c r="W24" i="14" a="1"/>
  <c r="W24" i="14" s="1"/>
  <c r="U24" i="14" a="1"/>
  <c r="U24" i="14" s="1"/>
  <c r="V24" i="14" a="1"/>
  <c r="V24" i="14" s="1"/>
  <c r="U13" i="14" a="1"/>
  <c r="U13" i="14" s="1"/>
  <c r="V13" i="14" a="1"/>
  <c r="V13" i="14" s="1"/>
  <c r="W13" i="14" a="1"/>
  <c r="W13" i="14" s="1"/>
  <c r="U22" i="14" a="1"/>
  <c r="U22" i="14" s="1"/>
  <c r="V22" i="14" a="1"/>
  <c r="V22" i="14" s="1"/>
  <c r="W22" i="14" a="1"/>
  <c r="W22" i="14" s="1"/>
  <c r="W29" i="14" a="1"/>
  <c r="W29" i="14" s="1"/>
  <c r="U29" i="14" a="1"/>
  <c r="U29" i="14" s="1"/>
  <c r="V29" i="14" a="1"/>
  <c r="V29" i="14" s="1"/>
  <c r="U15" i="14" a="1"/>
  <c r="U15" i="14" s="1"/>
  <c r="V15" i="14" a="1"/>
  <c r="V15" i="14" s="1"/>
  <c r="W15" i="14" a="1"/>
  <c r="W15" i="14" s="1"/>
  <c r="W32" i="14" a="1"/>
  <c r="W32" i="14" s="1"/>
  <c r="U32" i="14" a="1"/>
  <c r="U32" i="14" s="1"/>
  <c r="V32" i="14" a="1"/>
  <c r="V32" i="14" s="1"/>
  <c r="U6" i="14" a="1"/>
  <c r="U6" i="14" s="1"/>
  <c r="V6" i="14" a="1"/>
  <c r="V6" i="14" s="1"/>
  <c r="W6" i="14" a="1"/>
  <c r="W6" i="14" s="1"/>
  <c r="U31" i="14" a="1"/>
  <c r="U31" i="14" s="1"/>
  <c r="V31" i="14" a="1"/>
  <c r="V31" i="14" s="1"/>
  <c r="W31" i="14" a="1"/>
  <c r="W31" i="14" s="1"/>
  <c r="U37" i="14" a="1"/>
  <c r="U37" i="14" s="1"/>
  <c r="V37" i="14" a="1"/>
  <c r="V37" i="14" s="1"/>
  <c r="W37" i="14" a="1"/>
  <c r="W37" i="14" s="1"/>
  <c r="U23" i="14" a="1"/>
  <c r="U23" i="14" s="1"/>
  <c r="V23" i="14" a="1"/>
  <c r="V23" i="14" s="1"/>
  <c r="W23" i="14" a="1"/>
  <c r="W23" i="14" s="1"/>
  <c r="U36" i="14" a="1"/>
  <c r="U36" i="14" s="1"/>
  <c r="W36" i="14" a="1"/>
  <c r="W36" i="14" s="1"/>
  <c r="V36" i="14" a="1"/>
  <c r="V36" i="14" s="1"/>
  <c r="U27" i="14" a="1"/>
  <c r="U27" i="14" s="1"/>
  <c r="V27" i="14" a="1"/>
  <c r="V27" i="14" s="1"/>
  <c r="W27" i="14" a="1"/>
  <c r="W27" i="14" s="1"/>
  <c r="U35" i="14" a="1"/>
  <c r="U35" i="14" s="1"/>
  <c r="V35" i="14" a="1"/>
  <c r="V35" i="14" s="1"/>
  <c r="W35" i="14" a="1"/>
  <c r="W35" i="14" s="1"/>
  <c r="U38" i="14" a="1"/>
  <c r="U38" i="14" s="1"/>
  <c r="V38" i="14" a="1"/>
  <c r="V38" i="14" s="1"/>
  <c r="W38" i="14" a="1"/>
  <c r="W38" i="14" s="1"/>
  <c r="W28" i="14" a="1"/>
  <c r="W28" i="14" s="1"/>
  <c r="U28" i="14" a="1"/>
  <c r="U28" i="14" s="1"/>
  <c r="V28" i="14" a="1"/>
  <c r="V28" i="14" s="1"/>
  <c r="U10" i="14" a="1"/>
  <c r="U10" i="14" s="1"/>
  <c r="V10" i="14" a="1"/>
  <c r="V10" i="14" s="1"/>
  <c r="W10" i="14" a="1"/>
  <c r="W10" i="14" s="1"/>
  <c r="U34" i="14" a="1"/>
  <c r="U34" i="14" s="1"/>
  <c r="V34" i="14" a="1"/>
  <c r="V34" i="14" s="1"/>
  <c r="W34" i="14" a="1"/>
  <c r="W34" i="14" s="1"/>
  <c r="U9" i="14" a="1"/>
  <c r="U9" i="14" s="1"/>
  <c r="V9" i="14" a="1"/>
  <c r="V9" i="14" s="1"/>
  <c r="W9" i="14" a="1"/>
  <c r="W9" i="14" s="1"/>
  <c r="U5" i="14" a="1"/>
  <c r="U5" i="14" s="1"/>
  <c r="V5" i="14" a="1"/>
  <c r="V5" i="14" s="1"/>
  <c r="W5" i="14" a="1"/>
  <c r="W5" i="14" s="1"/>
  <c r="AB12" i="14" a="1"/>
  <c r="AB12" i="14" s="1"/>
  <c r="AB11" i="14" a="1"/>
  <c r="AB11" i="14" s="1"/>
  <c r="AA12" i="14" a="1"/>
  <c r="AA12" i="14" s="1"/>
  <c r="AA5" i="14" a="1"/>
  <c r="AA5" i="14" s="1"/>
  <c r="AA13" i="14" a="1"/>
  <c r="AA13" i="14" s="1"/>
  <c r="AB5" i="14" a="1"/>
  <c r="AB5" i="14" s="1"/>
  <c r="AB13" i="14" a="1"/>
  <c r="AB13" i="14" s="1"/>
  <c r="AA6" i="14" a="1"/>
  <c r="AA6" i="14" s="1"/>
  <c r="AB6" i="14" a="1"/>
  <c r="AB6" i="14" s="1"/>
  <c r="AA7" i="14" a="1"/>
  <c r="AA7" i="14" s="1"/>
  <c r="AA11" i="14" a="1"/>
  <c r="AA11" i="14" s="1"/>
  <c r="AB7" i="14" a="1"/>
  <c r="AB7" i="14" s="1"/>
  <c r="E47" i="14" a="1"/>
  <c r="E47" i="14" s="1"/>
  <c r="F47" i="14" s="1" a="1"/>
  <c r="F47" i="14" s="1"/>
  <c r="E53" i="14" a="1"/>
  <c r="E53" i="14" s="1"/>
  <c r="F53" i="14" s="1" a="1"/>
  <c r="F53" i="14" s="1"/>
  <c r="C47" i="14" a="1"/>
  <c r="C47" i="14" s="1"/>
  <c r="D47" i="14" a="1"/>
  <c r="D47" i="14" s="1"/>
  <c r="D51" i="14" a="1"/>
  <c r="D51" i="14" s="1"/>
  <c r="C51" i="14" a="1"/>
  <c r="C51" i="14" s="1"/>
  <c r="E51" i="14" a="1"/>
  <c r="E51" i="14" s="1"/>
  <c r="F51" i="14" s="1" a="1"/>
  <c r="F51" i="14" s="1"/>
  <c r="C45" i="14" a="1"/>
  <c r="C45" i="14" s="1"/>
  <c r="C52" i="14" a="1"/>
  <c r="C52" i="14" s="1"/>
  <c r="D45" i="14" a="1"/>
  <c r="D45" i="14" s="1"/>
  <c r="D52" i="14" a="1"/>
  <c r="D52" i="14" s="1"/>
  <c r="C46" i="14" a="1"/>
  <c r="C46" i="14" s="1"/>
  <c r="C53" i="14" a="1"/>
  <c r="C53" i="14" s="1"/>
  <c r="D46" i="14" a="1"/>
  <c r="D46" i="14" s="1"/>
  <c r="D53" i="14" a="1"/>
  <c r="D53" i="14" s="1"/>
  <c r="V23" i="13" a="1"/>
  <c r="V23" i="13" s="1"/>
  <c r="V16" i="13" a="1"/>
  <c r="V16" i="13" s="1"/>
  <c r="U42" i="13" a="1"/>
  <c r="U42" i="13" s="1"/>
  <c r="V32" i="13" a="1"/>
  <c r="V32" i="13" s="1"/>
  <c r="U16" i="13" a="1"/>
  <c r="U16" i="13" s="1"/>
  <c r="V7" i="13" a="1"/>
  <c r="V7" i="13" s="1"/>
  <c r="U32" i="13" a="1"/>
  <c r="U32" i="13" s="1"/>
  <c r="V44" i="13" a="1"/>
  <c r="V44" i="13" s="1"/>
  <c r="AC12" i="13" a="1"/>
  <c r="AC12" i="13" s="1"/>
  <c r="V35" i="13" a="1"/>
  <c r="V35" i="13" s="1"/>
  <c r="V12" i="13" a="1"/>
  <c r="V12" i="13" s="1"/>
  <c r="U44" i="13" a="1"/>
  <c r="U44" i="13" s="1"/>
  <c r="U38" i="13" a="1"/>
  <c r="U38" i="13" s="1"/>
  <c r="U22" i="13" a="1"/>
  <c r="U22" i="13" s="1"/>
  <c r="U12" i="13" a="1"/>
  <c r="U12" i="13" s="1"/>
  <c r="V3" i="13" a="1"/>
  <c r="V3" i="13" s="1"/>
  <c r="U18" i="13" a="1"/>
  <c r="U18" i="13" s="1"/>
  <c r="U6" i="13" a="1"/>
  <c r="U6" i="13" s="1"/>
  <c r="E52" i="13" a="1"/>
  <c r="E52" i="13" s="1"/>
  <c r="F52" i="13" s="1" a="1"/>
  <c r="F52" i="13" s="1"/>
  <c r="V24" i="13" a="1"/>
  <c r="V24" i="13" s="1"/>
  <c r="AC11" i="13" a="1"/>
  <c r="AC11" i="13" s="1"/>
  <c r="V31" i="13" a="1"/>
  <c r="V31" i="13" s="1"/>
  <c r="U24" i="13" a="1"/>
  <c r="U24" i="13" s="1"/>
  <c r="V8" i="13" a="1"/>
  <c r="V8" i="13" s="1"/>
  <c r="U14" i="13" a="1"/>
  <c r="U14" i="13" s="1"/>
  <c r="U8" i="13" a="1"/>
  <c r="U8" i="13" s="1"/>
  <c r="U2" i="13" a="1"/>
  <c r="U2" i="13" s="1"/>
  <c r="V43" i="13" a="1"/>
  <c r="V43" i="13" s="1"/>
  <c r="U40" i="13" a="1"/>
  <c r="U40" i="13" s="1"/>
  <c r="V11" i="13" a="1"/>
  <c r="V11" i="13" s="1"/>
  <c r="U30" i="13" a="1"/>
  <c r="U30" i="13" s="1"/>
  <c r="AC5" i="13" a="1"/>
  <c r="AC5" i="13" s="1"/>
  <c r="U34" i="13" a="1"/>
  <c r="U34" i="13" s="1"/>
  <c r="V36" i="13" a="1"/>
  <c r="V36" i="13" s="1"/>
  <c r="V28" i="13" a="1"/>
  <c r="V28" i="13" s="1"/>
  <c r="V20" i="13" a="1"/>
  <c r="V20" i="13" s="1"/>
  <c r="V4" i="13" a="1"/>
  <c r="V4" i="13" s="1"/>
  <c r="W41" i="13" a="1"/>
  <c r="W41" i="13" s="1"/>
  <c r="W37" i="13" a="1"/>
  <c r="W37" i="13" s="1"/>
  <c r="W33" i="13" a="1"/>
  <c r="W33" i="13" s="1"/>
  <c r="W29" i="13" a="1"/>
  <c r="W29" i="13" s="1"/>
  <c r="W25" i="13" a="1"/>
  <c r="W25" i="13" s="1"/>
  <c r="W21" i="13" a="1"/>
  <c r="W21" i="13" s="1"/>
  <c r="W17" i="13" a="1"/>
  <c r="W17" i="13" s="1"/>
  <c r="W13" i="13" a="1"/>
  <c r="W13" i="13" s="1"/>
  <c r="W9" i="13" a="1"/>
  <c r="W9" i="13" s="1"/>
  <c r="W5" i="13" a="1"/>
  <c r="W5" i="13" s="1"/>
  <c r="U36" i="13" a="1"/>
  <c r="U36" i="13" s="1"/>
  <c r="V41" i="13" a="1"/>
  <c r="V41" i="13" s="1"/>
  <c r="V37" i="13" a="1"/>
  <c r="V37" i="13" s="1"/>
  <c r="V33" i="13" a="1"/>
  <c r="V33" i="13" s="1"/>
  <c r="V29" i="13" a="1"/>
  <c r="V29" i="13" s="1"/>
  <c r="V25" i="13" a="1"/>
  <c r="V25" i="13" s="1"/>
  <c r="V21" i="13" a="1"/>
  <c r="V21" i="13" s="1"/>
  <c r="V17" i="13" a="1"/>
  <c r="V17" i="13" s="1"/>
  <c r="V13" i="13" a="1"/>
  <c r="V13" i="13" s="1"/>
  <c r="V9" i="13" a="1"/>
  <c r="V9" i="13" s="1"/>
  <c r="V5" i="13" a="1"/>
  <c r="V5" i="13" s="1"/>
  <c r="W42" i="13" a="1"/>
  <c r="W42" i="13" s="1"/>
  <c r="W38" i="13" a="1"/>
  <c r="W38" i="13" s="1"/>
  <c r="W34" i="13" a="1"/>
  <c r="W34" i="13" s="1"/>
  <c r="W30" i="13" a="1"/>
  <c r="W30" i="13" s="1"/>
  <c r="W26" i="13" a="1"/>
  <c r="W26" i="13" s="1"/>
  <c r="W22" i="13" a="1"/>
  <c r="W22" i="13" s="1"/>
  <c r="W18" i="13" a="1"/>
  <c r="W18" i="13" s="1"/>
  <c r="W14" i="13" a="1"/>
  <c r="W14" i="13" s="1"/>
  <c r="W10" i="13" a="1"/>
  <c r="W10" i="13" s="1"/>
  <c r="W6" i="13" a="1"/>
  <c r="W6" i="13" s="1"/>
  <c r="W2" i="13" a="1"/>
  <c r="W2" i="13" s="1"/>
  <c r="U28" i="13" a="1"/>
  <c r="U28" i="13" s="1"/>
  <c r="U26" i="13" a="1"/>
  <c r="U26" i="13" s="1"/>
  <c r="U20" i="13" a="1"/>
  <c r="U20" i="13" s="1"/>
  <c r="U4" i="13" a="1"/>
  <c r="U4" i="13" s="1"/>
  <c r="V10" i="13" a="1"/>
  <c r="V10" i="13" s="1"/>
  <c r="W43" i="13" a="1"/>
  <c r="W43" i="13" s="1"/>
  <c r="W39" i="13" a="1"/>
  <c r="W39" i="13" s="1"/>
  <c r="W35" i="13" a="1"/>
  <c r="W35" i="13" s="1"/>
  <c r="W31" i="13" a="1"/>
  <c r="W31" i="13" s="1"/>
  <c r="W27" i="13" a="1"/>
  <c r="W27" i="13" s="1"/>
  <c r="W23" i="13" a="1"/>
  <c r="W23" i="13" s="1"/>
  <c r="W19" i="13" a="1"/>
  <c r="W19" i="13" s="1"/>
  <c r="W15" i="13" a="1"/>
  <c r="W15" i="13" s="1"/>
  <c r="W11" i="13" a="1"/>
  <c r="W11" i="13" s="1"/>
  <c r="W7" i="13" a="1"/>
  <c r="W7" i="13" s="1"/>
  <c r="W3" i="13" a="1"/>
  <c r="W3" i="13" s="1"/>
  <c r="V27" i="13" a="1"/>
  <c r="V27" i="13" s="1"/>
  <c r="V15" i="13" a="1"/>
  <c r="V15" i="13" s="1"/>
  <c r="V39" i="13" a="1"/>
  <c r="V39" i="13" s="1"/>
  <c r="V19" i="13" a="1"/>
  <c r="V19" i="13" s="1"/>
  <c r="E51" i="13" a="1"/>
  <c r="E51" i="13" s="1"/>
  <c r="F51" i="13" s="1" a="1"/>
  <c r="F51" i="13" s="1"/>
  <c r="E53" i="13" a="1"/>
  <c r="E53" i="13" s="1"/>
  <c r="F53" i="13" s="1" a="1"/>
  <c r="F53" i="13" s="1"/>
  <c r="E59" i="13" a="1"/>
  <c r="E59" i="13" s="1"/>
  <c r="F59" i="13" s="1" a="1"/>
  <c r="F59" i="13" s="1"/>
  <c r="AA6" i="13" a="1"/>
  <c r="AA6" i="13" s="1"/>
  <c r="E57" i="13" a="1"/>
  <c r="E57" i="13" s="1"/>
  <c r="F57" i="13" s="1" a="1"/>
  <c r="F57" i="13" s="1"/>
  <c r="AC13" i="13" a="1"/>
  <c r="AC13" i="13" s="1"/>
  <c r="AC7" i="13" a="1"/>
  <c r="AC7" i="13" s="1"/>
  <c r="D51" i="13" a="1"/>
  <c r="D51" i="13" s="1"/>
  <c r="D58" i="13" a="1"/>
  <c r="D58" i="13" s="1"/>
  <c r="AC6" i="13" a="1"/>
  <c r="AC6" i="13" s="1"/>
  <c r="C51" i="13" a="1"/>
  <c r="C51" i="13" s="1"/>
  <c r="E58" i="13" a="1"/>
  <c r="E58" i="13" s="1"/>
  <c r="F58" i="13" s="1" a="1"/>
  <c r="F58" i="13" s="1"/>
  <c r="AA7" i="13" a="1"/>
  <c r="AA7" i="13" s="1"/>
  <c r="AA11" i="13" a="1"/>
  <c r="AA11" i="13" s="1"/>
  <c r="C52" i="13" a="1"/>
  <c r="C52" i="13" s="1"/>
  <c r="C59" i="13" a="1"/>
  <c r="C59" i="13" s="1"/>
  <c r="AB7" i="13" a="1"/>
  <c r="AB7" i="13" s="1"/>
  <c r="AB11" i="13" a="1"/>
  <c r="AB11" i="13" s="1"/>
  <c r="D52" i="13" a="1"/>
  <c r="D52" i="13" s="1"/>
  <c r="D59" i="13" a="1"/>
  <c r="D59" i="13" s="1"/>
  <c r="AA12" i="13" a="1"/>
  <c r="AA12" i="13" s="1"/>
  <c r="C53" i="13" a="1"/>
  <c r="C53" i="13" s="1"/>
  <c r="AB12" i="13" a="1"/>
  <c r="AB12" i="13" s="1"/>
  <c r="D53" i="13" a="1"/>
  <c r="D53" i="13" s="1"/>
  <c r="C58" i="13" a="1"/>
  <c r="C58" i="13" s="1"/>
  <c r="AA5" i="13" a="1"/>
  <c r="AA5" i="13" s="1"/>
  <c r="AA13" i="13" a="1"/>
  <c r="AA13" i="13" s="1"/>
  <c r="AB6" i="13" a="1"/>
  <c r="AB6" i="13" s="1"/>
  <c r="C57" i="13" a="1"/>
  <c r="C57" i="13" s="1"/>
  <c r="AB5" i="13" a="1"/>
  <c r="AB5" i="13" s="1"/>
  <c r="AB13" i="13" a="1"/>
  <c r="AB13" i="13" s="1"/>
  <c r="D57" i="13" a="1"/>
  <c r="D57" i="13" s="1"/>
  <c r="AC12" i="12" a="1"/>
  <c r="AC12" i="12" s="1"/>
  <c r="E62" i="12" a="1"/>
  <c r="E62" i="12" s="1"/>
  <c r="F62" i="12" s="1" a="1"/>
  <c r="F62" i="12" s="1"/>
  <c r="AC13" i="12" a="1"/>
  <c r="AC13" i="12" s="1"/>
  <c r="E56" i="12" a="1"/>
  <c r="E56" i="12" s="1"/>
  <c r="F56" i="12" s="1" a="1"/>
  <c r="F56" i="12" s="1"/>
  <c r="AC7" i="12" a="1"/>
  <c r="AC7" i="12" s="1"/>
  <c r="AC11" i="12" a="1"/>
  <c r="AC11" i="12" s="1"/>
  <c r="V44" i="12" a="1"/>
  <c r="V44" i="12" s="1"/>
  <c r="V40" i="12" a="1"/>
  <c r="V40" i="12" s="1"/>
  <c r="V36" i="12" a="1"/>
  <c r="V36" i="12" s="1"/>
  <c r="V32" i="12" a="1"/>
  <c r="V32" i="12" s="1"/>
  <c r="V28" i="12" a="1"/>
  <c r="V28" i="12" s="1"/>
  <c r="V24" i="12" a="1"/>
  <c r="V24" i="12" s="1"/>
  <c r="V20" i="12" a="1"/>
  <c r="V20" i="12" s="1"/>
  <c r="V16" i="12" a="1"/>
  <c r="V16" i="12" s="1"/>
  <c r="V12" i="12" a="1"/>
  <c r="V12" i="12" s="1"/>
  <c r="V8" i="12" a="1"/>
  <c r="V8" i="12" s="1"/>
  <c r="V4" i="12" a="1"/>
  <c r="V4" i="12" s="1"/>
  <c r="W45" i="12" a="1"/>
  <c r="W45" i="12" s="1"/>
  <c r="W41" i="12" a="1"/>
  <c r="W41" i="12" s="1"/>
  <c r="W37" i="12" a="1"/>
  <c r="W37" i="12" s="1"/>
  <c r="W33" i="12" a="1"/>
  <c r="W33" i="12" s="1"/>
  <c r="W29" i="12" a="1"/>
  <c r="W29" i="12" s="1"/>
  <c r="W25" i="12" a="1"/>
  <c r="W25" i="12" s="1"/>
  <c r="W21" i="12" a="1"/>
  <c r="W21" i="12" s="1"/>
  <c r="W17" i="12" a="1"/>
  <c r="W17" i="12" s="1"/>
  <c r="W13" i="12" a="1"/>
  <c r="W13" i="12" s="1"/>
  <c r="W9" i="12" a="1"/>
  <c r="W9" i="12" s="1"/>
  <c r="W5" i="12" a="1"/>
  <c r="W5" i="12" s="1"/>
  <c r="C61" i="12" a="1"/>
  <c r="C61" i="12" s="1"/>
  <c r="U44" i="12" a="1"/>
  <c r="U44" i="12" s="1"/>
  <c r="U40" i="12" a="1"/>
  <c r="U40" i="12" s="1"/>
  <c r="U36" i="12" a="1"/>
  <c r="U36" i="12" s="1"/>
  <c r="U32" i="12" a="1"/>
  <c r="U32" i="12" s="1"/>
  <c r="U28" i="12" a="1"/>
  <c r="U28" i="12" s="1"/>
  <c r="U24" i="12" a="1"/>
  <c r="U24" i="12" s="1"/>
  <c r="U20" i="12" a="1"/>
  <c r="U20" i="12" s="1"/>
  <c r="U16" i="12" a="1"/>
  <c r="U16" i="12" s="1"/>
  <c r="U12" i="12" a="1"/>
  <c r="U12" i="12" s="1"/>
  <c r="U8" i="12" a="1"/>
  <c r="U8" i="12" s="1"/>
  <c r="U4" i="12" a="1"/>
  <c r="U4" i="12" s="1"/>
  <c r="V45" i="12" a="1"/>
  <c r="V45" i="12" s="1"/>
  <c r="V41" i="12" a="1"/>
  <c r="V41" i="12" s="1"/>
  <c r="V37" i="12" a="1"/>
  <c r="V37" i="12" s="1"/>
  <c r="V33" i="12" a="1"/>
  <c r="V33" i="12" s="1"/>
  <c r="V29" i="12" a="1"/>
  <c r="V29" i="12" s="1"/>
  <c r="V25" i="12" a="1"/>
  <c r="V25" i="12" s="1"/>
  <c r="V21" i="12" a="1"/>
  <c r="V21" i="12" s="1"/>
  <c r="V17" i="12" a="1"/>
  <c r="V17" i="12" s="1"/>
  <c r="V13" i="12" a="1"/>
  <c r="V13" i="12" s="1"/>
  <c r="V9" i="12" a="1"/>
  <c r="V9" i="12" s="1"/>
  <c r="V5" i="12" a="1"/>
  <c r="V5" i="12" s="1"/>
  <c r="W46" i="12" a="1"/>
  <c r="W46" i="12" s="1"/>
  <c r="W42" i="12" a="1"/>
  <c r="W42" i="12" s="1"/>
  <c r="W38" i="12" a="1"/>
  <c r="W38" i="12" s="1"/>
  <c r="W34" i="12" a="1"/>
  <c r="W34" i="12" s="1"/>
  <c r="W30" i="12" a="1"/>
  <c r="W30" i="12" s="1"/>
  <c r="W26" i="12" a="1"/>
  <c r="W26" i="12" s="1"/>
  <c r="W22" i="12" a="1"/>
  <c r="W22" i="12" s="1"/>
  <c r="W18" i="12" a="1"/>
  <c r="W18" i="12" s="1"/>
  <c r="W14" i="12" a="1"/>
  <c r="W14" i="12" s="1"/>
  <c r="W10" i="12" a="1"/>
  <c r="W10" i="12" s="1"/>
  <c r="W6" i="12" a="1"/>
  <c r="W6" i="12" s="1"/>
  <c r="W2" i="12" a="1"/>
  <c r="W2" i="12" s="1"/>
  <c r="V46" i="12" a="1"/>
  <c r="V46" i="12" s="1"/>
  <c r="V42" i="12" a="1"/>
  <c r="V42" i="12" s="1"/>
  <c r="V38" i="12" a="1"/>
  <c r="V38" i="12" s="1"/>
  <c r="V34" i="12" a="1"/>
  <c r="V34" i="12" s="1"/>
  <c r="V30" i="12" a="1"/>
  <c r="V30" i="12" s="1"/>
  <c r="V26" i="12" a="1"/>
  <c r="V26" i="12" s="1"/>
  <c r="V22" i="12" a="1"/>
  <c r="V22" i="12" s="1"/>
  <c r="V18" i="12" a="1"/>
  <c r="V18" i="12" s="1"/>
  <c r="V14" i="12" a="1"/>
  <c r="V14" i="12" s="1"/>
  <c r="V10" i="12" a="1"/>
  <c r="V10" i="12" s="1"/>
  <c r="V6" i="12" a="1"/>
  <c r="V6" i="12" s="1"/>
  <c r="V2" i="12" a="1"/>
  <c r="V2" i="12" s="1"/>
  <c r="W47" i="12" a="1"/>
  <c r="W47" i="12" s="1"/>
  <c r="W43" i="12" a="1"/>
  <c r="W43" i="12" s="1"/>
  <c r="W39" i="12" a="1"/>
  <c r="W39" i="12" s="1"/>
  <c r="W35" i="12" a="1"/>
  <c r="W35" i="12" s="1"/>
  <c r="W31" i="12" a="1"/>
  <c r="W31" i="12" s="1"/>
  <c r="W27" i="12" a="1"/>
  <c r="W27" i="12" s="1"/>
  <c r="W23" i="12" a="1"/>
  <c r="W23" i="12" s="1"/>
  <c r="W19" i="12" a="1"/>
  <c r="W19" i="12" s="1"/>
  <c r="W15" i="12" a="1"/>
  <c r="W15" i="12" s="1"/>
  <c r="W11" i="12" a="1"/>
  <c r="W11" i="12" s="1"/>
  <c r="W7" i="12" a="1"/>
  <c r="W7" i="12" s="1"/>
  <c r="W3" i="12" a="1"/>
  <c r="W3" i="12" s="1"/>
  <c r="AB11" i="12" a="1"/>
  <c r="AB11" i="12" s="1"/>
  <c r="V47" i="12" a="1"/>
  <c r="V47" i="12" s="1"/>
  <c r="V43" i="12" a="1"/>
  <c r="V43" i="12" s="1"/>
  <c r="V39" i="12" a="1"/>
  <c r="V39" i="12" s="1"/>
  <c r="V35" i="12" a="1"/>
  <c r="V35" i="12" s="1"/>
  <c r="V31" i="12" a="1"/>
  <c r="V31" i="12" s="1"/>
  <c r="V27" i="12" a="1"/>
  <c r="V27" i="12" s="1"/>
  <c r="V23" i="12" a="1"/>
  <c r="V23" i="12" s="1"/>
  <c r="V19" i="12" a="1"/>
  <c r="V19" i="12" s="1"/>
  <c r="V15" i="12" a="1"/>
  <c r="V15" i="12" s="1"/>
  <c r="V11" i="12" a="1"/>
  <c r="V11" i="12" s="1"/>
  <c r="V7" i="12" a="1"/>
  <c r="V7" i="12" s="1"/>
  <c r="V3" i="12" a="1"/>
  <c r="V3" i="12" s="1"/>
  <c r="U7" i="12" a="1"/>
  <c r="U7" i="12" s="1"/>
  <c r="AA12" i="12" a="1"/>
  <c r="AA12" i="12" s="1"/>
  <c r="C54" i="12" a="1"/>
  <c r="C54" i="12" s="1"/>
  <c r="D61" i="12" a="1"/>
  <c r="D61" i="12" s="1"/>
  <c r="AB12" i="12" a="1"/>
  <c r="AB12" i="12" s="1"/>
  <c r="D54" i="12" a="1"/>
  <c r="D54" i="12" s="1"/>
  <c r="E54" i="12" a="1"/>
  <c r="E54" i="12" s="1"/>
  <c r="F54" i="12" s="1" a="1"/>
  <c r="F54" i="12" s="1"/>
  <c r="C62" i="12" a="1"/>
  <c r="C62" i="12" s="1"/>
  <c r="AA5" i="12" a="1"/>
  <c r="AA5" i="12" s="1"/>
  <c r="AA13" i="12" a="1"/>
  <c r="AA13" i="12" s="1"/>
  <c r="C55" i="12" a="1"/>
  <c r="C55" i="12" s="1"/>
  <c r="D62" i="12" a="1"/>
  <c r="D62" i="12" s="1"/>
  <c r="AB5" i="12" a="1"/>
  <c r="AB5" i="12" s="1"/>
  <c r="AB13" i="12" a="1"/>
  <c r="AB13" i="12" s="1"/>
  <c r="D55" i="12" a="1"/>
  <c r="D55" i="12" s="1"/>
  <c r="C60" i="12" a="1"/>
  <c r="C60" i="12" s="1"/>
  <c r="AA6" i="12" a="1"/>
  <c r="AA6" i="12" s="1"/>
  <c r="C56" i="12" a="1"/>
  <c r="C56" i="12" s="1"/>
  <c r="AB6" i="12" a="1"/>
  <c r="AB6" i="12" s="1"/>
  <c r="D56" i="12" a="1"/>
  <c r="D56" i="12" s="1"/>
  <c r="AA7" i="12" a="1"/>
  <c r="AA7" i="12" s="1"/>
  <c r="AA11" i="12" a="1"/>
  <c r="AA11" i="12" s="1"/>
  <c r="D60" i="12" a="1"/>
  <c r="D60" i="12" s="1"/>
  <c r="AB7" i="12" a="1"/>
  <c r="AB7" i="12" s="1"/>
  <c r="E60" i="12" a="1"/>
  <c r="E60" i="12" s="1"/>
  <c r="F60" i="12" s="1" a="1"/>
  <c r="F60" i="12" s="1"/>
  <c r="W18" i="11" a="1"/>
  <c r="W18" i="11" s="1"/>
  <c r="W4" i="11" a="1"/>
  <c r="W4" i="11" s="1"/>
  <c r="E59" i="11" a="1"/>
  <c r="E59" i="11" s="1"/>
  <c r="F59" i="11" s="1" a="1"/>
  <c r="F59" i="11" s="1"/>
  <c r="W36" i="11" a="1"/>
  <c r="W36" i="11" s="1"/>
  <c r="V7" i="11" a="1"/>
  <c r="V7" i="11" s="1"/>
  <c r="V4" i="11" a="1"/>
  <c r="V4" i="11" s="1"/>
  <c r="V45" i="11" a="1"/>
  <c r="V45" i="11" s="1"/>
  <c r="V36" i="11" a="1"/>
  <c r="V36" i="11" s="1"/>
  <c r="V27" i="11" a="1"/>
  <c r="V27" i="11" s="1"/>
  <c r="E53" i="11" a="1"/>
  <c r="E53" i="11" s="1"/>
  <c r="F53" i="11" s="1" a="1"/>
  <c r="F53" i="11" s="1"/>
  <c r="W30" i="11" a="1"/>
  <c r="W30" i="11" s="1"/>
  <c r="W20" i="11" a="1"/>
  <c r="W20" i="11" s="1"/>
  <c r="W14" i="11" a="1"/>
  <c r="W14" i="11" s="1"/>
  <c r="V20" i="11" a="1"/>
  <c r="V20" i="11" s="1"/>
  <c r="W38" i="11" a="1"/>
  <c r="W38" i="11" s="1"/>
  <c r="W32" i="11" a="1"/>
  <c r="W32" i="11" s="1"/>
  <c r="W6" i="11" a="1"/>
  <c r="W6" i="11" s="1"/>
  <c r="W44" i="11" a="1"/>
  <c r="W44" i="11" s="1"/>
  <c r="V32" i="11" a="1"/>
  <c r="V32" i="11" s="1"/>
  <c r="V29" i="11" a="1"/>
  <c r="V29" i="11" s="1"/>
  <c r="W22" i="11" a="1"/>
  <c r="W22" i="11" s="1"/>
  <c r="W16" i="11" a="1"/>
  <c r="W16" i="11" s="1"/>
  <c r="W40" i="11" a="1"/>
  <c r="W40" i="11" s="1"/>
  <c r="V19" i="11" a="1"/>
  <c r="V19" i="11" s="1"/>
  <c r="V16" i="11" a="1"/>
  <c r="V16" i="11" s="1"/>
  <c r="V40" i="11" a="1"/>
  <c r="V40" i="11" s="1"/>
  <c r="V37" i="11" a="1"/>
  <c r="V37" i="11" s="1"/>
  <c r="V43" i="11" a="1"/>
  <c r="V43" i="11" s="1"/>
  <c r="W34" i="11" a="1"/>
  <c r="W34" i="11" s="1"/>
  <c r="V31" i="11" a="1"/>
  <c r="V31" i="11" s="1"/>
  <c r="V44" i="11" a="1"/>
  <c r="V44" i="11" s="1"/>
  <c r="V28" i="11" a="1"/>
  <c r="V28" i="11" s="1"/>
  <c r="W45" i="11" a="1"/>
  <c r="W45" i="11" s="1"/>
  <c r="W41" i="11" a="1"/>
  <c r="W41" i="11" s="1"/>
  <c r="W37" i="11" a="1"/>
  <c r="W37" i="11" s="1"/>
  <c r="W33" i="11" a="1"/>
  <c r="W33" i="11" s="1"/>
  <c r="W29" i="11" a="1"/>
  <c r="W29" i="11" s="1"/>
  <c r="W25" i="11" a="1"/>
  <c r="W25" i="11" s="1"/>
  <c r="W21" i="11" a="1"/>
  <c r="W21" i="11" s="1"/>
  <c r="W17" i="11" a="1"/>
  <c r="W17" i="11" s="1"/>
  <c r="W13" i="11" a="1"/>
  <c r="W13" i="11" s="1"/>
  <c r="W9" i="11" a="1"/>
  <c r="W9" i="11" s="1"/>
  <c r="W5" i="11" a="1"/>
  <c r="W5" i="11" s="1"/>
  <c r="V24" i="11" a="1"/>
  <c r="V24" i="11" s="1"/>
  <c r="V12" i="11" a="1"/>
  <c r="V12" i="11" s="1"/>
  <c r="V8" i="11" a="1"/>
  <c r="V8" i="11" s="1"/>
  <c r="U28" i="11" a="1"/>
  <c r="U28" i="11" s="1"/>
  <c r="U24" i="11" a="1"/>
  <c r="U24" i="11" s="1"/>
  <c r="U12" i="11" a="1"/>
  <c r="U12" i="11" s="1"/>
  <c r="U8" i="11" a="1"/>
  <c r="U8" i="11" s="1"/>
  <c r="V41" i="11" a="1"/>
  <c r="V41" i="11" s="1"/>
  <c r="V33" i="11" a="1"/>
  <c r="V33" i="11" s="1"/>
  <c r="V25" i="11" a="1"/>
  <c r="V25" i="11" s="1"/>
  <c r="V17" i="11" a="1"/>
  <c r="V17" i="11" s="1"/>
  <c r="V13" i="11" a="1"/>
  <c r="V13" i="11" s="1"/>
  <c r="V9" i="11" a="1"/>
  <c r="V9" i="11" s="1"/>
  <c r="V5" i="11" a="1"/>
  <c r="V5" i="11" s="1"/>
  <c r="W10" i="11" a="1"/>
  <c r="W10" i="11" s="1"/>
  <c r="W2" i="11" a="1"/>
  <c r="W2" i="11" s="1"/>
  <c r="V42" i="11" a="1"/>
  <c r="V42" i="11" s="1"/>
  <c r="V38" i="11" a="1"/>
  <c r="V38" i="11" s="1"/>
  <c r="V34" i="11" a="1"/>
  <c r="V34" i="11" s="1"/>
  <c r="V30" i="11" a="1"/>
  <c r="V30" i="11" s="1"/>
  <c r="V26" i="11" a="1"/>
  <c r="V26" i="11" s="1"/>
  <c r="V22" i="11" a="1"/>
  <c r="V22" i="11" s="1"/>
  <c r="V18" i="11" a="1"/>
  <c r="V18" i="11" s="1"/>
  <c r="V14" i="11" a="1"/>
  <c r="V14" i="11" s="1"/>
  <c r="V10" i="11" a="1"/>
  <c r="V10" i="11" s="1"/>
  <c r="V6" i="11" a="1"/>
  <c r="V6" i="11" s="1"/>
  <c r="V2" i="11" a="1"/>
  <c r="V2" i="11" s="1"/>
  <c r="W42" i="11" a="1"/>
  <c r="W42" i="11" s="1"/>
  <c r="W26" i="11" a="1"/>
  <c r="W26" i="11" s="1"/>
  <c r="W43" i="11" a="1"/>
  <c r="W43" i="11" s="1"/>
  <c r="W39" i="11" a="1"/>
  <c r="W39" i="11" s="1"/>
  <c r="W35" i="11" a="1"/>
  <c r="W35" i="11" s="1"/>
  <c r="W31" i="11" a="1"/>
  <c r="W31" i="11" s="1"/>
  <c r="W27" i="11" a="1"/>
  <c r="W27" i="11" s="1"/>
  <c r="W23" i="11" a="1"/>
  <c r="W23" i="11" s="1"/>
  <c r="W19" i="11" a="1"/>
  <c r="W19" i="11" s="1"/>
  <c r="W15" i="11" a="1"/>
  <c r="W15" i="11" s="1"/>
  <c r="W11" i="11" a="1"/>
  <c r="W11" i="11" s="1"/>
  <c r="W7" i="11" a="1"/>
  <c r="W7" i="11" s="1"/>
  <c r="W3" i="11" a="1"/>
  <c r="W3" i="11" s="1"/>
  <c r="V39" i="11" a="1"/>
  <c r="V39" i="11" s="1"/>
  <c r="V35" i="11" a="1"/>
  <c r="V35" i="11" s="1"/>
  <c r="V23" i="11" a="1"/>
  <c r="V23" i="11" s="1"/>
  <c r="V15" i="11" a="1"/>
  <c r="V15" i="11" s="1"/>
  <c r="V11" i="11" a="1"/>
  <c r="V11" i="11" s="1"/>
  <c r="V3" i="11" a="1"/>
  <c r="V3" i="11" s="1"/>
  <c r="E60" i="11" a="1"/>
  <c r="E60" i="11" s="1"/>
  <c r="F60" i="11" s="1" a="1"/>
  <c r="F60" i="11" s="1"/>
  <c r="E54" i="11" a="1"/>
  <c r="E54" i="11" s="1"/>
  <c r="F54" i="11" s="1" a="1"/>
  <c r="F54" i="11" s="1"/>
  <c r="C52" i="11" a="1"/>
  <c r="C52" i="11" s="1"/>
  <c r="D58" i="11" a="1"/>
  <c r="D58" i="11" s="1"/>
  <c r="D52" i="11" a="1"/>
  <c r="D52" i="11" s="1"/>
  <c r="D59" i="11" a="1"/>
  <c r="D59" i="11" s="1"/>
  <c r="C53" i="11" a="1"/>
  <c r="C53" i="11" s="1"/>
  <c r="D60" i="11" a="1"/>
  <c r="D60" i="11" s="1"/>
  <c r="D53" i="11" a="1"/>
  <c r="D53" i="11" s="1"/>
  <c r="C60" i="11" a="1"/>
  <c r="C60" i="11" s="1"/>
  <c r="C59" i="11" a="1"/>
  <c r="C59" i="11" s="1"/>
  <c r="D54" i="11" a="1"/>
  <c r="D54" i="11" s="1"/>
  <c r="C58" i="11" a="1"/>
  <c r="C58" i="11" s="1"/>
  <c r="V44" i="10" a="1"/>
  <c r="V44" i="10" s="1"/>
  <c r="V24" i="10" a="1"/>
  <c r="V24" i="10" s="1"/>
  <c r="V22" i="10" a="1"/>
  <c r="V22" i="10" s="1"/>
  <c r="V19" i="10" a="1"/>
  <c r="V19" i="10" s="1"/>
  <c r="V15" i="10" a="1"/>
  <c r="V15" i="10" s="1"/>
  <c r="V11" i="10" a="1"/>
  <c r="V11" i="10" s="1"/>
  <c r="V35" i="10" a="1"/>
  <c r="V35" i="10" s="1"/>
  <c r="V33" i="10" a="1"/>
  <c r="V33" i="10" s="1"/>
  <c r="V30" i="10" a="1"/>
  <c r="V30" i="10" s="1"/>
  <c r="V5" i="10" a="1"/>
  <c r="V5" i="10" s="1"/>
  <c r="V27" i="10" a="1"/>
  <c r="V27" i="10" s="1"/>
  <c r="W25" i="10" a="1"/>
  <c r="W25" i="10" s="1"/>
  <c r="W23" i="10" a="1"/>
  <c r="W23" i="10" s="1"/>
  <c r="W20" i="10" a="1"/>
  <c r="W20" i="10" s="1"/>
  <c r="W17" i="10" a="1"/>
  <c r="W17" i="10" s="1"/>
  <c r="W12" i="10" a="1"/>
  <c r="W12" i="10" s="1"/>
  <c r="W36" i="10" a="1"/>
  <c r="W36" i="10" s="1"/>
  <c r="W9" i="10" a="1"/>
  <c r="W9" i="10" s="1"/>
  <c r="W8" i="10" a="1"/>
  <c r="W8" i="10" s="1"/>
  <c r="W6" i="10" a="1"/>
  <c r="W6" i="10" s="1"/>
  <c r="W3" i="10" a="1"/>
  <c r="W3" i="10" s="1"/>
  <c r="U44" i="10" a="1"/>
  <c r="U44" i="10" s="1"/>
  <c r="U24" i="10" a="1"/>
  <c r="U24" i="10" s="1"/>
  <c r="U22" i="10" a="1"/>
  <c r="U22" i="10" s="1"/>
  <c r="U19" i="10" a="1"/>
  <c r="U19" i="10" s="1"/>
  <c r="U15" i="10" a="1"/>
  <c r="U15" i="10" s="1"/>
  <c r="U11" i="10" a="1"/>
  <c r="U11" i="10" s="1"/>
  <c r="U35" i="10" a="1"/>
  <c r="U35" i="10" s="1"/>
  <c r="U33" i="10" a="1"/>
  <c r="U33" i="10" s="1"/>
  <c r="U30" i="10" a="1"/>
  <c r="U30" i="10" s="1"/>
  <c r="U5" i="10" a="1"/>
  <c r="U5" i="10" s="1"/>
  <c r="U27" i="10" a="1"/>
  <c r="U27" i="10" s="1"/>
  <c r="V25" i="10" a="1"/>
  <c r="V25" i="10" s="1"/>
  <c r="V23" i="10" a="1"/>
  <c r="V23" i="10" s="1"/>
  <c r="V20" i="10" a="1"/>
  <c r="V20" i="10" s="1"/>
  <c r="V17" i="10" a="1"/>
  <c r="V17" i="10" s="1"/>
  <c r="V12" i="10" a="1"/>
  <c r="V12" i="10" s="1"/>
  <c r="V36" i="10" a="1"/>
  <c r="V36" i="10" s="1"/>
  <c r="V9" i="10" a="1"/>
  <c r="V9" i="10" s="1"/>
  <c r="V8" i="10" a="1"/>
  <c r="V8" i="10" s="1"/>
  <c r="V6" i="10" a="1"/>
  <c r="V6" i="10" s="1"/>
  <c r="V3" i="10" a="1"/>
  <c r="V3" i="10" s="1"/>
  <c r="W42" i="10" a="1"/>
  <c r="W42" i="10" s="1"/>
  <c r="W40" i="10" a="1"/>
  <c r="W40" i="10" s="1"/>
  <c r="W21" i="10" a="1"/>
  <c r="W21" i="10" s="1"/>
  <c r="W38" i="10" a="1"/>
  <c r="W38" i="10" s="1"/>
  <c r="W13" i="10" a="1"/>
  <c r="W13" i="10" s="1"/>
  <c r="W16" i="10" a="1"/>
  <c r="W16" i="10" s="1"/>
  <c r="W34" i="10" a="1"/>
  <c r="W34" i="10" s="1"/>
  <c r="W31" i="10" a="1"/>
  <c r="W31" i="10" s="1"/>
  <c r="W29" i="10" a="1"/>
  <c r="W29" i="10" s="1"/>
  <c r="W4" i="10" a="1"/>
  <c r="W4" i="10" s="1"/>
  <c r="W26" i="10" a="1"/>
  <c r="W26" i="10" s="1"/>
  <c r="V42" i="10" a="1"/>
  <c r="V42" i="10" s="1"/>
  <c r="V40" i="10" a="1"/>
  <c r="V40" i="10" s="1"/>
  <c r="V21" i="10" a="1"/>
  <c r="V21" i="10" s="1"/>
  <c r="V38" i="10" a="1"/>
  <c r="V38" i="10" s="1"/>
  <c r="V13" i="10" a="1"/>
  <c r="V13" i="10" s="1"/>
  <c r="V16" i="10" a="1"/>
  <c r="V16" i="10" s="1"/>
  <c r="V34" i="10" a="1"/>
  <c r="V34" i="10" s="1"/>
  <c r="V31" i="10" a="1"/>
  <c r="V31" i="10" s="1"/>
  <c r="V29" i="10" a="1"/>
  <c r="V29" i="10" s="1"/>
  <c r="V4" i="10" a="1"/>
  <c r="V4" i="10" s="1"/>
  <c r="V26" i="10" a="1"/>
  <c r="V26" i="10" s="1"/>
  <c r="W43" i="10" a="1"/>
  <c r="W43" i="10" s="1"/>
  <c r="W41" i="10" a="1"/>
  <c r="W41" i="10" s="1"/>
  <c r="W39" i="10" a="1"/>
  <c r="W39" i="10" s="1"/>
  <c r="W18" i="10" a="1"/>
  <c r="W18" i="10" s="1"/>
  <c r="W14" i="10" a="1"/>
  <c r="W14" i="10" s="1"/>
  <c r="W37" i="10" a="1"/>
  <c r="W37" i="10" s="1"/>
  <c r="W10" i="10" a="1"/>
  <c r="W10" i="10" s="1"/>
  <c r="W32" i="10" a="1"/>
  <c r="W32" i="10" s="1"/>
  <c r="W7" i="10" a="1"/>
  <c r="W7" i="10" s="1"/>
  <c r="W28" i="10" a="1"/>
  <c r="W28" i="10" s="1"/>
  <c r="W2" i="10" a="1"/>
  <c r="W2" i="10" s="1"/>
  <c r="V43" i="10" a="1"/>
  <c r="V43" i="10" s="1"/>
  <c r="V41" i="10" a="1"/>
  <c r="V41" i="10" s="1"/>
  <c r="V39" i="10" a="1"/>
  <c r="V39" i="10" s="1"/>
  <c r="V18" i="10" a="1"/>
  <c r="V18" i="10" s="1"/>
  <c r="V14" i="10" a="1"/>
  <c r="V14" i="10" s="1"/>
  <c r="V37" i="10" a="1"/>
  <c r="V37" i="10" s="1"/>
  <c r="V10" i="10" a="1"/>
  <c r="V10" i="10" s="1"/>
  <c r="V32" i="10" a="1"/>
  <c r="V32" i="10" s="1"/>
  <c r="V7" i="10" a="1"/>
  <c r="V7" i="10" s="1"/>
  <c r="V28" i="10" a="1"/>
  <c r="V28" i="10" s="1"/>
  <c r="V2" i="10" a="1"/>
  <c r="V2" i="10" s="1"/>
  <c r="AC13" i="10" a="1"/>
  <c r="AC13" i="10" s="1"/>
  <c r="AC7" i="10" a="1"/>
  <c r="AC7" i="10" s="1"/>
  <c r="AA5" i="10" a="1"/>
  <c r="AA5" i="10" s="1"/>
  <c r="AB12" i="10" a="1"/>
  <c r="AB12" i="10" s="1"/>
  <c r="AA13" i="10" a="1"/>
  <c r="AA13" i="10" s="1"/>
  <c r="AB5" i="10" a="1"/>
  <c r="AB5" i="10" s="1"/>
  <c r="AB13" i="10" a="1"/>
  <c r="AB13" i="10" s="1"/>
  <c r="AA6" i="10" a="1"/>
  <c r="AA6" i="10" s="1"/>
  <c r="AB6" i="10" a="1"/>
  <c r="AB6" i="10" s="1"/>
  <c r="AA7" i="10" a="1"/>
  <c r="AA7" i="10" s="1"/>
  <c r="AA11" i="10" a="1"/>
  <c r="AA11" i="10" s="1"/>
  <c r="AB7" i="10" a="1"/>
  <c r="AB7" i="10" s="1"/>
  <c r="AB11" i="10" a="1"/>
  <c r="AB11" i="10" s="1"/>
  <c r="AA12" i="10" a="1"/>
  <c r="AA12" i="10" s="1"/>
  <c r="E53" i="10" a="1"/>
  <c r="E53" i="10" s="1"/>
  <c r="F53" i="10" s="1" a="1"/>
  <c r="F53" i="10" s="1"/>
  <c r="E52" i="10" a="1"/>
  <c r="E52" i="10" s="1"/>
  <c r="F52" i="10" s="1" a="1"/>
  <c r="F52" i="10" s="1"/>
  <c r="E58" i="10" a="1"/>
  <c r="E58" i="10" s="1"/>
  <c r="F58" i="10" s="1" a="1"/>
  <c r="F58" i="10" s="1"/>
  <c r="E51" i="10" a="1"/>
  <c r="E51" i="10" s="1"/>
  <c r="F51" i="10" s="1" a="1"/>
  <c r="F51" i="10" s="1"/>
  <c r="E57" i="10" a="1"/>
  <c r="E57" i="10" s="1"/>
  <c r="F57" i="10" s="1" a="1"/>
  <c r="F57" i="10" s="1"/>
  <c r="E59" i="10" a="1"/>
  <c r="E59" i="10" s="1"/>
  <c r="F59" i="10" s="1" a="1"/>
  <c r="F59" i="10" s="1"/>
  <c r="C51" i="10" a="1"/>
  <c r="C51" i="10" s="1"/>
  <c r="C57" i="10" a="1"/>
  <c r="C57" i="10" s="1"/>
  <c r="D51" i="10" a="1"/>
  <c r="D51" i="10" s="1"/>
  <c r="D57" i="10" a="1"/>
  <c r="D57" i="10" s="1"/>
  <c r="D52" i="10" a="1"/>
  <c r="D52" i="10" s="1"/>
  <c r="D58" i="10" a="1"/>
  <c r="D58" i="10" s="1"/>
  <c r="C52" i="10" a="1"/>
  <c r="C52" i="10" s="1"/>
  <c r="C53" i="10" a="1"/>
  <c r="C53" i="10" s="1"/>
  <c r="C59" i="10" a="1"/>
  <c r="C59" i="10" s="1"/>
  <c r="D53" i="10" a="1"/>
  <c r="D53" i="10" s="1"/>
  <c r="D59" i="10" a="1"/>
  <c r="D59" i="10" s="1"/>
  <c r="C58" i="10" a="1"/>
  <c r="C58" i="10" s="1"/>
  <c r="AC11" i="8" a="1"/>
  <c r="AC11" i="8" s="1"/>
  <c r="AC12" i="8" a="1"/>
  <c r="AC12" i="8" s="1"/>
  <c r="AC13" i="8" a="1"/>
  <c r="AC13" i="8" s="1"/>
  <c r="F63" i="15" a="1"/>
  <c r="F63" i="15" s="1"/>
  <c r="E55" i="8" a="1"/>
  <c r="E55" i="8" s="1"/>
  <c r="F55" i="8" s="1" a="1"/>
  <c r="F55" i="8" s="1"/>
  <c r="E56" i="8" a="1"/>
  <c r="E56" i="8" s="1"/>
  <c r="F56" i="8" s="1" a="1"/>
  <c r="F56" i="8" s="1"/>
  <c r="AC5" i="8" a="1"/>
  <c r="AC5" i="8" s="1"/>
  <c r="D60" i="8" a="1"/>
  <c r="D60" i="8" s="1"/>
  <c r="E61" i="8" a="1"/>
  <c r="E61" i="8" s="1"/>
  <c r="F61" i="8" s="1" a="1"/>
  <c r="F61" i="8" s="1"/>
  <c r="F67" i="15" a="1"/>
  <c r="F67" i="15" s="1"/>
  <c r="AA6" i="8" a="1"/>
  <c r="AA6" i="8" s="1"/>
  <c r="D61" i="8" a="1"/>
  <c r="D61" i="8" s="1"/>
  <c r="F68" i="15" a="1"/>
  <c r="F68" i="15" s="1"/>
  <c r="AB6" i="8" a="1"/>
  <c r="AB6" i="8" s="1"/>
  <c r="C54" i="8" a="1"/>
  <c r="C54" i="8" s="1"/>
  <c r="D62" i="8" a="1"/>
  <c r="D62" i="8" s="1"/>
  <c r="E62" i="8" a="1"/>
  <c r="E62" i="8" s="1"/>
  <c r="F62" i="8" s="1" a="1"/>
  <c r="F62" i="8" s="1"/>
  <c r="F69" i="15" a="1"/>
  <c r="F69" i="15" s="1"/>
  <c r="AC6" i="8" a="1"/>
  <c r="AC6" i="8" s="1"/>
  <c r="C55" i="8" a="1"/>
  <c r="C55" i="8" s="1"/>
  <c r="E54" i="8" a="1"/>
  <c r="E54" i="8" s="1"/>
  <c r="F54" i="8" s="1" a="1"/>
  <c r="F54" i="8" s="1"/>
  <c r="F70" i="15" a="1"/>
  <c r="F70" i="15" s="1"/>
  <c r="AA7" i="8" a="1"/>
  <c r="AA7" i="8" s="1"/>
  <c r="AA11" i="8" a="1"/>
  <c r="AA11" i="8" s="1"/>
  <c r="AB11" i="8" a="1"/>
  <c r="AB11" i="8" s="1"/>
  <c r="C60" i="8" a="1"/>
  <c r="C60" i="8" s="1"/>
  <c r="AA13" i="8" a="1"/>
  <c r="AA13" i="8" s="1"/>
  <c r="C56" i="8" a="1"/>
  <c r="C56" i="8" s="1"/>
  <c r="AC7" i="8" a="1"/>
  <c r="AC7" i="8" s="1"/>
  <c r="C61" i="8" a="1"/>
  <c r="C61" i="8" s="1"/>
  <c r="AB13" i="8" a="1"/>
  <c r="AB13" i="8" s="1"/>
  <c r="C62" i="8" a="1"/>
  <c r="C62" i="8" s="1"/>
  <c r="D54" i="8" a="1"/>
  <c r="D54" i="8" s="1"/>
  <c r="AA5" i="8" a="1"/>
  <c r="AA5" i="8" s="1"/>
  <c r="AA12" i="8" a="1"/>
  <c r="AA12" i="8" s="1"/>
  <c r="AB7" i="8" a="1"/>
  <c r="AB7" i="8" s="1"/>
  <c r="D55" i="8" a="1"/>
  <c r="D55" i="8" s="1"/>
  <c r="F62" i="15" a="1"/>
  <c r="F62" i="15" s="1"/>
  <c r="AB5" i="8" a="1"/>
  <c r="AB5" i="8" s="1"/>
  <c r="AB12" i="8" a="1"/>
  <c r="AB12" i="8" s="1"/>
  <c r="D56" i="8" a="1"/>
  <c r="D56" i="8" s="1"/>
  <c r="G44" i="6"/>
  <c r="I50" i="2" a="1"/>
  <c r="I50" i="2" s="1"/>
  <c r="J50" i="2" s="1" a="1"/>
  <c r="J50" i="2" s="1"/>
  <c r="G37" i="7"/>
  <c r="E58" i="15" a="1"/>
  <c r="E58" i="15" s="1"/>
  <c r="E59" i="15" a="1"/>
  <c r="E59" i="15" s="1"/>
  <c r="D66" i="15" a="1"/>
  <c r="D66" i="15" s="1"/>
  <c r="E60" i="15" a="1"/>
  <c r="E60" i="15" s="1"/>
  <c r="D65" i="15" a="1"/>
  <c r="D65" i="15" s="1"/>
  <c r="C59" i="15" a="1"/>
  <c r="C59" i="15" s="1"/>
  <c r="D59" i="15" a="1"/>
  <c r="D59" i="15" s="1"/>
  <c r="C64" i="15" a="1"/>
  <c r="C64" i="15" s="1"/>
  <c r="C66" i="15" a="1"/>
  <c r="C66" i="15" s="1"/>
  <c r="D64" i="15" a="1"/>
  <c r="D64" i="15" s="1"/>
  <c r="E5" i="15"/>
  <c r="CT5" i="15" s="1"/>
  <c r="E3" i="15"/>
  <c r="C58" i="15" a="1"/>
  <c r="C58" i="15" s="1"/>
  <c r="D58" i="15" a="1"/>
  <c r="D58" i="15" s="1"/>
  <c r="D60" i="15" a="1"/>
  <c r="D60" i="15" s="1"/>
  <c r="E47" i="15"/>
  <c r="CQ47" i="15" s="1"/>
  <c r="E35" i="15"/>
  <c r="CT35" i="15" s="1"/>
  <c r="E23" i="15"/>
  <c r="CU23" i="15" s="1"/>
  <c r="E8" i="15"/>
  <c r="CU8" i="15" s="1"/>
  <c r="E51" i="15"/>
  <c r="CT51" i="15" s="1"/>
  <c r="E39" i="15"/>
  <c r="CT39" i="15" s="1"/>
  <c r="E27" i="15"/>
  <c r="CS27" i="15" s="1"/>
  <c r="E11" i="15"/>
  <c r="E12" i="15"/>
  <c r="E34" i="15"/>
  <c r="CS34" i="15" s="1"/>
  <c r="E15" i="15"/>
  <c r="E44" i="15"/>
  <c r="CT44" i="15" s="1"/>
  <c r="E32" i="15"/>
  <c r="CS32" i="15" s="1"/>
  <c r="E20" i="15"/>
  <c r="CT20" i="15" s="1"/>
  <c r="E7" i="15"/>
  <c r="CR7" i="15" s="1"/>
  <c r="E42" i="15"/>
  <c r="CT42" i="15" s="1"/>
  <c r="E30" i="15"/>
  <c r="CU30" i="15" s="1"/>
  <c r="E18" i="15"/>
  <c r="E4" i="15"/>
  <c r="CU4" i="15" s="1"/>
  <c r="E22" i="15"/>
  <c r="CT22" i="15" s="1"/>
  <c r="E53" i="15"/>
  <c r="CU53" i="15" s="1"/>
  <c r="E41" i="15"/>
  <c r="CQ41" i="15" s="1"/>
  <c r="E29" i="15"/>
  <c r="CU29" i="15" s="1"/>
  <c r="E16" i="15"/>
  <c r="E9" i="15"/>
  <c r="CT9" i="15" s="1"/>
  <c r="E45" i="15"/>
  <c r="CU45" i="15" s="1"/>
  <c r="E33" i="15"/>
  <c r="CS33" i="15" s="1"/>
  <c r="E21" i="15"/>
  <c r="CT21" i="15" s="1"/>
  <c r="E13" i="15"/>
  <c r="E46" i="15"/>
  <c r="CS46" i="15" s="1"/>
  <c r="E52" i="15"/>
  <c r="CU52" i="15" s="1"/>
  <c r="E40" i="15"/>
  <c r="CT40" i="15" s="1"/>
  <c r="E28" i="15"/>
  <c r="CU28" i="15" s="1"/>
  <c r="E14" i="15"/>
  <c r="CQ14" i="15" s="1"/>
  <c r="I37" i="7" a="1"/>
  <c r="I37" i="7" s="1"/>
  <c r="CQ3" i="15"/>
  <c r="CP3" i="15"/>
  <c r="E6" i="15"/>
  <c r="CU6" i="15" s="1"/>
  <c r="E2" i="15"/>
  <c r="G38" i="3"/>
  <c r="G45" i="3"/>
  <c r="H38" i="3" a="1"/>
  <c r="H38" i="3" s="1"/>
  <c r="Z25" i="6"/>
  <c r="F51" i="6" a="1"/>
  <c r="F51" i="6" s="1"/>
  <c r="Z24" i="6"/>
  <c r="H51" i="6" a="1"/>
  <c r="H51" i="6" s="1"/>
  <c r="E51" i="6"/>
  <c r="G51" i="6"/>
  <c r="Z22" i="2"/>
  <c r="AA34" i="2"/>
  <c r="E50" i="2" s="1"/>
  <c r="F43" i="2" a="1"/>
  <c r="F43" i="2" s="1"/>
  <c r="H43" i="2" a="1"/>
  <c r="H43" i="2" s="1"/>
  <c r="Z33" i="2"/>
  <c r="Z21" i="2"/>
  <c r="Z9" i="2"/>
  <c r="I43" i="2" a="1"/>
  <c r="I43" i="2" s="1"/>
  <c r="J43" i="2" s="1" a="1"/>
  <c r="J43" i="2" s="1"/>
  <c r="Z32" i="2"/>
  <c r="Z20" i="2"/>
  <c r="Z8" i="2"/>
  <c r="Z31" i="2"/>
  <c r="Z19" i="2"/>
  <c r="Z7" i="2"/>
  <c r="Z30" i="2"/>
  <c r="Z18" i="2"/>
  <c r="Z6" i="2"/>
  <c r="Z29" i="2"/>
  <c r="Z17" i="2"/>
  <c r="Z5" i="2"/>
  <c r="Z2" i="2"/>
  <c r="Z28" i="2"/>
  <c r="Z16" i="2"/>
  <c r="Z4" i="2"/>
  <c r="Z27" i="2"/>
  <c r="Z15" i="2"/>
  <c r="Z3" i="2"/>
  <c r="Z38" i="2"/>
  <c r="Z26" i="2"/>
  <c r="Z14" i="2"/>
  <c r="Z37" i="2"/>
  <c r="Z25" i="2"/>
  <c r="Z13" i="2"/>
  <c r="Z36" i="2"/>
  <c r="Z24" i="2"/>
  <c r="Z12" i="2"/>
  <c r="Z35" i="2"/>
  <c r="Z23" i="2"/>
  <c r="Z11" i="2"/>
  <c r="G50" i="2"/>
  <c r="H45" i="3" a="1"/>
  <c r="H45" i="3" s="1"/>
  <c r="H44" i="6" a="1"/>
  <c r="H44" i="6" s="1"/>
  <c r="G43" i="2"/>
  <c r="H50" i="2" a="1"/>
  <c r="H50" i="2" s="1"/>
  <c r="U2" i="8" a="1"/>
  <c r="U2" i="8" s="1"/>
  <c r="V2" i="8" a="1"/>
  <c r="V2" i="8" s="1"/>
  <c r="CR9" i="15"/>
  <c r="F61" i="15" a="1"/>
  <c r="F61" i="15" s="1"/>
  <c r="CS4" i="15"/>
  <c r="CP18" i="15"/>
  <c r="CS18" i="15"/>
  <c r="CQ50" i="15"/>
  <c r="CQ46" i="15"/>
  <c r="CT37" i="15"/>
  <c r="CT15" i="15"/>
  <c r="CT16" i="15"/>
  <c r="CP31" i="15"/>
  <c r="CT47" i="15"/>
  <c r="CT17" i="15"/>
  <c r="CP26" i="15"/>
  <c r="CT8" i="15"/>
  <c r="CQ15" i="15"/>
  <c r="CS13" i="15"/>
  <c r="CQ36" i="15"/>
  <c r="CS10" i="15"/>
  <c r="CQ13" i="15"/>
  <c r="CU3" i="15"/>
  <c r="CU18" i="15"/>
  <c r="CS3" i="15"/>
  <c r="CU9" i="15"/>
  <c r="CS31" i="15"/>
  <c r="CU11" i="15"/>
  <c r="CS26" i="15"/>
  <c r="CU12" i="15"/>
  <c r="CR49" i="15"/>
  <c r="CR22" i="15"/>
  <c r="CR5" i="15"/>
  <c r="CU44" i="15"/>
  <c r="CU49" i="15"/>
  <c r="CU22" i="15"/>
  <c r="CU5" i="15"/>
  <c r="CP53" i="15"/>
  <c r="CP30" i="15"/>
  <c r="CP25" i="15"/>
  <c r="CP9" i="15"/>
  <c r="CQ33" i="15"/>
  <c r="CQ27" i="15"/>
  <c r="CQ34" i="15"/>
  <c r="CR43" i="15"/>
  <c r="CR40" i="15"/>
  <c r="CR21" i="15"/>
  <c r="CR16" i="15"/>
  <c r="CS53" i="15"/>
  <c r="CS30" i="15"/>
  <c r="CS25" i="15"/>
  <c r="CS9" i="15"/>
  <c r="CT50" i="15"/>
  <c r="CT36" i="15"/>
  <c r="CT46" i="15"/>
  <c r="CT13" i="15"/>
  <c r="CU43" i="15"/>
  <c r="CU21" i="15"/>
  <c r="CU16" i="15"/>
  <c r="CP52" i="15"/>
  <c r="CP29" i="15"/>
  <c r="CP24" i="15"/>
  <c r="CP11" i="15"/>
  <c r="CQ32" i="15"/>
  <c r="CQ48" i="15"/>
  <c r="CQ19" i="15"/>
  <c r="CQ10" i="15"/>
  <c r="CR42" i="15"/>
  <c r="CR39" i="15"/>
  <c r="CR20" i="15"/>
  <c r="CR17" i="15"/>
  <c r="CS52" i="15"/>
  <c r="CS29" i="15"/>
  <c r="CS24" i="15"/>
  <c r="CS11" i="15"/>
  <c r="CT33" i="15"/>
  <c r="CT27" i="15"/>
  <c r="CT34" i="15"/>
  <c r="CU42" i="15"/>
  <c r="CU39" i="15"/>
  <c r="CU20" i="15"/>
  <c r="CU17" i="15"/>
  <c r="CP45" i="15"/>
  <c r="CP28" i="15"/>
  <c r="CP23" i="15"/>
  <c r="CP12" i="15"/>
  <c r="CQ31" i="15"/>
  <c r="CQ26" i="15"/>
  <c r="CQ18" i="15"/>
  <c r="CR51" i="15"/>
  <c r="CR38" i="15"/>
  <c r="CR35" i="15"/>
  <c r="CR8" i="15"/>
  <c r="CS45" i="15"/>
  <c r="CS28" i="15"/>
  <c r="CS23" i="15"/>
  <c r="CS12" i="15"/>
  <c r="CT32" i="15"/>
  <c r="CT48" i="15"/>
  <c r="CT19" i="15"/>
  <c r="CT10" i="15"/>
  <c r="CU51" i="15"/>
  <c r="CU38" i="15"/>
  <c r="CU35" i="15"/>
  <c r="CP44" i="15"/>
  <c r="CP49" i="15"/>
  <c r="CP22" i="15"/>
  <c r="CP5" i="15"/>
  <c r="CQ53" i="15"/>
  <c r="CQ30" i="15"/>
  <c r="CQ25" i="15"/>
  <c r="CQ9" i="15"/>
  <c r="CR37" i="15"/>
  <c r="CR47" i="15"/>
  <c r="CR15" i="15"/>
  <c r="CS44" i="15"/>
  <c r="CS49" i="15"/>
  <c r="CS22" i="15"/>
  <c r="CS5" i="15"/>
  <c r="CT3" i="15"/>
  <c r="CT31" i="15"/>
  <c r="CT26" i="15"/>
  <c r="CT18" i="15"/>
  <c r="CU37" i="15"/>
  <c r="CU47" i="15"/>
  <c r="CU15" i="15"/>
  <c r="CP43" i="15"/>
  <c r="CP40" i="15"/>
  <c r="CP21" i="15"/>
  <c r="CP16" i="15"/>
  <c r="CQ52" i="15"/>
  <c r="CQ29" i="15"/>
  <c r="CQ24" i="15"/>
  <c r="CQ11" i="15"/>
  <c r="CR50" i="15"/>
  <c r="CR36" i="15"/>
  <c r="CR46" i="15"/>
  <c r="CR13" i="15"/>
  <c r="CS43" i="15"/>
  <c r="CS40" i="15"/>
  <c r="CS21" i="15"/>
  <c r="CS16" i="15"/>
  <c r="CT53" i="15"/>
  <c r="CT30" i="15"/>
  <c r="CT25" i="15"/>
  <c r="CU50" i="15"/>
  <c r="CU36" i="15"/>
  <c r="CU46" i="15"/>
  <c r="CU13" i="15"/>
  <c r="CR44" i="15"/>
  <c r="CP42" i="15"/>
  <c r="CP39" i="15"/>
  <c r="CP20" i="15"/>
  <c r="CP17" i="15"/>
  <c r="CQ45" i="15"/>
  <c r="CQ28" i="15"/>
  <c r="CQ23" i="15"/>
  <c r="CQ12" i="15"/>
  <c r="CR33" i="15"/>
  <c r="CR27" i="15"/>
  <c r="CR34" i="15"/>
  <c r="CS42" i="15"/>
  <c r="CS39" i="15"/>
  <c r="CS20" i="15"/>
  <c r="CS17" i="15"/>
  <c r="CT52" i="15"/>
  <c r="CT29" i="15"/>
  <c r="CT24" i="15"/>
  <c r="CT11" i="15"/>
  <c r="CT6" i="15"/>
  <c r="CU33" i="15"/>
  <c r="CU27" i="15"/>
  <c r="CU34" i="15"/>
  <c r="CU7" i="15"/>
  <c r="CP51" i="15"/>
  <c r="CP38" i="15"/>
  <c r="CP35" i="15"/>
  <c r="CQ44" i="15"/>
  <c r="CQ49" i="15"/>
  <c r="CQ22" i="15"/>
  <c r="CQ5" i="15"/>
  <c r="CR32" i="15"/>
  <c r="CR48" i="15"/>
  <c r="CR19" i="15"/>
  <c r="CR10" i="15"/>
  <c r="CS51" i="15"/>
  <c r="CS38" i="15"/>
  <c r="CS35" i="15"/>
  <c r="CT45" i="15"/>
  <c r="CT28" i="15"/>
  <c r="CT23" i="15"/>
  <c r="CT12" i="15"/>
  <c r="CU32" i="15"/>
  <c r="CU48" i="15"/>
  <c r="CU19" i="15"/>
  <c r="CU10" i="15"/>
  <c r="CP37" i="15"/>
  <c r="CP47" i="15"/>
  <c r="CP15" i="15"/>
  <c r="CQ43" i="15"/>
  <c r="CQ40" i="15"/>
  <c r="CQ21" i="15"/>
  <c r="CQ16" i="15"/>
  <c r="CR3" i="15"/>
  <c r="CR31" i="15"/>
  <c r="CR26" i="15"/>
  <c r="CR18" i="15"/>
  <c r="CS37" i="15"/>
  <c r="CS47" i="15"/>
  <c r="CS15" i="15"/>
  <c r="CP50" i="15"/>
  <c r="CP36" i="15"/>
  <c r="CP46" i="15"/>
  <c r="CP13" i="15"/>
  <c r="CQ42" i="15"/>
  <c r="CQ39" i="15"/>
  <c r="CQ20" i="15"/>
  <c r="CQ17" i="15"/>
  <c r="CR53" i="15"/>
  <c r="CR30" i="15"/>
  <c r="CR25" i="15"/>
  <c r="CP33" i="15"/>
  <c r="CP27" i="15"/>
  <c r="CP34" i="15"/>
  <c r="CP7" i="15"/>
  <c r="CQ51" i="15"/>
  <c r="CQ38" i="15"/>
  <c r="CQ35" i="15"/>
  <c r="CQ8" i="15"/>
  <c r="CR52" i="15"/>
  <c r="CR29" i="15"/>
  <c r="CR24" i="15"/>
  <c r="CR11" i="15"/>
  <c r="CP32" i="15"/>
  <c r="CP48" i="15"/>
  <c r="CP19" i="15"/>
  <c r="CP10" i="15"/>
  <c r="CR45" i="15"/>
  <c r="CR28" i="15"/>
  <c r="CR23" i="15"/>
  <c r="CR12" i="15"/>
  <c r="E43" i="2"/>
  <c r="U45" i="8" a="1"/>
  <c r="U45" i="8" s="1"/>
  <c r="U20" i="8" a="1"/>
  <c r="U20" i="8" s="1"/>
  <c r="U31" i="8" a="1"/>
  <c r="U31" i="8" s="1"/>
  <c r="U26" i="8" a="1"/>
  <c r="U26" i="8" s="1"/>
  <c r="V47" i="8" a="1"/>
  <c r="V47" i="8" s="1"/>
  <c r="V22" i="8" a="1"/>
  <c r="V22" i="8" s="1"/>
  <c r="V35" i="8" a="1"/>
  <c r="V35" i="8" s="1"/>
  <c r="V7" i="8" a="1"/>
  <c r="V7" i="8" s="1"/>
  <c r="W44" i="8" a="1"/>
  <c r="W44" i="8" s="1"/>
  <c r="W17" i="8" a="1"/>
  <c r="W17" i="8" s="1"/>
  <c r="W29" i="8" a="1"/>
  <c r="W29" i="8" s="1"/>
  <c r="W3" i="8" a="1"/>
  <c r="W3" i="8" s="1"/>
  <c r="U42" i="8" a="1"/>
  <c r="U42" i="8" s="1"/>
  <c r="U19" i="8" a="1"/>
  <c r="U19" i="8" s="1"/>
  <c r="U34" i="8" a="1"/>
  <c r="U34" i="8" s="1"/>
  <c r="U27" i="8" a="1"/>
  <c r="U27" i="8" s="1"/>
  <c r="V25" i="8" a="1"/>
  <c r="V25" i="8" s="1"/>
  <c r="V21" i="8" a="1"/>
  <c r="V21" i="8" s="1"/>
  <c r="V13" i="8" a="1"/>
  <c r="V13" i="8" s="1"/>
  <c r="V30" i="8" a="1"/>
  <c r="V30" i="8" s="1"/>
  <c r="W24" i="8" a="1"/>
  <c r="W24" i="8" s="1"/>
  <c r="W16" i="8" a="1"/>
  <c r="W16" i="8" s="1"/>
  <c r="W10" i="8" a="1"/>
  <c r="W10" i="8" s="1"/>
  <c r="U43" i="8" a="1"/>
  <c r="U43" i="8" s="1"/>
  <c r="U38" i="8" a="1"/>
  <c r="U38" i="8" s="1"/>
  <c r="U32" i="8" a="1"/>
  <c r="U32" i="8" s="1"/>
  <c r="U28" i="8" a="1"/>
  <c r="U28" i="8" s="1"/>
  <c r="V46" i="8" a="1"/>
  <c r="V46" i="8" s="1"/>
  <c r="V37" i="8" a="1"/>
  <c r="V37" i="8" s="1"/>
  <c r="V33" i="8" a="1"/>
  <c r="V33" i="8" s="1"/>
  <c r="V6" i="8" a="1"/>
  <c r="V6" i="8" s="1"/>
  <c r="W39" i="8" a="1"/>
  <c r="W39" i="8" s="1"/>
  <c r="W15" i="8" a="1"/>
  <c r="W15" i="8" s="1"/>
  <c r="W9" i="8" a="1"/>
  <c r="W9" i="8" s="1"/>
  <c r="U41" i="8" a="1"/>
  <c r="U41" i="8" s="1"/>
  <c r="U18" i="8" a="1"/>
  <c r="U18" i="8" s="1"/>
  <c r="U11" i="8" a="1"/>
  <c r="U11" i="8" s="1"/>
  <c r="U4" i="8" a="1"/>
  <c r="U4" i="8" s="1"/>
  <c r="V40" i="8" a="1"/>
  <c r="V40" i="8" s="1"/>
  <c r="V36" i="8" a="1"/>
  <c r="V36" i="8" s="1"/>
  <c r="V12" i="8" a="1"/>
  <c r="V12" i="8" s="1"/>
  <c r="V5" i="8" a="1"/>
  <c r="V5" i="8" s="1"/>
  <c r="W23" i="8" a="1"/>
  <c r="W23" i="8" s="1"/>
  <c r="W14" i="8" a="1"/>
  <c r="W14" i="8" s="1"/>
  <c r="W8" i="8" a="1"/>
  <c r="W8" i="8" s="1"/>
  <c r="U44" i="8" a="1"/>
  <c r="U44" i="8" s="1"/>
  <c r="U17" i="8" a="1"/>
  <c r="U17" i="8" s="1"/>
  <c r="U29" i="8" a="1"/>
  <c r="U29" i="8" s="1"/>
  <c r="U3" i="8" a="1"/>
  <c r="U3" i="8" s="1"/>
  <c r="V45" i="8" a="1"/>
  <c r="V45" i="8" s="1"/>
  <c r="V20" i="8" a="1"/>
  <c r="V20" i="8" s="1"/>
  <c r="V31" i="8" a="1"/>
  <c r="V31" i="8" s="1"/>
  <c r="V26" i="8" a="1"/>
  <c r="V26" i="8" s="1"/>
  <c r="W47" i="8" a="1"/>
  <c r="W47" i="8" s="1"/>
  <c r="W22" i="8" a="1"/>
  <c r="W22" i="8" s="1"/>
  <c r="W35" i="8" a="1"/>
  <c r="W35" i="8" s="1"/>
  <c r="W7" i="8" a="1"/>
  <c r="W7" i="8" s="1"/>
  <c r="U24" i="8" a="1"/>
  <c r="U24" i="8" s="1"/>
  <c r="U16" i="8" a="1"/>
  <c r="U16" i="8" s="1"/>
  <c r="U10" i="8" a="1"/>
  <c r="U10" i="8" s="1"/>
  <c r="V42" i="8" a="1"/>
  <c r="V42" i="8" s="1"/>
  <c r="V19" i="8" a="1"/>
  <c r="V19" i="8" s="1"/>
  <c r="V34" i="8" a="1"/>
  <c r="V34" i="8" s="1"/>
  <c r="V27" i="8" a="1"/>
  <c r="V27" i="8" s="1"/>
  <c r="W25" i="8" a="1"/>
  <c r="W25" i="8" s="1"/>
  <c r="W21" i="8" a="1"/>
  <c r="W21" i="8" s="1"/>
  <c r="W13" i="8" a="1"/>
  <c r="W13" i="8" s="1"/>
  <c r="W30" i="8" a="1"/>
  <c r="W30" i="8" s="1"/>
  <c r="U39" i="8" a="1"/>
  <c r="U39" i="8" s="1"/>
  <c r="U15" i="8" a="1"/>
  <c r="U15" i="8" s="1"/>
  <c r="U9" i="8" a="1"/>
  <c r="U9" i="8" s="1"/>
  <c r="V43" i="8" a="1"/>
  <c r="V43" i="8" s="1"/>
  <c r="V38" i="8" a="1"/>
  <c r="V38" i="8" s="1"/>
  <c r="V32" i="8" a="1"/>
  <c r="V32" i="8" s="1"/>
  <c r="V28" i="8" a="1"/>
  <c r="V28" i="8" s="1"/>
  <c r="W46" i="8" a="1"/>
  <c r="W46" i="8" s="1"/>
  <c r="W37" i="8" a="1"/>
  <c r="W37" i="8" s="1"/>
  <c r="W33" i="8" a="1"/>
  <c r="W33" i="8" s="1"/>
  <c r="W6" i="8" a="1"/>
  <c r="W6" i="8" s="1"/>
  <c r="U23" i="8" a="1"/>
  <c r="U23" i="8" s="1"/>
  <c r="U14" i="8" a="1"/>
  <c r="U14" i="8" s="1"/>
  <c r="U8" i="8" a="1"/>
  <c r="U8" i="8" s="1"/>
  <c r="V41" i="8" a="1"/>
  <c r="V41" i="8" s="1"/>
  <c r="V18" i="8" a="1"/>
  <c r="V18" i="8" s="1"/>
  <c r="V11" i="8" a="1"/>
  <c r="V11" i="8" s="1"/>
  <c r="V4" i="8" a="1"/>
  <c r="V4" i="8" s="1"/>
  <c r="W40" i="8" a="1"/>
  <c r="W40" i="8" s="1"/>
  <c r="W36" i="8" a="1"/>
  <c r="W36" i="8" s="1"/>
  <c r="W12" i="8" a="1"/>
  <c r="W12" i="8" s="1"/>
  <c r="W5" i="8" a="1"/>
  <c r="W5" i="8" s="1"/>
  <c r="F50" i="2" l="1" a="1"/>
  <c r="F50" i="2" s="1"/>
  <c r="AG2" i="2" a="1"/>
  <c r="AG2" i="2" s="1"/>
  <c r="AF9" i="2"/>
  <c r="AH9" i="2"/>
  <c r="AF2" i="2"/>
  <c r="AG9" i="2" a="1"/>
  <c r="AG9" i="2" s="1"/>
  <c r="AI9" i="2" a="1"/>
  <c r="AI9" i="2" s="1"/>
  <c r="AF2" i="6"/>
  <c r="X58" i="15" a="1"/>
  <c r="X58" i="15" s="1"/>
  <c r="F58" i="15" a="1"/>
  <c r="F58" i="15" s="1"/>
  <c r="F59" i="15" a="1"/>
  <c r="F59" i="15" s="1"/>
  <c r="X59" i="15" a="1"/>
  <c r="X59" i="15" s="1"/>
  <c r="F60" i="15" a="1"/>
  <c r="F60" i="15" s="1"/>
  <c r="X60" i="15" a="1"/>
  <c r="X60" i="15" s="1"/>
  <c r="DA12" i="15" a="1"/>
  <c r="DA12" i="15" s="1"/>
  <c r="CZ12" i="15" a="1"/>
  <c r="CZ12" i="15" s="1"/>
  <c r="CY12" i="15" a="1"/>
  <c r="CY12" i="15" s="1"/>
  <c r="E68" i="15" a="1"/>
  <c r="E68" i="15" s="1"/>
  <c r="X68" i="15" s="1" a="1"/>
  <c r="X68" i="15" s="1"/>
  <c r="C68" i="15" a="1"/>
  <c r="C68" i="15" s="1"/>
  <c r="D68" i="15" a="1"/>
  <c r="D68" i="15" s="1"/>
  <c r="D51" i="6" a="1"/>
  <c r="D51" i="6" s="1"/>
  <c r="D45" i="3" a="1"/>
  <c r="D45" i="3" s="1"/>
  <c r="D38" i="3" a="1"/>
  <c r="D38" i="3" s="1"/>
  <c r="C45" i="3"/>
  <c r="F38" i="3" a="1"/>
  <c r="F38" i="3" s="1"/>
  <c r="F45" i="3" a="1"/>
  <c r="F45" i="3" s="1"/>
  <c r="F44" i="6" a="1"/>
  <c r="F44" i="6" s="1"/>
  <c r="D44" i="6" a="1"/>
  <c r="D44" i="6" s="1"/>
  <c r="D50" i="2" a="1"/>
  <c r="D50" i="2" s="1"/>
  <c r="D43" i="2" a="1"/>
  <c r="D43" i="2" s="1"/>
  <c r="C37" i="7"/>
  <c r="E37" i="7"/>
  <c r="CQ4" i="15"/>
  <c r="CT4" i="15"/>
  <c r="CP4" i="15"/>
  <c r="CY5" i="15" s="1" a="1"/>
  <c r="CY5" i="15" s="1"/>
  <c r="CR4" i="15"/>
  <c r="CR6" i="15"/>
  <c r="CS8" i="15"/>
  <c r="CP8" i="15"/>
  <c r="CQ7" i="15"/>
  <c r="CT7" i="15"/>
  <c r="CS7" i="15"/>
  <c r="CS6" i="15"/>
  <c r="CU14" i="15"/>
  <c r="CR14" i="15"/>
  <c r="DA13" i="15" s="1" a="1"/>
  <c r="DA13" i="15" s="1"/>
  <c r="CP6" i="15"/>
  <c r="CS41" i="15"/>
  <c r="CT14" i="15"/>
  <c r="CQ6" i="15"/>
  <c r="CU41" i="15"/>
  <c r="CS14" i="15"/>
  <c r="CP41" i="15"/>
  <c r="CR41" i="15"/>
  <c r="CP14" i="15"/>
  <c r="D67" i="15" s="1" a="1"/>
  <c r="D67" i="15" s="1"/>
  <c r="CT41" i="15"/>
  <c r="CU40" i="15"/>
  <c r="C43" i="2"/>
  <c r="C38" i="3"/>
  <c r="E45" i="3"/>
  <c r="E38" i="3"/>
  <c r="C51" i="6"/>
  <c r="C44" i="6"/>
  <c r="E44" i="6"/>
  <c r="C50" i="2"/>
  <c r="H37" i="7" a="1"/>
  <c r="H37" i="7" s="1"/>
  <c r="J40" i="7" a="1"/>
  <c r="J40" i="7" s="1"/>
  <c r="I38" i="7" a="1"/>
  <c r="I38" i="7" s="1"/>
  <c r="J38" i="7" s="1" a="1"/>
  <c r="J38" i="7" s="1"/>
  <c r="H39" i="7" a="1"/>
  <c r="H39" i="7" s="1"/>
  <c r="G40" i="7"/>
  <c r="G46" i="7"/>
  <c r="H40" i="7" a="1"/>
  <c r="H40" i="7" s="1"/>
  <c r="C67" i="15" l="1" a="1"/>
  <c r="C67" i="15" s="1"/>
  <c r="DA6" i="15" a="1"/>
  <c r="DA6" i="15" s="1"/>
  <c r="E67" i="15" a="1"/>
  <c r="E67" i="15" s="1"/>
  <c r="X67" i="15" s="1" a="1"/>
  <c r="X67" i="15" s="1"/>
  <c r="CY11" i="15" a="1"/>
  <c r="CY11" i="15" s="1"/>
  <c r="CZ11" i="15" a="1"/>
  <c r="CZ11" i="15" s="1"/>
  <c r="DA11" i="15" a="1"/>
  <c r="DA11" i="15" s="1"/>
  <c r="D61" i="15" a="1"/>
  <c r="D61" i="15" s="1"/>
  <c r="C61" i="15" a="1"/>
  <c r="C61" i="15" s="1"/>
  <c r="E61" i="15" a="1"/>
  <c r="E61" i="15" s="1"/>
  <c r="X61" i="15" s="1" a="1"/>
  <c r="X61" i="15" s="1"/>
  <c r="E62" i="15" a="1"/>
  <c r="E62" i="15" s="1"/>
  <c r="X62" i="15" s="1" a="1"/>
  <c r="X62" i="15" s="1"/>
  <c r="DA5" i="15" a="1"/>
  <c r="DA5" i="15" s="1"/>
  <c r="CZ5" i="15" a="1"/>
  <c r="CZ5" i="15" s="1"/>
  <c r="E63" i="15" a="1"/>
  <c r="E63" i="15" s="1"/>
  <c r="X63" i="15" s="1" a="1"/>
  <c r="X63" i="15" s="1"/>
  <c r="D63" i="15" a="1"/>
  <c r="D63" i="15" s="1"/>
  <c r="CY7" i="15" a="1"/>
  <c r="CY7" i="15" s="1"/>
  <c r="CZ7" i="15" a="1"/>
  <c r="CZ7" i="15" s="1"/>
  <c r="DA7" i="15" a="1"/>
  <c r="DA7" i="15" s="1"/>
  <c r="C62" i="15" a="1"/>
  <c r="C62" i="15" s="1"/>
  <c r="D62" i="15" a="1"/>
  <c r="D62" i="15" s="1"/>
  <c r="D69" i="15" a="1"/>
  <c r="D69" i="15" s="1"/>
  <c r="CY6" i="15" a="1"/>
  <c r="CY6" i="15" s="1"/>
  <c r="C69" i="15" a="1"/>
  <c r="C69" i="15" s="1"/>
  <c r="CZ6" i="15" a="1"/>
  <c r="CZ6" i="15" s="1"/>
  <c r="E69" i="15" a="1"/>
  <c r="E69" i="15" s="1"/>
  <c r="X69" i="15" s="1" a="1"/>
  <c r="X69" i="15" s="1"/>
  <c r="CY13" i="15" a="1"/>
  <c r="CY13" i="15" s="1"/>
  <c r="C63" i="15" a="1"/>
  <c r="C63" i="15" s="1"/>
  <c r="CZ13" i="15" a="1"/>
  <c r="CZ13" i="15" s="1"/>
  <c r="J37" i="7" a="1"/>
  <c r="J37" i="7" s="1"/>
  <c r="F37" i="7" a="1"/>
  <c r="F37" i="7" s="1"/>
  <c r="D37" i="7" a="1"/>
  <c r="D37" i="7" s="1"/>
  <c r="G38" i="7"/>
  <c r="E38" i="7"/>
  <c r="H38" i="7" a="1"/>
  <c r="H38" i="7" s="1"/>
  <c r="F38" i="7" a="1"/>
  <c r="F38" i="7" s="1"/>
  <c r="D38" i="7" l="1" a="1"/>
  <c r="D38" i="7" s="1"/>
  <c r="C38" i="7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9BF2B773-6145-48BA-B745-0568AEA511DB}" keepAlive="1" name="ThisWorkbookDataModel" description="Model danych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2" xr16:uid="{58AA71A8-A05A-4C68-B81E-759C26D0B38E}" name="WorksheetConnection_Gymnastics-in-Poland.xlsx!floor_exercise" type="102" refreshedVersion="8" minRefreshableVersion="5">
    <extLst>
      <ext xmlns:x15="http://schemas.microsoft.com/office/spreadsheetml/2010/11/main" uri="{DE250136-89BD-433C-8126-D09CA5730AF9}">
        <x15:connection id="floor_exercise">
          <x15:rangePr sourceName="_xlcn.WorksheetConnection_GymnasticsinPoland.xlsxfloor_exercise"/>
        </x15:connection>
      </ext>
    </extLst>
  </connection>
  <connection id="3" xr16:uid="{2AFB7810-5980-464C-A154-59D9DEF043CB}" name="WorksheetConnection_Gymnastics-in-Poland.xlsx!pommel_horse" type="102" refreshedVersion="8" minRefreshableVersion="5">
    <extLst>
      <ext xmlns:x15="http://schemas.microsoft.com/office/spreadsheetml/2010/11/main" uri="{DE250136-89BD-433C-8126-D09CA5730AF9}">
        <x15:connection id="pommel_horse">
          <x15:rangePr sourceName="_xlcn.WorksheetConnection_GymnasticsinPoland.xlsxpommel_horse"/>
        </x15:connection>
      </ext>
    </extLst>
  </connection>
  <connection id="4" xr16:uid="{BAAC0120-44BE-1A49-AF7A-1534797353C0}" keepAlive="1" name="Zapytanie — all_around_2022" description="Połączenie z zapytaniem „all_around_2022” w skoroszycie." type="5" refreshedVersion="8" background="1" saveData="1">
    <dbPr connection="Provider=Microsoft.Mashup.OleDb.1;Data Source=$Workbook$;Location=all_around_2022;Extended Properties=&quot;&quot;" command="SELECT * FROM [all_around_2022]"/>
  </connection>
  <connection id="5" xr16:uid="{58EB5386-BFF2-4E45-A921-B91A72D963D9}" keepAlive="1" name="Zapytanie — bydgoszcz_2022" description="Połączenie z zapytaniem „bydgoszcz_2022” w skoroszycie." type="5" refreshedVersion="0" background="1">
    <dbPr connection="Provider=Microsoft.Mashup.OleDb.1;Data Source=$Workbook$;Location=bydgoszcz_2022;Extended Properties=&quot;&quot;" command="SELECT * FROM [bydgoszcz_2022]"/>
  </connection>
  <connection id="6" xr16:uid="{E76DE2B7-F425-9A43-98EB-4F82DB3DD3C0}" keepAlive="1" name="Zapytanie — bydgoszcz_2022 (2)" description="Połączenie z zapytaniem „bydgoszcz_2022 (2)” w skoroszycie." type="5" refreshedVersion="8" background="1" saveData="1">
    <dbPr connection="Provider=Microsoft.Mashup.OleDb.1;Data Source=$Workbook$;Location=&quot;bydgoszcz_2022 (2)&quot;;Extended Properties=&quot;&quot;" command="SELECT * FROM [bydgoszcz_2022 (2)]"/>
  </connection>
  <connection id="7" xr16:uid="{5238F854-CF6B-4AAB-A762-FE6558096420}" keepAlive="1" name="Zapytanie — Bydgoszcz_result" description="Połączenie z zapytaniem „Bydgoszcz_result” w skoroszycie." type="5" refreshedVersion="8" background="1" saveData="1">
    <dbPr connection="Provider=Microsoft.Mashup.OleDb.1;Data Source=$Workbook$;Location=Bydgoszcz_result;Extended Properties=&quot;&quot;" command="SELECT * FROM [Bydgoszcz_result]"/>
  </connection>
  <connection id="8" xr16:uid="{80E82DCE-A7F6-4B66-A763-8285C313E7D2}" keepAlive="1" name="Zapytanie — Bydgoszcz_result (4)" description="Połączenie z zapytaniem „Bydgoszcz_result (4)” w skoroszycie." type="5" refreshedVersion="8" background="1" saveData="1">
    <dbPr connection="Provider=Microsoft.Mashup.OleDb.1;Data Source=$Workbook$;Location=&quot;Bydgoszcz_result (4)&quot;;Extended Properties=&quot;&quot;" command="SELECT * FROM [Bydgoszcz_result (4)]"/>
  </connection>
  <connection id="9" xr16:uid="{6DD07A7C-7CBB-450D-B6D2-F8B168AB813C}" keepAlive="1" name="Zapytanie — Cracow_result" description="Połączenie z zapytaniem „Cracow_result” w skoroszycie." type="5" refreshedVersion="8" background="1" saveData="1">
    <dbPr connection="Provider=Microsoft.Mashup.OleDb.1;Data Source=$Workbook$;Location=Cracow_result;Extended Properties=&quot;&quot;" command="SELECT * FROM [Cracow_result]"/>
  </connection>
  <connection id="10" xr16:uid="{6FC4A064-035D-EC46-B464-F1E98F836987}" keepAlive="1" name="Zapytanie — floor_exercise_2022" description="Połączenie z zapytaniem „floor_exercise_2022” w skoroszycie." type="5" refreshedVersion="8" background="1" saveData="1">
    <dbPr connection="Provider=Microsoft.Mashup.OleDb.1;Data Source=$Workbook$;Location=floor_exercise_2022;Extended Properties=&quot;&quot;" command="SELECT * FROM [floor_exercise_2022]"/>
  </connection>
  <connection id="11" xr16:uid="{2DC2E839-DC09-CB44-AEB2-89C872F2B963}" keepAlive="1" name="Zapytanie — gdansk_2022" description="Połączenie z zapytaniem „gdansk_2022” w skoroszycie." type="5" refreshedVersion="8" background="1" saveData="1">
    <dbPr connection="Provider=Microsoft.Mashup.OleDb.1;Data Source=$Workbook$;Location=gdansk_2022;Extended Properties=&quot;&quot;" command="SELECT * FROM [gdansk_2022]"/>
  </connection>
  <connection id="12" xr16:uid="{70CD8D1D-F0C7-41C2-8EFC-1D3A482FC8EE}" keepAlive="1" name="Zapytanie — Gdansk_result (2)" description="Połączenie z zapytaniem „Gdansk_result (2)” w skoroszycie." type="5" refreshedVersion="8" background="1" saveData="1">
    <dbPr connection="Provider=Microsoft.Mashup.OleDb.1;Data Source=$Workbook$;Location=&quot;Gdansk_result (2)&quot;;Extended Properties=&quot;&quot;" command="SELECT * FROM [Gdansk_result (2)]"/>
  </connection>
  <connection id="13" xr16:uid="{7C7B89C2-3378-3647-B15F-420F24B2B6D2}" keepAlive="1" name="Zapytanie — horizontal_bar_2022" description="Połączenie z zapytaniem „horizontal_bar_2022” w skoroszycie." type="5" refreshedVersion="8" background="1" saveData="1">
    <dbPr connection="Provider=Microsoft.Mashup.OleDb.1;Data Source=$Workbook$;Location=horizontal_bar_2022;Extended Properties=&quot;&quot;" command="SELECT * FROM [horizontal_bar_2022]"/>
  </connection>
  <connection id="14" xr16:uid="{7D3208CA-FAC0-3E42-A8AE-1B68B149B3E8}" keepAlive="1" name="Zapytanie — krakow_2022" description="Połączenie z zapytaniem „krakow_2022” w skoroszycie." type="5" refreshedVersion="0" background="1">
    <dbPr connection="Provider=Microsoft.Mashup.OleDb.1;Data Source=$Workbook$;Location=krakow_2022;Extended Properties=&quot;&quot;" command="SELECT * FROM [krakow_2022]"/>
  </connection>
  <connection id="15" xr16:uid="{2FD19CA3-FCEE-B04C-B52C-DD09D6AA5736}" keepAlive="1" name="Zapytanie — krakow_2022 (2)" description="Połączenie z zapytaniem „krakow_2022 (2)” w skoroszycie." type="5" refreshedVersion="8" background="1" saveData="1">
    <dbPr connection="Provider=Microsoft.Mashup.OleDb.1;Data Source=$Workbook$;Location=&quot;krakow_2022 (2)&quot;;Extended Properties=&quot;&quot;" command="SELECT * FROM [krakow_2022 (2)]"/>
  </connection>
  <connection id="16" xr16:uid="{32163624-E310-D04C-A3CB-8E90395A5E8F}" keepAlive="1" name="Zapytanie — pararell_bars_2022" description="Połączenie z zapytaniem „pararell_bars_2022” w skoroszycie." type="5" refreshedVersion="8" background="1" saveData="1">
    <dbPr connection="Provider=Microsoft.Mashup.OleDb.1;Data Source=$Workbook$;Location=pararell_bars_2022;Extended Properties=&quot;&quot;" command="SELECT * FROM [pararell_bars_2022]"/>
  </connection>
  <connection id="17" xr16:uid="{347ED1AA-2895-E14E-B507-CDA2F1D7DD32}" keepAlive="1" name="Zapytanie — pommel_horse_2022" description="Połączenie z zapytaniem „pommel_horse_2022” w skoroszycie." type="5" refreshedVersion="8" background="1" saveData="1">
    <dbPr connection="Provider=Microsoft.Mashup.OleDb.1;Data Source=$Workbook$;Location=pommel_horse_2022;Extended Properties=&quot;&quot;" command="SELECT * FROM [pommel_horse_2022]"/>
  </connection>
  <connection id="18" xr16:uid="{3F4182D9-F1D0-1F4C-BDCE-9F1AB6CEC988}" keepAlive="1" name="Zapytanie — Still_ring_2022" description="Połączenie z zapytaniem „Still_ring_2022” w skoroszycie." type="5" refreshedVersion="8" background="1" saveData="1">
    <dbPr connection="Provider=Microsoft.Mashup.OleDb.1;Data Source=$Workbook$;Location=Still_ring_2022;Extended Properties=&quot;&quot;" command="SELECT * FROM [Still_ring_2022]"/>
  </connection>
  <connection id="19" xr16:uid="{E6C44DBE-6790-C049-AC76-357FA18B5ABD}" keepAlive="1" name="Zapytanie — Vault_2022" description="Połączenie z zapytaniem „Vault_2022” w skoroszycie." type="5" refreshedVersion="8" background="1" saveData="1">
    <dbPr connection="Provider=Microsoft.Mashup.OleDb.1;Data Source=$Workbook$;Location=Vault_2022;Extended Properties=&quot;&quot;" command="SELECT * FROM [Vault_2022]"/>
  </connection>
  <connection id="20" xr16:uid="{FF45004B-BF42-D34C-A86E-189A76838E19}" keepAlive="1" name="Zapytanie — Zabrze_2022" description="Połączenie z zapytaniem „Zabrze_2022” w skoroszycie." type="5" refreshedVersion="8" background="1" saveData="1">
    <dbPr connection="Provider=Microsoft.Mashup.OleDb.1;Data Source=$Workbook$;Location=Zabrze_2022;Extended Properties=&quot;&quot;" command="SELECT * FROM [Zabrze_2022]"/>
  </connection>
  <connection id="21" xr16:uid="{E70C5306-6935-4E69-877E-A1A870BEA9B8}" keepAlive="1" name="Zapytanie — Zabrze_result" description="Połączenie z zapytaniem „Zabrze_result” w skoroszycie." type="5" refreshedVersion="0" background="1" saveData="1">
    <dbPr connection="Provider=Microsoft.Mashup.OleDb.1;Data Source=$Workbook$;Location=Zabrze_result;Extended Properties=&quot;&quot;" command="SELECT * FROM [Zabrze_result]"/>
  </connection>
  <connection id="22" xr16:uid="{8ABBAA07-436C-4409-A7A8-54D75856763B}" keepAlive="1" name="Zapytanie — Zabrze_result (2)" description="Połączenie z zapytaniem „Zabrze_result (2)” w skoroszycie." type="5" refreshedVersion="8" background="1" saveData="1">
    <dbPr connection="Provider=Microsoft.Mashup.OleDb.1;Data Source=$Workbook$;Location=&quot;Zabrze_result (2)&quot;;Extended Properties=&quot;&quot;" command="SELECT * FROM [Zabrze_result (2)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<sst xmlns="http://schemas.openxmlformats.org/spreadsheetml/2006/main" count="23703" uniqueCount="353">
  <si>
    <t>Rk</t>
  </si>
  <si>
    <t>Name</t>
  </si>
  <si>
    <t>Category</t>
  </si>
  <si>
    <t>Birth_year</t>
  </si>
  <si>
    <t>License_number</t>
  </si>
  <si>
    <t>Club</t>
  </si>
  <si>
    <t>FX_Dscore</t>
  </si>
  <si>
    <t>FX_Escore</t>
  </si>
  <si>
    <t>FX_total_score</t>
  </si>
  <si>
    <t>PH_Dscore</t>
  </si>
  <si>
    <t>PH_Escore</t>
  </si>
  <si>
    <t>PH_Total_Score</t>
  </si>
  <si>
    <t>SR_Dscore</t>
  </si>
  <si>
    <t>SR_Escore</t>
  </si>
  <si>
    <t>SR_Total_Score</t>
  </si>
  <si>
    <t>VT_Dscore</t>
  </si>
  <si>
    <t>VT_Escore</t>
  </si>
  <si>
    <t>VT_total_score</t>
  </si>
  <si>
    <t>PB_Dscore</t>
  </si>
  <si>
    <t>PB_Escore</t>
  </si>
  <si>
    <t>PB_total_score</t>
  </si>
  <si>
    <t>HB_Dscore</t>
  </si>
  <si>
    <t>HB_Escore</t>
  </si>
  <si>
    <t>HB_total_score</t>
  </si>
  <si>
    <t>Total_Score</t>
  </si>
  <si>
    <t>LEKHAC Tomasz</t>
  </si>
  <si>
    <t>junior</t>
  </si>
  <si>
    <t>Z/08/00007</t>
  </si>
  <si>
    <t>CWZS Zawisza KG Bydgoszcz</t>
  </si>
  <si>
    <t>CZARNECKI Aleksander</t>
  </si>
  <si>
    <t>30195</t>
  </si>
  <si>
    <t>MKS Kusy Szczecin</t>
  </si>
  <si>
    <t>KWIATKOWSKI Michał</t>
  </si>
  <si>
    <t>30185</t>
  </si>
  <si>
    <t>KUZDRA Christian</t>
  </si>
  <si>
    <t>33663</t>
  </si>
  <si>
    <t>MKS Gdańsk</t>
  </si>
  <si>
    <t>KORBIEL Franciszek</t>
  </si>
  <si>
    <t>33134</t>
  </si>
  <si>
    <t>KS AZS AWF Kraków</t>
  </si>
  <si>
    <t>KOPERSKI Filip</t>
  </si>
  <si>
    <t>Z/07/00266</t>
  </si>
  <si>
    <t>JANKOWSKI Dominik</t>
  </si>
  <si>
    <t>330115</t>
  </si>
  <si>
    <t>KOŁODZIEJCZYK Karol</t>
  </si>
  <si>
    <t>32980</t>
  </si>
  <si>
    <t>ŻEMEŁKA Dawid</t>
  </si>
  <si>
    <t>Z/06/00087</t>
  </si>
  <si>
    <t>MOSKAL Błażej</t>
  </si>
  <si>
    <t>330111</t>
  </si>
  <si>
    <t>AZUMI Vincent</t>
  </si>
  <si>
    <t>Z/07/00342</t>
  </si>
  <si>
    <t>KUBALA Kacper</t>
  </si>
  <si>
    <t>330113</t>
  </si>
  <si>
    <t>RZEŹNICKI Gracjan</t>
  </si>
  <si>
    <t>Z/08/00032</t>
  </si>
  <si>
    <t>KS Iskra Zabrze</t>
  </si>
  <si>
    <t>MARCZEWSKI Stanisław</t>
  </si>
  <si>
    <t>32361</t>
  </si>
  <si>
    <t>GARNCZAREK Kacper</t>
  </si>
  <si>
    <t>senior</t>
  </si>
  <si>
    <t>32211</t>
  </si>
  <si>
    <t>KS AZS AWF Katowice</t>
  </si>
  <si>
    <t>SASNAL Filip</t>
  </si>
  <si>
    <t>32804</t>
  </si>
  <si>
    <t>WROŃSKI Filip</t>
  </si>
  <si>
    <t>32670</t>
  </si>
  <si>
    <t>NTG Nysa</t>
  </si>
  <si>
    <t>KUROWSKI Jakub</t>
  </si>
  <si>
    <t>30190</t>
  </si>
  <si>
    <t>KORNIICHUK Yehor</t>
  </si>
  <si>
    <t>Z/2001/135</t>
  </si>
  <si>
    <t>KS AZS AWFiS Gdańsk</t>
  </si>
  <si>
    <t>LUDYNIA Marceli</t>
  </si>
  <si>
    <t>32213</t>
  </si>
  <si>
    <t>LAKHIN Yaroslav</t>
  </si>
  <si>
    <t>Z/2003/308</t>
  </si>
  <si>
    <t>BOBER Michał</t>
  </si>
  <si>
    <t>33750</t>
  </si>
  <si>
    <t>UKS SP7 Łódź</t>
  </si>
  <si>
    <t>BRACKI Borys</t>
  </si>
  <si>
    <t>32570</t>
  </si>
  <si>
    <t>WIERZBA Kacper</t>
  </si>
  <si>
    <t>32450</t>
  </si>
  <si>
    <t>CHRUŚCIEL Szymon</t>
  </si>
  <si>
    <t>33132</t>
  </si>
  <si>
    <t>JAKUBOWSKI Jakub</t>
  </si>
  <si>
    <t>33661</t>
  </si>
  <si>
    <t>KUZDRA Konrad</t>
  </si>
  <si>
    <t>33664</t>
  </si>
  <si>
    <t>PAWŁOWSKI Jakub</t>
  </si>
  <si>
    <t>33097</t>
  </si>
  <si>
    <t>SZYMCZYK Radosław</t>
  </si>
  <si>
    <t>33928</t>
  </si>
  <si>
    <t>FRONT Filip</t>
  </si>
  <si>
    <t>30170</t>
  </si>
  <si>
    <t>IAREMCHUK Vladyslav</t>
  </si>
  <si>
    <t>Z/02/00023</t>
  </si>
  <si>
    <t>HERASYMOV Mykyta</t>
  </si>
  <si>
    <t>Z/2003/338</t>
  </si>
  <si>
    <t>SIEDZIAKO Igor</t>
  </si>
  <si>
    <t>30189</t>
  </si>
  <si>
    <t>PIETRUSZKIEWICZ Jakub</t>
  </si>
  <si>
    <t>30192</t>
  </si>
  <si>
    <t>BIAŁOWĄS Oliwier</t>
  </si>
  <si>
    <t>33662</t>
  </si>
  <si>
    <t>KUŹMIŃSKI Bartosz</t>
  </si>
  <si>
    <t>30186</t>
  </si>
  <si>
    <t>SIUTA Jakub</t>
  </si>
  <si>
    <t>Z/2000/105</t>
  </si>
  <si>
    <t>KLIMCZUK Paweł</t>
  </si>
  <si>
    <t>330103</t>
  </si>
  <si>
    <t>MISHCHENKO Oleksandr</t>
  </si>
  <si>
    <t>33333</t>
  </si>
  <si>
    <t>KLIMCZUK Michał</t>
  </si>
  <si>
    <t>330118</t>
  </si>
  <si>
    <t>GAWROŃSKI Sebastian</t>
  </si>
  <si>
    <t>32203</t>
  </si>
  <si>
    <t>LUKIANIENKO Illia</t>
  </si>
  <si>
    <t>Z/2000/104</t>
  </si>
  <si>
    <t>ĆWIEK Tymoteusz</t>
  </si>
  <si>
    <t>Z/06/00130</t>
  </si>
  <si>
    <t>ŁUCKI Miłosz</t>
  </si>
  <si>
    <t>32453</t>
  </si>
  <si>
    <t>KG Radlin</t>
  </si>
  <si>
    <t>SADZA Jakub</t>
  </si>
  <si>
    <t>326132</t>
  </si>
  <si>
    <t>KAŚKÓW Paweł</t>
  </si>
  <si>
    <t>33059</t>
  </si>
  <si>
    <t>LESIŃSKI Piotr</t>
  </si>
  <si>
    <t>Z/1999/55</t>
  </si>
  <si>
    <t>FX_Total_Score</t>
  </si>
  <si>
    <t>SZCZUBIAŁ Bartłomiej</t>
  </si>
  <si>
    <t>222222</t>
  </si>
  <si>
    <t>KLIMCZUK Michal</t>
  </si>
  <si>
    <t>KOLORZ Maks</t>
  </si>
  <si>
    <t>111111</t>
  </si>
  <si>
    <t>RUS Gracjan</t>
  </si>
  <si>
    <t>111112</t>
  </si>
  <si>
    <t>MYSZI Dominik</t>
  </si>
  <si>
    <t>111113</t>
  </si>
  <si>
    <t>KAŚKOW Paweł</t>
  </si>
  <si>
    <t>NOWAK Maciej</t>
  </si>
  <si>
    <t>32524</t>
  </si>
  <si>
    <t>YAREMCHUK Vladyslav</t>
  </si>
  <si>
    <t>bydgoszcz_FX_Dscore</t>
  </si>
  <si>
    <t>bydgoszcz_FX_Escore</t>
  </si>
  <si>
    <t>bydgoszcz_FX_Total_Score</t>
  </si>
  <si>
    <t>zabrze_FX_Dscore</t>
  </si>
  <si>
    <t>zabrze_FX_Escore</t>
  </si>
  <si>
    <t>zabrze_FX_Total_Score</t>
  </si>
  <si>
    <t>cracow_FX_Dscore</t>
  </si>
  <si>
    <t>cracow_FX_Escore</t>
  </si>
  <si>
    <t>cracow_FX_Total_Score</t>
  </si>
  <si>
    <t>gdansk_FX_Dscore</t>
  </si>
  <si>
    <t>gdansk_FX_Escore</t>
  </si>
  <si>
    <t>gdansk_FX_Total_Score</t>
  </si>
  <si>
    <t>bydgoszcz_PH_Dscore</t>
  </si>
  <si>
    <t>bydgoszcz_PH_Escore</t>
  </si>
  <si>
    <t>bydgoszcz_PH_Total_Score</t>
  </si>
  <si>
    <t>zabrze_PH_Dscore</t>
  </si>
  <si>
    <t>zabrze_PH_Escore</t>
  </si>
  <si>
    <t>zabrze_PH_Total_Score</t>
  </si>
  <si>
    <t>cracow_PH_Dscore</t>
  </si>
  <si>
    <t>cracow_PH_Escore</t>
  </si>
  <si>
    <t>cracow_PH_Total_Score</t>
  </si>
  <si>
    <t>gdansk_PH_Dscore</t>
  </si>
  <si>
    <t>gdansk_PH_Escore</t>
  </si>
  <si>
    <t>gdansk_PH_Total_Score</t>
  </si>
  <si>
    <t>bydgoszcz_SR_Dscore</t>
  </si>
  <si>
    <t>bydgoszcz_SR_Escore</t>
  </si>
  <si>
    <t>bydgoszcz_SR_Total_Score</t>
  </si>
  <si>
    <t>zabrze_SR_Dscore</t>
  </si>
  <si>
    <t>zabrze_SR_Escore</t>
  </si>
  <si>
    <t>zabrze_SR_Total_Score</t>
  </si>
  <si>
    <t>cracow_SR_Dscore</t>
  </si>
  <si>
    <t>cracow_SR_Escore</t>
  </si>
  <si>
    <t>cracow_SR_Total_Score</t>
  </si>
  <si>
    <t>gdansk_SR_Dscore</t>
  </si>
  <si>
    <t>gdansk_SR_Escore</t>
  </si>
  <si>
    <t>gdansk_SR_Total_Score</t>
  </si>
  <si>
    <t>bydgoszcz_VT_Dscore</t>
  </si>
  <si>
    <t>bydgoszcz_VT_Escore</t>
  </si>
  <si>
    <t>bydgoszcz_VT_Total_Score</t>
  </si>
  <si>
    <t>zabrze_VT_Dscore</t>
  </si>
  <si>
    <t>zabrze_VT_Escore</t>
  </si>
  <si>
    <t>zabrze_VT_Total_Score</t>
  </si>
  <si>
    <t>cracow_VT_Dscore</t>
  </si>
  <si>
    <t>cracow_VT_Escore</t>
  </si>
  <si>
    <t>cracow_VT_Total_Score</t>
  </si>
  <si>
    <t>gdansk_VT_Dscore</t>
  </si>
  <si>
    <t>gdansk_VT_Escore</t>
  </si>
  <si>
    <t>gdansk_VT_Total_Score</t>
  </si>
  <si>
    <t>bydgoszcz_PB_Dscore</t>
  </si>
  <si>
    <t>bydgoszcz_PB_Escore</t>
  </si>
  <si>
    <t>bydgoszcz_PB_Total_Score</t>
  </si>
  <si>
    <t>zabrze_PB_Dscore</t>
  </si>
  <si>
    <t>zabrze_PB_Escore</t>
  </si>
  <si>
    <t>zabrze_PB_Total_Score</t>
  </si>
  <si>
    <t>cracow_PB_Dscore</t>
  </si>
  <si>
    <t>cracow_PB_Escore</t>
  </si>
  <si>
    <t>cracow_PB_Total_Score</t>
  </si>
  <si>
    <t>gdansk_PB_Dscore</t>
  </si>
  <si>
    <t>gdansk_PB_Escore</t>
  </si>
  <si>
    <t>gdansk_PB_Total_Score</t>
  </si>
  <si>
    <t>bydgoszcz_HB_Dscore</t>
  </si>
  <si>
    <t>bydgoszcz_HB_Escore</t>
  </si>
  <si>
    <t>bydgoszcz_HB_Total_Score</t>
  </si>
  <si>
    <t>zabrze_HB_Dscore</t>
  </si>
  <si>
    <t>zabrze_HB_Escore</t>
  </si>
  <si>
    <t>zabrze_HB_Total_Score</t>
  </si>
  <si>
    <t>cracow_HB_Dscore</t>
  </si>
  <si>
    <t>cracow_HB_Escore</t>
  </si>
  <si>
    <t>cracow_HB_Total_Score</t>
  </si>
  <si>
    <t>gdansk_HB_Dscore</t>
  </si>
  <si>
    <t>gdansk_HB_Escore</t>
  </si>
  <si>
    <t>gdansk_HB_Total_Score</t>
  </si>
  <si>
    <t>Apparatus</t>
  </si>
  <si>
    <t>Floor Exercise</t>
  </si>
  <si>
    <t>Year_Dscore</t>
  </si>
  <si>
    <t>Year_Escore</t>
  </si>
  <si>
    <t>Year_Total_Score</t>
  </si>
  <si>
    <t>bydgoszcz_Escore</t>
  </si>
  <si>
    <t>bydgoszcz_Total_Score</t>
  </si>
  <si>
    <t>zabrze_Total_Score</t>
  </si>
  <si>
    <t>cracow_Total_Score</t>
  </si>
  <si>
    <t>gdansk_Total_Score</t>
  </si>
  <si>
    <t>Number_of_competition</t>
  </si>
  <si>
    <t>Number_of_Competition</t>
  </si>
  <si>
    <t>bydgoszcz_DScore</t>
  </si>
  <si>
    <t>zabrze_Dscore</t>
  </si>
  <si>
    <t>zabrze_Escore</t>
  </si>
  <si>
    <t>cracow_Dscore</t>
  </si>
  <si>
    <t>gdansk_Dscore</t>
  </si>
  <si>
    <t>gdansk_Escore</t>
  </si>
  <si>
    <t>AVG_Dscore</t>
  </si>
  <si>
    <t>AVG_Escore</t>
  </si>
  <si>
    <t>AVG_Total_Score</t>
  </si>
  <si>
    <t>Pommel Horse</t>
  </si>
  <si>
    <t>Still Rings</t>
  </si>
  <si>
    <t>Vault</t>
  </si>
  <si>
    <t>Pararell Bars</t>
  </si>
  <si>
    <t>Horizontal Bar</t>
  </si>
  <si>
    <t>All Around</t>
  </si>
  <si>
    <t>AVG D Score</t>
  </si>
  <si>
    <t>AVG Escore</t>
  </si>
  <si>
    <t>AVG Total Score</t>
  </si>
  <si>
    <t>AA_Dscore</t>
  </si>
  <si>
    <t>AA_Escore</t>
  </si>
  <si>
    <t>SD D score</t>
  </si>
  <si>
    <t>SD E score</t>
  </si>
  <si>
    <t>SD Total Score</t>
  </si>
  <si>
    <t>Top Score</t>
  </si>
  <si>
    <t>Gymnasts</t>
  </si>
  <si>
    <t>cracow_Escore</t>
  </si>
  <si>
    <t>All around competition</t>
  </si>
  <si>
    <t>Bydgoszcz_all_around</t>
  </si>
  <si>
    <t>Cracow_all_around</t>
  </si>
  <si>
    <t>Zabrze_all_around</t>
  </si>
  <si>
    <t>Gdansk_all_Around</t>
  </si>
  <si>
    <t>AVG_AA_Dscore</t>
  </si>
  <si>
    <t>AVG_AA_Escore</t>
  </si>
  <si>
    <t>AVG_AA_Total_Score</t>
  </si>
  <si>
    <t>Year_AA_Dscore</t>
  </si>
  <si>
    <t>Year_AA_Escore</t>
  </si>
  <si>
    <t>Year_AA_Total_Score</t>
  </si>
  <si>
    <t>Score Type</t>
  </si>
  <si>
    <t>Execution Score</t>
  </si>
  <si>
    <t>Total Score</t>
  </si>
  <si>
    <t>Difficult Score</t>
  </si>
  <si>
    <t>Top</t>
  </si>
  <si>
    <t>AVG Score</t>
  </si>
  <si>
    <t>SD</t>
  </si>
  <si>
    <t>AVG</t>
  </si>
  <si>
    <t>TOP</t>
  </si>
  <si>
    <t>Year Difficult Score</t>
  </si>
  <si>
    <t>Year Execution Score</t>
  </si>
  <si>
    <t>Year Total Score</t>
  </si>
  <si>
    <t>Kolumna1</t>
  </si>
  <si>
    <t>Kolumna2</t>
  </si>
  <si>
    <t>Kolumna3</t>
  </si>
  <si>
    <t>Kolumna4</t>
  </si>
  <si>
    <t>Kolumna5</t>
  </si>
  <si>
    <t>Kolumna6</t>
  </si>
  <si>
    <t>Kolumna7</t>
  </si>
  <si>
    <t>Kolumna8</t>
  </si>
  <si>
    <t>Kolumna9</t>
  </si>
  <si>
    <t>Kolumna10</t>
  </si>
  <si>
    <t>Kolumna11</t>
  </si>
  <si>
    <t>Kolumna12</t>
  </si>
  <si>
    <t>Kolumna13</t>
  </si>
  <si>
    <t>Kolumna14</t>
  </si>
  <si>
    <t>Kolumna15</t>
  </si>
  <si>
    <t>Kolumna16</t>
  </si>
  <si>
    <t>Kolumna17</t>
  </si>
  <si>
    <t>Best Gymnasts</t>
  </si>
  <si>
    <t>BEST GYMNAST</t>
  </si>
  <si>
    <t>2nd GYMNAST</t>
  </si>
  <si>
    <t>3rd GYMNAST</t>
  </si>
  <si>
    <t>Hardest routine</t>
  </si>
  <si>
    <t>Performer</t>
  </si>
  <si>
    <t>&gt; 1 SD D Score</t>
  </si>
  <si>
    <t>&gt; 1 SD Total Score</t>
  </si>
  <si>
    <t>No requirements :(</t>
  </si>
  <si>
    <t>&gt; 1 SD E AA Score</t>
  </si>
  <si>
    <t>Etykiety wierszy</t>
  </si>
  <si>
    <t>Yes</t>
  </si>
  <si>
    <t>No</t>
  </si>
  <si>
    <t>Etykiety kolumn</t>
  </si>
  <si>
    <t>Value</t>
  </si>
  <si>
    <t>Dscore</t>
  </si>
  <si>
    <t>Escore</t>
  </si>
  <si>
    <t>Suma końcowa</t>
  </si>
  <si>
    <t>Liczba z Value</t>
  </si>
  <si>
    <t>AA_Score</t>
  </si>
  <si>
    <t xml:space="preserve">Score Type </t>
  </si>
  <si>
    <t>Paralell Bars</t>
  </si>
  <si>
    <t>&lt;2,6</t>
  </si>
  <si>
    <t>Competition place</t>
  </si>
  <si>
    <t>Bydgoszcz</t>
  </si>
  <si>
    <t>2,6-3,1</t>
  </si>
  <si>
    <t>3,1-3,6</t>
  </si>
  <si>
    <t>3,6-4,1</t>
  </si>
  <si>
    <t>4,1-4,6</t>
  </si>
  <si>
    <t>4,6-5,1</t>
  </si>
  <si>
    <t>5,1-5,6</t>
  </si>
  <si>
    <t>5,6-6,1</t>
  </si>
  <si>
    <t>11,6-12,1</t>
  </si>
  <si>
    <t>12,6-13,1</t>
  </si>
  <si>
    <t>10,1-10,6</t>
  </si>
  <si>
    <t>10,6-11,1</t>
  </si>
  <si>
    <t>11,1-11,6</t>
  </si>
  <si>
    <t>12,1-12,6</t>
  </si>
  <si>
    <t>13,1-13,6</t>
  </si>
  <si>
    <t>13,6-14,1</t>
  </si>
  <si>
    <t>Zabrze</t>
  </si>
  <si>
    <t>=JEŻELI(LEWY([@[Score Type ]];3)="FX_";"Floor Exercise";JEŻELI(LEWY([@[Score Type ]];3)="PH_";"Pommel Horse";JEŻELI(LEWY([@[Score Type ]];3)="SR_";"Still Rings";JEŻELI(LEWY([@[Score Type ]];3)="VT_";"Vault";JEŻELI(LEWY([@[Score Type ]];3)="PB_";"Paralell Bars";JEŻELI(LEWY([@[Score Type ]];3)="HB_";"Horizontal Bar";"All Around"))))))</t>
  </si>
  <si>
    <t>AA Dscore</t>
  </si>
  <si>
    <t>AA Escore</t>
  </si>
  <si>
    <t>AA Sscore</t>
  </si>
  <si>
    <t>1,5-2</t>
  </si>
  <si>
    <t>4,5-5</t>
  </si>
  <si>
    <t>6-6,5</t>
  </si>
  <si>
    <t>5,5-6</t>
  </si>
  <si>
    <t>6,5-7</t>
  </si>
  <si>
    <t>7-7,5</t>
  </si>
  <si>
    <t>7,5-8</t>
  </si>
  <si>
    <t>8-8,5</t>
  </si>
  <si>
    <t>8,5-9</t>
  </si>
  <si>
    <t>AA Score</t>
  </si>
  <si>
    <t>(Wiele elementów)</t>
  </si>
  <si>
    <t>Cracow</t>
  </si>
  <si>
    <t>Gdansk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</si>
</sst>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164" formatCode="0.0"/>
    <numFmt numFmtId="165" formatCode="0.000"/>
  </numFmts>
  <fonts count="13" x14ac:knownFonts="1">
    <font>
      <sz val="12"/>
      <color theme="1"/>
      <name val="Calibri"/>
      <family val="2"/>
      <charset val="238"/>
      <scheme val="minor"/>
    </font>
    <font>
      <sz val="8"/>
      <name val="Calibri"/>
      <family val="2"/>
      <charset val="238"/>
      <scheme val="minor"/>
    </font>
    <font>
      <b/>
      <sz val="12"/>
      <color theme="0"/>
      <name val="Calibri"/>
      <family val="2"/>
      <charset val="238"/>
      <scheme val="minor"/>
    </font>
    <font>
      <sz val="12"/>
      <color theme="5"/>
      <name val="Calibri"/>
      <family val="2"/>
      <charset val="238"/>
      <scheme val="minor"/>
    </font>
    <font>
      <sz val="12"/>
      <color theme="9" tint="-0.499984740745262"/>
      <name val="Calibri"/>
      <family val="2"/>
      <charset val="238"/>
      <scheme val="minor"/>
    </font>
    <font>
      <sz val="12"/>
      <color theme="5" tint="-0.499984740745262"/>
      <name val="Calibri"/>
      <family val="2"/>
      <charset val="238"/>
      <scheme val="minor"/>
    </font>
    <font>
      <sz val="12"/>
      <color rgb="FF7030A0"/>
      <name val="Calibri"/>
      <family val="2"/>
      <charset val="238"/>
      <scheme val="minor"/>
    </font>
    <font>
      <sz val="12"/>
      <color rgb="FFC00000"/>
      <name val="Calibri"/>
      <family val="2"/>
      <charset val="238"/>
      <scheme val="minor"/>
    </font>
    <font>
      <sz val="12"/>
      <color theme="7" tint="0.79998168889431442"/>
      <name val="Calibri"/>
      <family val="2"/>
      <charset val="238"/>
      <scheme val="minor"/>
    </font>
    <font>
      <sz val="12"/>
      <color theme="5" tint="0.79998168889431442"/>
      <name val="Calibri"/>
      <family val="2"/>
      <charset val="238"/>
      <scheme val="minor"/>
    </font>
    <font>
      <sz val="12"/>
      <color rgb="FFFFCCFF"/>
      <name val="Calibri"/>
      <family val="2"/>
      <charset val="238"/>
      <scheme val="minor"/>
    </font>
    <font>
      <sz val="12"/>
      <color theme="7"/>
      <name val="Calibri"/>
      <family val="2"/>
      <charset val="238"/>
      <scheme val="minor"/>
    </font>
    <font>
      <b/>
      <sz val="12"/>
      <color theme="4" tint="-0.249977111117893"/>
      <name val="Calibri"/>
      <family val="2"/>
      <charset val="238"/>
      <scheme val="minor"/>
    </font>
  </fonts>
  <fills count="14">
    <fill>
      <patternFill patternType="none"/>
    </fill>
    <fill>
      <patternFill patternType="gray125"/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CCFF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</fills>
  <borders count="10">
    <border>
      <left/>
      <right/>
      <top/>
      <bottom/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theme="4"/>
      </top>
      <bottom style="thin">
        <color theme="4"/>
      </bottom>
      <diagonal/>
    </border>
  </borders>
  <cellStyleXfs count="1">
    <xf numFmtId="0" fontId="0" fillId="0" borderId="0"/>
  </cellStyleXfs>
  <cellXfs count="46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 vertical="center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16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 vertical="center"/>
    </xf>
    <xf numFmtId="165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0" fillId="0" borderId="0" xfId="0" applyAlignment="1">
      <alignment horizontal="center" vertical="center" wrapText="1"/>
    </xf>
    <xf numFmtId="164" fontId="0" fillId="0" borderId="0" xfId="0" applyNumberFormat="1" applyAlignment="1">
      <alignment horizontal="center" vertical="center" wrapText="1"/>
    </xf>
    <xf numFmtId="165" fontId="0" fillId="0" borderId="0" xfId="0" applyNumberFormat="1" applyAlignment="1">
      <alignment horizontal="center" vertical="center" wrapText="1"/>
    </xf>
    <xf numFmtId="0" fontId="0" fillId="0" borderId="0" xfId="0" applyAlignment="1">
      <alignment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2" fillId="2" borderId="2" xfId="0" applyFont="1" applyFill="1" applyBorder="1" applyAlignment="1">
      <alignment horizontal="center" vertical="center"/>
    </xf>
    <xf numFmtId="165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165" fontId="2" fillId="2" borderId="3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64" fontId="0" fillId="0" borderId="5" xfId="0" applyNumberFormat="1" applyBorder="1" applyAlignment="1">
      <alignment horizontal="center" vertical="center"/>
    </xf>
    <xf numFmtId="165" fontId="0" fillId="0" borderId="5" xfId="0" applyNumberForma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164" fontId="2" fillId="2" borderId="2" xfId="0" applyNumberFormat="1" applyFont="1" applyFill="1" applyBorder="1" applyAlignment="1">
      <alignment horizontal="center" vertical="center"/>
    </xf>
    <xf numFmtId="0" fontId="0" fillId="0" borderId="5" xfId="0" applyBorder="1" applyAlignment="1">
      <alignment horizontal="center"/>
    </xf>
    <xf numFmtId="164" fontId="0" fillId="0" borderId="5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0" fontId="8" fillId="8" borderId="5" xfId="0" applyFont="1" applyFill="1" applyBorder="1" applyAlignment="1">
      <alignment horizontal="center" vertical="center"/>
    </xf>
    <xf numFmtId="0" fontId="0" fillId="11" borderId="5" xfId="0" applyFill="1" applyBorder="1" applyAlignment="1">
      <alignment horizontal="center" vertical="center"/>
    </xf>
    <xf numFmtId="0" fontId="9" fillId="9" borderId="5" xfId="0" applyFont="1" applyFill="1" applyBorder="1" applyAlignment="1">
      <alignment horizontal="center" vertical="center"/>
    </xf>
    <xf numFmtId="0" fontId="10" fillId="10" borderId="5" xfId="0" applyFont="1" applyFill="1" applyBorder="1" applyAlignment="1">
      <alignment horizontal="center" vertical="center"/>
    </xf>
    <xf numFmtId="0" fontId="3" fillId="12" borderId="5" xfId="0" applyFont="1" applyFill="1" applyBorder="1" applyAlignment="1">
      <alignment horizontal="center" vertical="center"/>
    </xf>
    <xf numFmtId="0" fontId="11" fillId="5" borderId="5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center" vertical="center"/>
    </xf>
    <xf numFmtId="0" fontId="4" fillId="13" borderId="5" xfId="0" applyFont="1" applyFill="1" applyBorder="1" applyAlignment="1">
      <alignment horizontal="center" vertical="center"/>
    </xf>
    <xf numFmtId="0" fontId="7" fillId="7" borderId="5" xfId="0" applyFont="1" applyFill="1" applyBorder="1" applyAlignment="1">
      <alignment horizontal="center" vertical="center"/>
    </xf>
    <xf numFmtId="0" fontId="6" fillId="6" borderId="5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12" fillId="0" borderId="9" xfId="0" applyFont="1" applyBorder="1"/>
  </cellXfs>
  <cellStyles count="1">
    <cellStyle name="Normalny" xfId="0" builtinId="0"/>
  </cellStyles>
  <dxfs count="775">
    <dxf>
      <font>
        <color theme="9" tint="-0.499984740745262"/>
      </font>
      <fill>
        <patternFill>
          <bgColor theme="9" tint="0.59996337778862885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0"/>
      </font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5" tint="-0.499984740745262"/>
      </font>
      <fill>
        <patternFill>
          <bgColor theme="7" tint="0.79998168889431442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rgb="FFC00000"/>
      </font>
      <fill>
        <patternFill>
          <bgColor rgb="FFFF9999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 patternType="solid">
          <bgColor rgb="FFFFCCFF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0"/>
      </font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/>
      </font>
      <fill>
        <patternFill>
          <bgColor theme="5" tint="0.79998168889431442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rgb="FF7030A0"/>
      </font>
      <fill>
        <patternFill>
          <bgColor rgb="FFFFCCFF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theme="9" tint="-0.499984740745262"/>
      </font>
      <fill>
        <patternFill>
          <bgColor theme="9" tint="0.59996337778862885"/>
        </patternFill>
      </fill>
    </dxf>
    <dxf>
      <font>
        <color theme="7"/>
      </font>
      <fill>
        <patternFill>
          <bgColor theme="7" tint="0.79998168889431442"/>
        </patternFill>
      </fill>
    </dxf>
    <dxf>
      <font>
        <color theme="0"/>
      </font>
    </dxf>
    <dxf>
      <font>
        <color theme="5" tint="-0.24994659260841701"/>
      </font>
      <fill>
        <patternFill>
          <bgColor theme="5" tint="0.79998168889431442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C00000"/>
      </font>
      <fill>
        <patternFill patternType="solid">
          <bgColor rgb="FFFF9999"/>
        </patternFill>
      </fill>
    </dxf>
    <dxf>
      <font>
        <color rgb="FFFFCCFF"/>
      </font>
      <fill>
        <patternFill>
          <bgColor rgb="FF9933FF"/>
        </patternFill>
      </fill>
    </dxf>
    <dxf>
      <font>
        <color theme="5"/>
      </font>
      <fill>
        <patternFill>
          <bgColor theme="5" tint="0.59996337778862885"/>
        </patternFill>
      </fill>
    </dxf>
    <dxf>
      <font>
        <color theme="5" tint="0.79998168889431442"/>
      </font>
      <fill>
        <patternFill>
          <bgColor theme="5"/>
        </patternFill>
      </fill>
    </dxf>
    <dxf>
      <font>
        <color auto="1"/>
      </font>
      <fill>
        <patternFill>
          <bgColor theme="2" tint="-0.24994659260841701"/>
        </patternFill>
      </fill>
    </dxf>
    <dxf>
      <font>
        <color theme="7" tint="0.79998168889431442"/>
      </font>
      <fill>
        <patternFill>
          <bgColor theme="7"/>
        </patternFill>
      </fill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charset val="238"/>
        <scheme val="minor"/>
      </font>
      <alignment horizontal="center" vertical="center" textRotation="0" wrapText="0" indent="0" justifyLastLine="0" shrinkToFit="0" readingOrder="0"/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border outline="0">
        <left style="thin">
          <color theme="1"/>
        </left>
        <top style="thin">
          <color theme="1"/>
        </top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theme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family val="2"/>
        <charset val="238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" formatCode="0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5" formatCode="0.000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0" formatCode="General"/>
      <alignment horizontal="center" textRotation="0" wrapText="0" indent="0" justifyLastLine="0" shrinkToFit="0" readingOrder="0"/>
    </dxf>
    <dxf>
      <numFmt numFmtId="164" formatCode="0.0"/>
      <alignment horizont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numFmt numFmtId="164" formatCode="0.0"/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5" formatCode="0.000"/>
      <alignment horizontal="center" vertical="center" textRotation="0" wrapText="0" indent="0" justifyLastLine="0" shrinkToFit="0" readingOrder="0"/>
    </dxf>
    <dxf>
      <numFmt numFmtId="164" formatCode="0.0"/>
      <alignment horizontal="center" vertical="center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5" formatCode="0.000"/>
      <alignment horizontal="center" vertical="bottom" textRotation="0" wrapText="0" indent="0" justifyLastLine="0" shrinkToFit="0" readingOrder="0"/>
    </dxf>
    <dxf>
      <numFmt numFmtId="164" formatCode="0.0"/>
      <alignment horizontal="center" vertical="bottom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color theme="1"/>
      </font>
      <border>
        <bottom style="thin">
          <color theme="5"/>
        </bottom>
        <vertical/>
        <horizontal/>
      </border>
    </dxf>
    <dxf>
      <font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theme="1"/>
      </font>
      <border>
        <bottom style="thin">
          <color theme="4"/>
        </bottom>
        <vertical/>
        <horizontal/>
      </border>
    </dxf>
    <dxf>
      <font>
        <sz val="11"/>
        <color theme="1"/>
      </font>
      <border diagonalUp="0" diagonalDown="0"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vertical/>
        <horizontal/>
      </border>
    </dxf>
  </dxfs>
  <tableStyles count="2" defaultTableStyle="TableStyleMedium2" defaultPivotStyle="PivotStyleLight16">
    <tableStyle name="SlicerStyleLight1 2" pivot="0" table="0" count="10" xr9:uid="{1DD15BAC-C201-41D3-9E22-B1DA073F8430}">
      <tableStyleElement type="wholeTable" dxfId="774"/>
      <tableStyleElement type="headerRow" dxfId="773"/>
    </tableStyle>
    <tableStyle name="SlicerStyleLight2 2" pivot="0" table="0" count="10" xr9:uid="{C52AB326-0745-431F-AF48-21AF473744F0}">
      <tableStyleElement type="wholeTable" dxfId="772"/>
      <tableStyleElement type="headerRow" dxfId="771"/>
    </tableStyle>
  </tableStyles>
  <colors>
    <mruColors>
      <color rgb="FFFFCCFF"/>
      <color rgb="FFFF9999"/>
      <color rgb="FF9933FF"/>
      <color rgb="FFFFCC00"/>
      <color rgb="FFFF7C80"/>
      <color rgb="FFFB7575"/>
    </mruColors>
  </colors>
  <extLst>
    <ext xmlns:x14="http://schemas.microsoft.com/office/spreadsheetml/2009/9/main" uri="{46F421CA-312F-682f-3DD2-61675219B42D}">
      <x14:dxfs count="16"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5" tint="0.79998168889431442"/>
              <bgColor theme="5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5" tint="0.59999389629810485"/>
              <bgColor theme="5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000000"/>
          </font>
          <fill>
            <gradientFill degree="90">
              <stop position="0">
                <color rgb="FFF8E162"/>
              </stop>
              <stop position="1">
                <color rgb="FFFCF7E0"/>
              </stop>
            </gradient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theme="4" tint="0.79998168889431442"/>
              <bgColor theme="4" tint="0.79998168889431442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theme="4" tint="0.59999389629810485"/>
              <bgColor theme="4" tint="0.59999389629810485"/>
            </patternFill>
          </fill>
          <border>
            <left style="thin">
              <color rgb="FF999999"/>
            </left>
            <right style="thin">
              <color rgb="FF999999"/>
            </right>
            <top style="thin">
              <color rgb="FF999999"/>
            </top>
            <bottom style="thin">
              <color rgb="FF999999"/>
            </bottom>
            <vertical/>
            <horizontal/>
          </border>
        </dxf>
        <dxf>
          <font>
            <color rgb="FF828282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E0E0E0"/>
            </left>
            <right style="thin">
              <color rgb="FFE0E0E0"/>
            </right>
            <top style="thin">
              <color rgb="FFE0E0E0"/>
            </top>
            <bottom style="thin">
              <color rgb="FFE0E0E0"/>
            </bottom>
            <vertical/>
            <horizontal/>
          </border>
        </dxf>
        <dxf>
          <font>
            <color rgb="FF000000"/>
          </font>
          <fill>
            <patternFill patternType="solid">
              <fgColor rgb="FFFFFFFF"/>
              <bgColor rgb="FFFFFFFF"/>
            </patternFill>
          </fill>
          <border>
            <left style="thin">
              <color rgb="FFCCCCCC"/>
            </left>
            <right style="thin">
              <color rgb="FFCCCCCC"/>
            </right>
            <top style="thin">
              <color rgb="FFCCCCCC"/>
            </top>
            <bottom style="thin">
              <color rgb="FFCCCCCC"/>
            </bottom>
            <vertical/>
            <horizontal/>
          </border>
        </dxf>
      </x14:dxfs>
    </ext>
    <ext xmlns:x14="http://schemas.microsoft.com/office/spreadsheetml/2009/9/main" uri="{EB79DEF2-80B8-43e5-95BD-54CBDDF9020C}">
      <x14:slicerStyles defaultSlicerStyle="SlicerStyleLight1">
        <x14:slicerStyle name="SlicerStyleLight1 2">
          <x14:slicerStyleElements>
            <x14:slicerStyleElement type="unselectedItemWithData" dxfId="15"/>
            <x14:slicerStyleElement type="unselectedItemWithNoData" dxfId="14"/>
            <x14:slicerStyleElement type="selectedItemWithData" dxfId="13"/>
            <x14:slicerStyleElement type="selectedItemWithNoData" dxfId="12"/>
            <x14:slicerStyleElement type="hoveredUnselectedItemWithData" dxfId="11"/>
            <x14:slicerStyleElement type="hoveredSelectedItemWithData" dxfId="10"/>
            <x14:slicerStyleElement type="hoveredUnselectedItemWithNoData" dxfId="9"/>
            <x14:slicerStyleElement type="hoveredSelectedItemWithNoData" dxfId="8"/>
          </x14:slicerStyleElements>
        </x14:slicerStyle>
        <x14:slicerStyle name="SlicerStyleLight2 2">
          <x14:slicerStyleElements>
            <x14:slicerStyleElement type="unselectedItemWithData" dxfId="7"/>
            <x14:slicerStyleElement type="unselectedItemWithNoData" dxfId="6"/>
            <x14:slicerStyleElement type="selectedItemWithData" dxfId="5"/>
            <x14:slicerStyleElement type="selectedItemWithNoData" dxfId="4"/>
            <x14:slicerStyleElement type="hoveredUnselectedItemWithData" dxfId="3"/>
            <x14:slicerStyleElement type="hoveredSelectedItemWithData" dxfId="2"/>
            <x14:slicerStyleElement type="hoveredUnselectedItemWithNoData" dxfId="1"/>
            <x14:slicerStyleElement type="hoveredSelectedItemWithNoData" dxfId="0"/>
          </x14:slicerStyleElements>
        </x14:slicerStyle>
      </x14:slicerStyles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pivotCacheDefinition" Target="pivotCache/pivotCacheDefinition2.xml"/><Relationship Id="rId18" Type="http://schemas.microsoft.com/office/2007/relationships/slicerCache" Target="slicerCaches/slicerCache3.xml"/><Relationship Id="rId26" Type="http://schemas.openxmlformats.org/officeDocument/2006/relationships/styles" Target="styles.xml"/><Relationship Id="rId39" Type="http://schemas.openxmlformats.org/officeDocument/2006/relationships/customXml" Target="../customXml/item9.xml"/><Relationship Id="rId21" Type="http://schemas.microsoft.com/office/2007/relationships/slicerCache" Target="slicerCaches/slicerCache6.xml"/><Relationship Id="rId34" Type="http://schemas.openxmlformats.org/officeDocument/2006/relationships/customXml" Target="../customXml/item4.xml"/><Relationship Id="rId42" Type="http://schemas.openxmlformats.org/officeDocument/2006/relationships/customXml" Target="../customXml/item12.xml"/><Relationship Id="rId47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microsoft.com/office/2007/relationships/slicerCache" Target="slicerCaches/slicerCache1.xml"/><Relationship Id="rId29" Type="http://schemas.openxmlformats.org/officeDocument/2006/relationships/powerPivotData" Target="model/item.data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32" Type="http://schemas.openxmlformats.org/officeDocument/2006/relationships/customXml" Target="../customXml/item2.xml"/><Relationship Id="rId37" Type="http://schemas.openxmlformats.org/officeDocument/2006/relationships/customXml" Target="../customXml/item7.xml"/><Relationship Id="rId40" Type="http://schemas.openxmlformats.org/officeDocument/2006/relationships/customXml" Target="../customXml/item10.xml"/><Relationship Id="rId45" Type="http://schemas.openxmlformats.org/officeDocument/2006/relationships/customXml" Target="../customXml/item15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4.xml"/><Relationship Id="rId23" Type="http://schemas.microsoft.com/office/2007/relationships/slicerCache" Target="slicerCaches/slicerCache8.xml"/><Relationship Id="rId28" Type="http://schemas.openxmlformats.org/officeDocument/2006/relationships/sheetMetadata" Target="metadata.xml"/><Relationship Id="rId36" Type="http://schemas.openxmlformats.org/officeDocument/2006/relationships/customXml" Target="../customXml/item6.xml"/><Relationship Id="rId49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microsoft.com/office/2007/relationships/slicerCache" Target="slicerCaches/slicerCache4.xml"/><Relationship Id="rId31" Type="http://schemas.openxmlformats.org/officeDocument/2006/relationships/customXml" Target="../customXml/item1.xml"/><Relationship Id="rId44" Type="http://schemas.openxmlformats.org/officeDocument/2006/relationships/customXml" Target="../customXml/item1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pivotCacheDefinition" Target="pivotCache/pivotCacheDefinition3.xml"/><Relationship Id="rId22" Type="http://schemas.microsoft.com/office/2007/relationships/slicerCache" Target="slicerCaches/slicerCache7.xml"/><Relationship Id="rId27" Type="http://schemas.openxmlformats.org/officeDocument/2006/relationships/sharedStrings" Target="sharedStrings.xml"/><Relationship Id="rId30" Type="http://schemas.openxmlformats.org/officeDocument/2006/relationships/calcChain" Target="calcChain.xml"/><Relationship Id="rId35" Type="http://schemas.openxmlformats.org/officeDocument/2006/relationships/customXml" Target="../customXml/item5.xml"/><Relationship Id="rId43" Type="http://schemas.openxmlformats.org/officeDocument/2006/relationships/customXml" Target="../customXml/item13.xml"/><Relationship Id="rId48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pivotCacheDefinition" Target="pivotCache/pivotCacheDefinition1.xml"/><Relationship Id="rId17" Type="http://schemas.microsoft.com/office/2007/relationships/slicerCache" Target="slicerCaches/slicerCache2.xml"/><Relationship Id="rId25" Type="http://schemas.openxmlformats.org/officeDocument/2006/relationships/connections" Target="connections.xml"/><Relationship Id="rId33" Type="http://schemas.openxmlformats.org/officeDocument/2006/relationships/customXml" Target="../customXml/item3.xml"/><Relationship Id="rId38" Type="http://schemas.openxmlformats.org/officeDocument/2006/relationships/customXml" Target="../customXml/item8.xml"/><Relationship Id="rId46" Type="http://schemas.openxmlformats.org/officeDocument/2006/relationships/customXml" Target="../customXml/item16.xml"/><Relationship Id="rId20" Type="http://schemas.microsoft.com/office/2007/relationships/slicerCache" Target="slicerCaches/slicerCache5.xml"/><Relationship Id="rId41" Type="http://schemas.openxmlformats.org/officeDocument/2006/relationships/customXml" Target="../customXml/item1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[Gymnastics-in-Poland.xlsx.xlsm]Bydgoszcz_2022!Tabela przestawna2</c:name>
    <c:fmtId val="3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</c:pivotFmt>
      <c:pivotFmt>
        <c:idx val="4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7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8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3.2615731004303941E-2"/>
          <c:y val="0.21089238845144356"/>
          <c:w val="0.88968208070743149"/>
          <c:h val="0.6748226604417810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Bydgoszcz_2022!$AJ$19:$AJ$20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Bydgoszcz_2022!$AI$21:$AI$30</c:f>
              <c:multiLvlStrCache>
                <c:ptCount val="8"/>
                <c:lvl>
                  <c:pt idx="0">
                    <c:v>10,1-10,6</c:v>
                  </c:pt>
                  <c:pt idx="1">
                    <c:v>10,6-11,1</c:v>
                  </c:pt>
                  <c:pt idx="2">
                    <c:v>11,1-11,6</c:v>
                  </c:pt>
                  <c:pt idx="3">
                    <c:v>11,6-12,1</c:v>
                  </c:pt>
                  <c:pt idx="4">
                    <c:v>12,1-12,6</c:v>
                  </c:pt>
                  <c:pt idx="5">
                    <c:v>12,6-13,1</c:v>
                  </c:pt>
                  <c:pt idx="6">
                    <c:v>13,1-13,6</c:v>
                  </c:pt>
                  <c:pt idx="7">
                    <c:v>13,6-14,1</c:v>
                  </c:pt>
                </c:lvl>
                <c:lvl>
                  <c:pt idx="0">
                    <c:v>Total Score</c:v>
                  </c:pt>
                </c:lvl>
              </c:multiLvlStrCache>
            </c:multiLvlStrRef>
          </c:cat>
          <c:val>
            <c:numRef>
              <c:f>Bydgoszcz_2022!$AJ$21:$AJ$30</c:f>
              <c:numCache>
                <c:formatCode>General</c:formatCode>
                <c:ptCount val="8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EF-4403-93BF-3F04710AB912}"/>
            </c:ext>
          </c:extLst>
        </c:ser>
        <c:ser>
          <c:idx val="1"/>
          <c:order val="1"/>
          <c:tx>
            <c:strRef>
              <c:f>Bydgoszcz_2022!$AK$19:$AK$20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Bydgoszcz_2022!$AI$21:$AI$30</c:f>
              <c:multiLvlStrCache>
                <c:ptCount val="8"/>
                <c:lvl>
                  <c:pt idx="0">
                    <c:v>10,1-10,6</c:v>
                  </c:pt>
                  <c:pt idx="1">
                    <c:v>10,6-11,1</c:v>
                  </c:pt>
                  <c:pt idx="2">
                    <c:v>11,1-11,6</c:v>
                  </c:pt>
                  <c:pt idx="3">
                    <c:v>11,6-12,1</c:v>
                  </c:pt>
                  <c:pt idx="4">
                    <c:v>12,1-12,6</c:v>
                  </c:pt>
                  <c:pt idx="5">
                    <c:v>12,6-13,1</c:v>
                  </c:pt>
                  <c:pt idx="6">
                    <c:v>13,1-13,6</c:v>
                  </c:pt>
                  <c:pt idx="7">
                    <c:v>13,6-14,1</c:v>
                  </c:pt>
                </c:lvl>
                <c:lvl>
                  <c:pt idx="0">
                    <c:v>Total Score</c:v>
                  </c:pt>
                </c:lvl>
              </c:multiLvlStrCache>
            </c:multiLvlStrRef>
          </c:cat>
          <c:val>
            <c:numRef>
              <c:f>Bydgoszcz_2022!$AK$21:$AK$30</c:f>
              <c:numCache>
                <c:formatCode>General</c:formatCode>
                <c:ptCount val="8"/>
                <c:pt idx="0">
                  <c:v>1</c:v>
                </c:pt>
                <c:pt idx="3">
                  <c:v>3</c:v>
                </c:pt>
                <c:pt idx="4">
                  <c:v>1</c:v>
                </c:pt>
                <c:pt idx="5">
                  <c:v>3</c:v>
                </c:pt>
                <c:pt idx="6">
                  <c:v>2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7EF-4403-93BF-3F04710AB9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550324191"/>
        <c:axId val="11333423"/>
      </c:barChart>
      <c:catAx>
        <c:axId val="15503241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1333423"/>
        <c:crosses val="autoZero"/>
        <c:auto val="1"/>
        <c:lblAlgn val="ctr"/>
        <c:lblOffset val="100"/>
        <c:noMultiLvlLbl val="0"/>
      </c:catAx>
      <c:valAx>
        <c:axId val="11333423"/>
        <c:scaling>
          <c:orientation val="minMax"/>
          <c:max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5503241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[Gymnastics-in-Poland.xlsx.xlsm]Zabrze_2022!Tabela przestawna4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8791749659100078E-2"/>
          <c:y val="0.15695637855154038"/>
          <c:w val="0.89042747720058857"/>
          <c:h val="0.72959103020867644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Zabrze_2022!$AG$19:$AG$20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Zabrze_2022!$AF$21:$AF$31</c:f>
              <c:multiLvlStrCache>
                <c:ptCount val="9"/>
                <c:lvl>
                  <c:pt idx="0">
                    <c:v>1,5-2</c:v>
                  </c:pt>
                  <c:pt idx="1">
                    <c:v>4,5-5</c:v>
                  </c:pt>
                  <c:pt idx="2">
                    <c:v>5,5-6</c:v>
                  </c:pt>
                  <c:pt idx="3">
                    <c:v>6-6,5</c:v>
                  </c:pt>
                  <c:pt idx="4">
                    <c:v>6,5-7</c:v>
                  </c:pt>
                  <c:pt idx="5">
                    <c:v>7-7,5</c:v>
                  </c:pt>
                  <c:pt idx="6">
                    <c:v>7,5-8</c:v>
                  </c:pt>
                  <c:pt idx="7">
                    <c:v>8-8,5</c:v>
                  </c:pt>
                  <c:pt idx="8">
                    <c:v>8,5-9</c:v>
                  </c:pt>
                </c:lvl>
                <c:lvl>
                  <c:pt idx="0">
                    <c:v>Escore</c:v>
                  </c:pt>
                </c:lvl>
              </c:multiLvlStrCache>
            </c:multiLvlStrRef>
          </c:cat>
          <c:val>
            <c:numRef>
              <c:f>Zabrze_2022!$AG$21:$AG$31</c:f>
              <c:numCache>
                <c:formatCode>General</c:formatCode>
                <c:ptCount val="9"/>
                <c:pt idx="0">
                  <c:v>1</c:v>
                </c:pt>
                <c:pt idx="2">
                  <c:v>1</c:v>
                </c:pt>
                <c:pt idx="3">
                  <c:v>1</c:v>
                </c:pt>
                <c:pt idx="4">
                  <c:v>1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40-4CE8-8499-A1494167F451}"/>
            </c:ext>
          </c:extLst>
        </c:ser>
        <c:ser>
          <c:idx val="1"/>
          <c:order val="1"/>
          <c:tx>
            <c:strRef>
              <c:f>Zabrze_2022!$AH$19:$AH$20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Zabrze_2022!$AF$21:$AF$31</c:f>
              <c:multiLvlStrCache>
                <c:ptCount val="9"/>
                <c:lvl>
                  <c:pt idx="0">
                    <c:v>1,5-2</c:v>
                  </c:pt>
                  <c:pt idx="1">
                    <c:v>4,5-5</c:v>
                  </c:pt>
                  <c:pt idx="2">
                    <c:v>5,5-6</c:v>
                  </c:pt>
                  <c:pt idx="3">
                    <c:v>6-6,5</c:v>
                  </c:pt>
                  <c:pt idx="4">
                    <c:v>6,5-7</c:v>
                  </c:pt>
                  <c:pt idx="5">
                    <c:v>7-7,5</c:v>
                  </c:pt>
                  <c:pt idx="6">
                    <c:v>7,5-8</c:v>
                  </c:pt>
                  <c:pt idx="7">
                    <c:v>8-8,5</c:v>
                  </c:pt>
                  <c:pt idx="8">
                    <c:v>8,5-9</c:v>
                  </c:pt>
                </c:lvl>
                <c:lvl>
                  <c:pt idx="0">
                    <c:v>Escore</c:v>
                  </c:pt>
                </c:lvl>
              </c:multiLvlStrCache>
            </c:multiLvlStrRef>
          </c:cat>
          <c:val>
            <c:numRef>
              <c:f>Zabrze_2022!$AH$21:$AH$31</c:f>
              <c:numCache>
                <c:formatCode>General</c:formatCode>
                <c:ptCount val="9"/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4</c:v>
                </c:pt>
                <c:pt idx="6">
                  <c:v>3</c:v>
                </c:pt>
                <c:pt idx="7">
                  <c:v>2</c:v>
                </c:pt>
                <c:pt idx="8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40-4CE8-8499-A1494167F4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03816223"/>
        <c:axId val="1608827071"/>
      </c:barChart>
      <c:catAx>
        <c:axId val="30381622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8827071"/>
        <c:crosses val="autoZero"/>
        <c:auto val="1"/>
        <c:lblAlgn val="ctr"/>
        <c:lblOffset val="100"/>
        <c:noMultiLvlLbl val="0"/>
      </c:catAx>
      <c:valAx>
        <c:axId val="160882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03816223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[Gymnastics-in-Poland.xlsx.xlsm]Cracow_2022!Tabela przestawna5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0128803300562659E-2"/>
          <c:y val="0.15412019850144651"/>
          <c:w val="0.92650495786355591"/>
          <c:h val="0.7302765347116698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Cracow_2022!$AG$20:$AG$21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Cracow_2022!$AF$22:$AF$31</c:f>
              <c:multiLvlStrCache>
                <c:ptCount val="8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  <c:pt idx="7">
                    <c:v>5,6-6,1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Cracow_2022!$AG$22:$AG$31</c:f>
              <c:numCache>
                <c:formatCode>General</c:formatCode>
                <c:ptCount val="8"/>
                <c:pt idx="0">
                  <c:v>28</c:v>
                </c:pt>
                <c:pt idx="1">
                  <c:v>14</c:v>
                </c:pt>
                <c:pt idx="2">
                  <c:v>21</c:v>
                </c:pt>
                <c:pt idx="3">
                  <c:v>11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B1-45C3-B601-2FE325CAA9AA}"/>
            </c:ext>
          </c:extLst>
        </c:ser>
        <c:ser>
          <c:idx val="1"/>
          <c:order val="1"/>
          <c:tx>
            <c:strRef>
              <c:f>Cracow_2022!$AH$20:$AH$21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Cracow_2022!$AF$22:$AF$31</c:f>
              <c:multiLvlStrCache>
                <c:ptCount val="8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  <c:pt idx="7">
                    <c:v>5,6-6,1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Cracow_2022!$AH$22:$AH$31</c:f>
              <c:numCache>
                <c:formatCode>General</c:formatCode>
                <c:ptCount val="8"/>
                <c:pt idx="0">
                  <c:v>6</c:v>
                </c:pt>
                <c:pt idx="1">
                  <c:v>15</c:v>
                </c:pt>
                <c:pt idx="2">
                  <c:v>13</c:v>
                </c:pt>
                <c:pt idx="3">
                  <c:v>35</c:v>
                </c:pt>
                <c:pt idx="4">
                  <c:v>23</c:v>
                </c:pt>
                <c:pt idx="5">
                  <c:v>7</c:v>
                </c:pt>
                <c:pt idx="6">
                  <c:v>7</c:v>
                </c:pt>
                <c:pt idx="7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EB1-45C3-B601-2FE325CAA9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06165695"/>
        <c:axId val="1608828991"/>
      </c:barChart>
      <c:catAx>
        <c:axId val="14061656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08828991"/>
        <c:crosses val="autoZero"/>
        <c:auto val="1"/>
        <c:lblAlgn val="ctr"/>
        <c:lblOffset val="100"/>
        <c:noMultiLvlLbl val="0"/>
      </c:catAx>
      <c:valAx>
        <c:axId val="16088289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406165695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l-P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[Gymnastics-in-Poland.xlsx.xlsm]Gdansk_2022!Tabela przestawna6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l-PL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>
        <c:manualLayout>
          <c:layoutTarget val="inner"/>
          <c:xMode val="edge"/>
          <c:yMode val="edge"/>
          <c:x val="2.4470782982577245E-2"/>
          <c:y val="0.1136824490613782"/>
          <c:w val="0.9068717442314097"/>
          <c:h val="0.7324927501628241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Gdansk_2022!$AG$18:$AG$19</c:f>
              <c:strCache>
                <c:ptCount val="1"/>
                <c:pt idx="0">
                  <c:v>junior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Gdansk_2022!$AF$20:$AF$29</c:f>
              <c:multiLvlStrCache>
                <c:ptCount val="8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  <c:pt idx="7">
                    <c:v>5,6-6,1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Gdansk_2022!$AG$20:$AG$29</c:f>
              <c:numCache>
                <c:formatCode>General</c:formatCode>
                <c:ptCount val="8"/>
                <c:pt idx="0">
                  <c:v>28</c:v>
                </c:pt>
                <c:pt idx="1">
                  <c:v>18</c:v>
                </c:pt>
                <c:pt idx="2">
                  <c:v>16</c:v>
                </c:pt>
                <c:pt idx="3">
                  <c:v>9</c:v>
                </c:pt>
                <c:pt idx="4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4BB-4CDF-9001-120ADAF9CE12}"/>
            </c:ext>
          </c:extLst>
        </c:ser>
        <c:ser>
          <c:idx val="1"/>
          <c:order val="1"/>
          <c:tx>
            <c:strRef>
              <c:f>Gdansk_2022!$AH$18:$AH$19</c:f>
              <c:strCache>
                <c:ptCount val="1"/>
                <c:pt idx="0">
                  <c:v>senior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Gdansk_2022!$AF$20:$AF$29</c:f>
              <c:multiLvlStrCache>
                <c:ptCount val="8"/>
                <c:lvl>
                  <c:pt idx="0">
                    <c:v>&lt;2,6</c:v>
                  </c:pt>
                  <c:pt idx="1">
                    <c:v>2,6-3,1</c:v>
                  </c:pt>
                  <c:pt idx="2">
                    <c:v>3,1-3,6</c:v>
                  </c:pt>
                  <c:pt idx="3">
                    <c:v>3,6-4,1</c:v>
                  </c:pt>
                  <c:pt idx="4">
                    <c:v>4,1-4,6</c:v>
                  </c:pt>
                  <c:pt idx="5">
                    <c:v>4,6-5,1</c:v>
                  </c:pt>
                  <c:pt idx="6">
                    <c:v>5,1-5,6</c:v>
                  </c:pt>
                  <c:pt idx="7">
                    <c:v>5,6-6,1</c:v>
                  </c:pt>
                </c:lvl>
                <c:lvl>
                  <c:pt idx="0">
                    <c:v>Dscore</c:v>
                  </c:pt>
                </c:lvl>
              </c:multiLvlStrCache>
            </c:multiLvlStrRef>
          </c:cat>
          <c:val>
            <c:numRef>
              <c:f>Gdansk_2022!$AH$20:$AH$29</c:f>
              <c:numCache>
                <c:formatCode>General</c:formatCode>
                <c:ptCount val="8"/>
                <c:pt idx="0">
                  <c:v>9</c:v>
                </c:pt>
                <c:pt idx="1">
                  <c:v>13</c:v>
                </c:pt>
                <c:pt idx="2">
                  <c:v>22</c:v>
                </c:pt>
                <c:pt idx="3">
                  <c:v>21</c:v>
                </c:pt>
                <c:pt idx="4">
                  <c:v>16</c:v>
                </c:pt>
                <c:pt idx="5">
                  <c:v>6</c:v>
                </c:pt>
                <c:pt idx="6">
                  <c:v>6</c:v>
                </c:pt>
                <c:pt idx="7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4BB-4CDF-9001-120ADAF9CE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699391"/>
        <c:axId val="323299775"/>
      </c:barChart>
      <c:catAx>
        <c:axId val="16769939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323299775"/>
        <c:crosses val="autoZero"/>
        <c:auto val="1"/>
        <c:lblAlgn val="ctr"/>
        <c:lblOffset val="100"/>
        <c:noMultiLvlLbl val="0"/>
      </c:catAx>
      <c:valAx>
        <c:axId val="323299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l-PL"/>
          </a:p>
        </c:txPr>
        <c:crossAx val="16769939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l-PL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l-PL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266700</xdr:colOff>
      <xdr:row>33</xdr:row>
      <xdr:rowOff>190500</xdr:rowOff>
    </xdr:from>
    <xdr:to>
      <xdr:col>25</xdr:col>
      <xdr:colOff>673100</xdr:colOff>
      <xdr:row>50</xdr:row>
      <xdr:rowOff>25400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2EAEB911-F28D-4F2E-9C81-4E53FCDF96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63501</xdr:colOff>
      <xdr:row>34</xdr:row>
      <xdr:rowOff>1</xdr:rowOff>
    </xdr:from>
    <xdr:to>
      <xdr:col>28</xdr:col>
      <xdr:colOff>12700</xdr:colOff>
      <xdr:row>50</xdr:row>
      <xdr:rowOff>12701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pparatus">
              <a:extLst>
                <a:ext uri="{FF2B5EF4-FFF2-40B4-BE49-F238E27FC236}">
                  <a16:creationId xmlns:a16="http://schemas.microsoft.com/office/drawing/2014/main" id="{D4C8331A-46A4-4E08-CC20-3FBB305ADC9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paratus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760465" y="6939644"/>
              <a:ext cx="1418771" cy="6149521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17</xdr:col>
      <xdr:colOff>196850</xdr:colOff>
      <xdr:row>34</xdr:row>
      <xdr:rowOff>98425</xdr:rowOff>
    </xdr:from>
    <xdr:to>
      <xdr:col>25</xdr:col>
      <xdr:colOff>640780</xdr:colOff>
      <xdr:row>35</xdr:row>
      <xdr:rowOff>469900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core Type ">
              <a:extLst>
                <a:ext uri="{FF2B5EF4-FFF2-40B4-BE49-F238E27FC236}">
                  <a16:creationId xmlns:a16="http://schemas.microsoft.com/office/drawing/2014/main" id="{DB6398B6-650D-3890-5F13-9C3E858A4D1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70600" y="7038068"/>
              <a:ext cx="5886787" cy="68443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222249</xdr:colOff>
      <xdr:row>40</xdr:row>
      <xdr:rowOff>12700</xdr:rowOff>
    </xdr:from>
    <xdr:to>
      <xdr:col>27</xdr:col>
      <xdr:colOff>38100</xdr:colOff>
      <xdr:row>56</xdr:row>
      <xdr:rowOff>25400</xdr:rowOff>
    </xdr:to>
    <xdr:graphicFrame macro="">
      <xdr:nvGraphicFramePr>
        <xdr:cNvPr id="3" name="Wykres 2">
          <a:extLst>
            <a:ext uri="{FF2B5EF4-FFF2-40B4-BE49-F238E27FC236}">
              <a16:creationId xmlns:a16="http://schemas.microsoft.com/office/drawing/2014/main" id="{0C707F16-630A-8BC1-C050-4ECCB7AE09F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27</xdr:col>
      <xdr:colOff>123825</xdr:colOff>
      <xdr:row>40</xdr:row>
      <xdr:rowOff>25400</xdr:rowOff>
    </xdr:from>
    <xdr:to>
      <xdr:col>29</xdr:col>
      <xdr:colOff>546101</xdr:colOff>
      <xdr:row>55</xdr:row>
      <xdr:rowOff>342900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Apparatus 1">
              <a:extLst>
                <a:ext uri="{FF2B5EF4-FFF2-40B4-BE49-F238E27FC236}">
                  <a16:creationId xmlns:a16="http://schemas.microsoft.com/office/drawing/2014/main" id="{510354B1-7C90-4BBC-5A52-D605BCB048AF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paratus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4990425" y="8153400"/>
              <a:ext cx="1844676" cy="57404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16</xdr:col>
      <xdr:colOff>469900</xdr:colOff>
      <xdr:row>41</xdr:row>
      <xdr:rowOff>28575</xdr:rowOff>
    </xdr:from>
    <xdr:to>
      <xdr:col>26</xdr:col>
      <xdr:colOff>533399</xdr:colOff>
      <xdr:row>43</xdr:row>
      <xdr:rowOff>12700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Score Type  1">
              <a:extLst>
                <a:ext uri="{FF2B5EF4-FFF2-40B4-BE49-F238E27FC236}">
                  <a16:creationId xmlns:a16="http://schemas.microsoft.com/office/drawing/2014/main" id="{243F8AF2-648B-1B0D-3596-2C1045B1FB1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910300" y="8347075"/>
              <a:ext cx="5905499" cy="6445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374194</xdr:colOff>
      <xdr:row>42</xdr:row>
      <xdr:rowOff>29934</xdr:rowOff>
    </xdr:from>
    <xdr:to>
      <xdr:col>24</xdr:col>
      <xdr:colOff>1102177</xdr:colOff>
      <xdr:row>56</xdr:row>
      <xdr:rowOff>544285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1C9E5839-1D77-AE53-B362-A2B3F7FE112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25</xdr:col>
      <xdr:colOff>68035</xdr:colOff>
      <xdr:row>42</xdr:row>
      <xdr:rowOff>57150</xdr:rowOff>
    </xdr:from>
    <xdr:to>
      <xdr:col>27</xdr:col>
      <xdr:colOff>653143</xdr:colOff>
      <xdr:row>57</xdr:row>
      <xdr:rowOff>13607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pparatus 2">
              <a:extLst>
                <a:ext uri="{FF2B5EF4-FFF2-40B4-BE49-F238E27FC236}">
                  <a16:creationId xmlns:a16="http://schemas.microsoft.com/office/drawing/2014/main" id="{C541DCD7-4AD2-4163-0BFE-85065FD0E0AE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paratus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9758821" y="8629650"/>
              <a:ext cx="1945822" cy="76581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68036</xdr:colOff>
      <xdr:row>42</xdr:row>
      <xdr:rowOff>138793</xdr:rowOff>
    </xdr:from>
    <xdr:to>
      <xdr:col>24</xdr:col>
      <xdr:colOff>1036789</xdr:colOff>
      <xdr:row>44</xdr:row>
      <xdr:rowOff>54428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core Type  2">
              <a:extLst>
                <a:ext uri="{FF2B5EF4-FFF2-40B4-BE49-F238E27FC236}">
                  <a16:creationId xmlns:a16="http://schemas.microsoft.com/office/drawing/2014/main" id="{CAAE5D24-3CC3-15BA-C202-1F6FCB7B85F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2587857" y="8711293"/>
              <a:ext cx="7010325" cy="664028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133348</xdr:colOff>
      <xdr:row>36</xdr:row>
      <xdr:rowOff>6348</xdr:rowOff>
    </xdr:from>
    <xdr:to>
      <xdr:col>25</xdr:col>
      <xdr:colOff>761999</xdr:colOff>
      <xdr:row>51</xdr:row>
      <xdr:rowOff>215899</xdr:rowOff>
    </xdr:to>
    <xdr:graphicFrame macro="">
      <xdr:nvGraphicFramePr>
        <xdr:cNvPr id="2" name="Wykres 1">
          <a:extLst>
            <a:ext uri="{FF2B5EF4-FFF2-40B4-BE49-F238E27FC236}">
              <a16:creationId xmlns:a16="http://schemas.microsoft.com/office/drawing/2014/main" id="{5F50EA76-DED8-6D8F-E840-071CF66D3F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15875</xdr:colOff>
      <xdr:row>35</xdr:row>
      <xdr:rowOff>190500</xdr:rowOff>
    </xdr:from>
    <xdr:to>
      <xdr:col>28</xdr:col>
      <xdr:colOff>114301</xdr:colOff>
      <xdr:row>51</xdr:row>
      <xdr:rowOff>228600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3" name="Apparatus 3">
              <a:extLst>
                <a:ext uri="{FF2B5EF4-FFF2-40B4-BE49-F238E27FC236}">
                  <a16:creationId xmlns:a16="http://schemas.microsoft.com/office/drawing/2014/main" id="{57A060E0-BB2C-8B57-2221-1C3A2311052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Apparatus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6939875" y="7302500"/>
              <a:ext cx="1673226" cy="69088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  <xdr:twoCellAnchor editAs="oneCell">
    <xdr:from>
      <xdr:col>18</xdr:col>
      <xdr:colOff>127000</xdr:colOff>
      <xdr:row>36</xdr:row>
      <xdr:rowOff>69850</xdr:rowOff>
    </xdr:from>
    <xdr:to>
      <xdr:col>25</xdr:col>
      <xdr:colOff>708025</xdr:colOff>
      <xdr:row>37</xdr:row>
      <xdr:rowOff>317500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Score Type  3">
              <a:extLst>
                <a:ext uri="{FF2B5EF4-FFF2-40B4-BE49-F238E27FC236}">
                  <a16:creationId xmlns:a16="http://schemas.microsoft.com/office/drawing/2014/main" id="{C7D07FA3-F0B6-C353-6699-B0FC55182038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Score Type  3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751800" y="7385050"/>
              <a:ext cx="6092825" cy="692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l-PL" sz="1100"/>
                <a:t>Ten kształt odzwierciedla fragmentator. Fragmentatory są obsługiwane w programie Excel 2010 i nowszych wersjach.
Jeśli kształt został zmodyfikowany w starszej wersji programu Excel lub jeśli skoroszyt został zapisany w programie Excel 2003 albo starszej wersji, korzystanie z fragmentatora jest niemożliwe.</a:t>
              </a:r>
            </a:p>
          </xdr:txBody>
        </xdr:sp>
      </mc:Fallback>
    </mc:AlternateContent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442860763891" createdVersion="8" refreshedVersion="8" minRefreshableVersion="3" recordCount="672" xr:uid="{5AFD6EF4-292F-4BEE-91E3-0256C71DC600}">
  <cacheSource type="worksheet">
    <worksheetSource name="Bydgoszcz_Pivoted"/>
  </cacheSource>
  <cacheFields count="10">
    <cacheField name="Name" numFmtId="0">
      <sharedItems/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7" maxValue="2008"/>
    </cacheField>
    <cacheField name="Club" numFmtId="0">
      <sharedItems/>
    </cacheField>
    <cacheField name="All Around" numFmtId="0">
      <sharedItems/>
    </cacheField>
    <cacheField name="Competition place" numFmtId="0">
      <sharedItems/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_Dscore"/>
        <s v="AA_Escore"/>
        <s v="AA_Score"/>
      </sharedItems>
    </cacheField>
    <cacheField name="Value" numFmtId="0">
      <sharedItems containsSemiMixedTypes="0" containsString="0" containsNumber="1" minValue="0" maxValue="75.600000000000009" count="231">
        <n v="5.8"/>
        <n v="7.8"/>
        <n v="13.6"/>
        <n v="4.4000000000000004"/>
        <n v="7.1"/>
        <n v="11.5"/>
        <n v="4.5999999999999996"/>
        <n v="7.2"/>
        <n v="11.8"/>
        <n v="4.8"/>
        <n v="8.6999999999999993"/>
        <n v="13.5"/>
        <n v="4.2"/>
        <n v="8.6"/>
        <n v="12.8"/>
        <n v="8"/>
        <n v="12.4"/>
        <n v="28.199999999999996"/>
        <n v="47.4"/>
        <n v="75.600000000000009"/>
        <n v="13.1"/>
        <n v="12.2"/>
        <n v="3.8"/>
        <n v="8.1999999999999993"/>
        <n v="12"/>
        <n v="4"/>
        <n v="9"/>
        <n v="13"/>
        <n v="7.55"/>
        <n v="11.35"/>
        <n v="4.0999999999999996"/>
        <n v="8.4"/>
        <n v="12.5"/>
        <n v="24.300000000000004"/>
        <n v="49.849999999999994"/>
        <n v="74.150000000000006"/>
        <n v="4.5"/>
        <n v="13.2"/>
        <n v="7.9"/>
        <n v="11.7"/>
        <n v="2.7"/>
        <n v="10.7"/>
        <n v="3.2"/>
        <n v="9.5"/>
        <n v="12.7"/>
        <n v="3.4"/>
        <n v="11.3"/>
        <n v="3.6"/>
        <n v="11.6"/>
        <n v="21.2"/>
        <n v="50"/>
        <n v="71.199999999999989"/>
        <n v="12.6"/>
        <n v="11.15"/>
        <n v="3.9"/>
        <n v="6.4"/>
        <n v="10.3"/>
        <n v="3.7"/>
        <n v="8.4499999999999993"/>
        <n v="12.15"/>
        <n v="3"/>
        <n v="7.6"/>
        <n v="10.6"/>
        <n v="21.4"/>
        <n v="68.8"/>
        <n v="6.3"/>
        <n v="10.5"/>
        <n v="7.3"/>
        <n v="11.4"/>
        <n v="8.15"/>
        <n v="10.199999999999999"/>
        <n v="22.7"/>
        <n v="44.550000000000004"/>
        <n v="67.25"/>
        <n v="4.7"/>
        <n v="8.1"/>
        <n v="9.3000000000000007"/>
        <n v="7.7"/>
        <n v="10.4"/>
        <n v="3.5"/>
        <n v="3.1"/>
        <n v="21"/>
        <n v="45.999999999999993"/>
        <n v="67"/>
        <n v="7.35"/>
        <n v="11.85"/>
        <n v="6.1"/>
        <n v="7.5"/>
        <n v="11.1"/>
        <n v="12.3"/>
        <n v="7.85"/>
        <n v="11.55"/>
        <n v="45.300000000000004"/>
        <n v="66.5"/>
        <n v="4.3"/>
        <n v="7.4"/>
        <n v="2.4"/>
        <n v="1.1000000000000001"/>
        <n v="2.9"/>
        <n v="7"/>
        <n v="9.9"/>
        <n v="11"/>
        <n v="7.75"/>
        <n v="10.65"/>
        <n v="6.8"/>
        <n v="18.400000000000002"/>
        <n v="37.85"/>
        <n v="56.25"/>
        <n v="10.9"/>
        <n v="6.7"/>
        <n v="2.8"/>
        <n v="9.1999999999999993"/>
        <n v="2.6"/>
        <n v="5.65"/>
        <n v="8.25"/>
        <n v="0"/>
        <n v="54.150000000000006"/>
        <n v="3.3"/>
        <n v="7.65"/>
        <n v="10.85"/>
        <n v="2.5"/>
        <n v="8.8000000000000007"/>
        <n v="10"/>
        <n v="39.549999999999997"/>
        <n v="9.25"/>
        <n v="13.25"/>
        <n v="8.65"/>
        <n v="36.299999999999997"/>
        <n v="4.1500000000000004"/>
        <n v="7.95"/>
        <n v="32.65"/>
        <n v="6.85"/>
        <n v="9.5500000000000007"/>
        <n v="2.1"/>
        <n v="30.65"/>
        <n v="2.2999999999999998"/>
        <n v="2"/>
        <n v="7.45"/>
        <n v="9.9499999999999993"/>
        <n v="26.55"/>
        <n v="12.65"/>
        <n v="8.9499999999999993"/>
        <n v="12.95"/>
        <n v="12.75"/>
        <n v="8.85"/>
        <n v="11.65"/>
        <n v="2.2000000000000002"/>
        <n v="9.4"/>
        <n v="8.5500000000000007"/>
        <n v="19.5"/>
        <n v="53.7"/>
        <n v="73.2"/>
        <n v="10.75"/>
        <n v="8.5"/>
        <n v="11.75"/>
        <n v="11.2"/>
        <n v="20.5"/>
        <n v="48.4"/>
        <n v="68.900000000000006"/>
        <n v="1.6"/>
        <n v="10.8"/>
        <n v="19.999999999999996"/>
        <n v="48.3"/>
        <n v="68.3"/>
        <n v="11.45"/>
        <n v="20.900000000000002"/>
        <n v="47.35"/>
        <n v="68.25"/>
        <n v="8.3000000000000007"/>
        <n v="12.25"/>
        <n v="9.6"/>
        <n v="11.25"/>
        <n v="18.5"/>
        <n v="48.599999999999994"/>
        <n v="67.100000000000009"/>
        <n v="17"/>
        <n v="49.3"/>
        <n v="66.3"/>
        <n v="6.65"/>
        <n v="6.9"/>
        <n v="18.299999999999997"/>
        <n v="47.449999999999996"/>
        <n v="65.75"/>
        <n v="7.15"/>
        <n v="9.4499999999999993"/>
        <n v="9.1"/>
        <n v="8.0500000000000007"/>
        <n v="11.05"/>
        <n v="16.7"/>
        <n v="48.800000000000004"/>
        <n v="65.5"/>
        <n v="1.9"/>
        <n v="16.3"/>
        <n v="42.8"/>
        <n v="59.099999999999994"/>
        <n v="6"/>
        <n v="5.7"/>
        <n v="14.600000000000001"/>
        <n v="43.9"/>
        <n v="58.5"/>
        <n v="10.55"/>
        <n v="50.649999999999991"/>
        <n v="11.9"/>
        <n v="44.6"/>
        <n v="4.9000000000000004"/>
        <n v="1.8"/>
        <n v="9.8000000000000007"/>
        <n v="39"/>
        <n v="1.3"/>
        <n v="5.2"/>
        <n v="1.4"/>
        <n v="1.7"/>
        <n v="1.5"/>
        <n v="5"/>
        <n v="6.5"/>
        <n v="11.600000000000001"/>
        <n v="27.2"/>
        <n v="38.800000000000004"/>
        <n v="0.6"/>
        <n v="2.85"/>
        <n v="4.75"/>
        <n v="0.1"/>
        <n v="1"/>
        <n v="24.450000000000003"/>
        <n v="3.45"/>
        <n v="5.45"/>
        <n v="30.849999999999994"/>
        <n v="6.6"/>
        <n v="10.1"/>
        <n v="8.75"/>
        <n v="28.549999999999997"/>
      </sharedItems>
      <fieldGroup base="8">
        <rangePr autoStart="0" startNum="2.6" endNum="75.600000000000009" groupInterval="0.5"/>
        <groupItems count="149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37,1-37,6"/>
          <s v="37,6-38,1"/>
          <s v="38,1-38,6"/>
          <s v="38,6-39,1"/>
          <s v="39,1-39,6"/>
          <s v="39,6-40,1"/>
          <s v="40,1-40,6"/>
          <s v="40,6-41,1"/>
          <s v="41,1-41,6"/>
          <s v="41,6-42,1"/>
          <s v="42,1-42,6"/>
          <s v="42,6-43,1"/>
          <s v="43,1-43,6"/>
          <s v="43,6-44,1"/>
          <s v="44,1-44,6"/>
          <s v="44,6-45,1"/>
          <s v="45,1-45,6"/>
          <s v="45,6-46,1"/>
          <s v="46,1-46,6"/>
          <s v="46,6-47,1"/>
          <s v="47,1-47,6"/>
          <s v="47,6-48,1"/>
          <s v="48,1-48,6"/>
          <s v="48,6-49,1"/>
          <s v="49,1-49,6"/>
          <s v="49,6-50,1"/>
          <s v="50,1-50,6"/>
          <s v="50,6-51,1"/>
          <s v="51,1-51,6"/>
          <s v="51,6-52,1"/>
          <s v="52,1-52,6"/>
          <s v="52,6-53,1"/>
          <s v="53,1-53,6"/>
          <s v="53,6-54,1"/>
          <s v="54,1-54,6"/>
          <s v="54,6-55,1"/>
          <s v="55,1-55,6"/>
          <s v="55,6-56,1"/>
          <s v="56,1-56,6"/>
          <s v="56,6-57,1"/>
          <s v="57,1-57,6"/>
          <s v="57,6-58,1"/>
          <s v="58,1-58,6"/>
          <s v="58,6-59,1"/>
          <s v="59,1-59,6"/>
          <s v="59,6-60,1"/>
          <s v="60,1-60,6"/>
          <s v="60,6-61,1"/>
          <s v="61,1-61,6"/>
          <s v="61,6-62,1"/>
          <s v="62,1-62,6"/>
          <s v="62,6-63,1"/>
          <s v="63,1-63,6"/>
          <s v="63,6-64,1"/>
          <s v="64,1-64,6"/>
          <s v="64,6-65,1"/>
          <s v="65,1-65,6"/>
          <s v="65,6-66,1"/>
          <s v="66,1-66,6"/>
          <s v="66,6-67,1"/>
          <s v="67,1-67,6"/>
          <s v="67,6-68,1"/>
          <s v="68,1-68,6"/>
          <s v="68,6-69,1"/>
          <s v="69,1-69,6"/>
          <s v="69,6-70,1"/>
          <s v="70,1-70,6"/>
          <s v="70,6-71,1"/>
          <s v="71,1-71,6"/>
          <s v="71,6-72,1"/>
          <s v="72,1-72,6"/>
          <s v="72,6-73,1"/>
          <s v="73,1-73,6"/>
          <s v="73,6-74,1"/>
          <s v="74,1-74,6"/>
          <s v="74,6-75,1"/>
          <s v="75,1-75,6"/>
          <s v="75,6-76,1"/>
          <s v="&gt;76,1"/>
        </groupItems>
      </fieldGroup>
    </cacheField>
    <cacheField name="Pole1" numFmtId="0" formula=" 0" databaseField="0"/>
  </cacheFields>
  <extLst>
    <ext xmlns:x14="http://schemas.microsoft.com/office/spreadsheetml/2009/9/main" uri="{725AE2AE-9491-48be-B2B4-4EB974FC3084}">
      <x14:pivotCacheDefinition pivotCacheId="925019263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509665625003" createdVersion="8" refreshedVersion="8" minRefreshableVersion="3" recordCount="777" xr:uid="{90148952-9824-41FC-8764-6D7393840C97}">
  <cacheSource type="worksheet">
    <worksheetSource name="Zabrze_pivoted"/>
  </cacheSource>
  <cacheFields count="9">
    <cacheField name="Name" numFmtId="0">
      <sharedItems/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7" maxValue="2008"/>
    </cacheField>
    <cacheField name="Club" numFmtId="0">
      <sharedItems/>
    </cacheField>
    <cacheField name="Competition place" numFmtId="0">
      <sharedItems/>
    </cacheField>
    <cacheField name="All Around" numFmtId="0">
      <sharedItems/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 Dscore"/>
        <s v="AA Escore"/>
        <s v="AA Sscore"/>
      </sharedItems>
    </cacheField>
    <cacheField name="Value" numFmtId="0">
      <sharedItems containsSemiMixedTypes="0" containsString="0" containsNumber="1" minValue="0" maxValue="76.150000000000006" count="231">
        <n v="5.3"/>
        <n v="8.15"/>
        <n v="13.45"/>
        <n v="4.9000000000000004"/>
        <n v="7.4"/>
        <n v="12.3"/>
        <n v="4.0999999999999996"/>
        <n v="8.35"/>
        <n v="12.45"/>
        <n v="4.4000000000000004"/>
        <n v="9.1"/>
        <n v="13.5"/>
        <n v="5"/>
        <n v="7.45"/>
        <n v="4.5999999999999996"/>
        <n v="12"/>
        <n v="28.299999999999997"/>
        <n v="47.85"/>
        <n v="76.150000000000006"/>
        <n v="6"/>
        <n v="6.6"/>
        <n v="12.6"/>
        <n v="6.4"/>
        <n v="11"/>
        <n v="3.9"/>
        <n v="8.1"/>
        <n v="5.2"/>
        <n v="9.6"/>
        <n v="14.8"/>
        <n v="4.2"/>
        <n v="8.1999999999999993"/>
        <n v="12.4"/>
        <n v="6.8"/>
        <n v="11.2"/>
        <n v="45.7"/>
        <n v="74"/>
        <n v="3.8"/>
        <n v="8.4"/>
        <n v="12.2"/>
        <n v="3"/>
        <n v="11.4"/>
        <n v="4"/>
        <n v="13.1"/>
        <n v="9.35"/>
        <n v="12.35"/>
        <n v="3.6"/>
        <n v="7.1"/>
        <n v="10.7"/>
        <n v="21.3"/>
        <n v="50.750000000000007"/>
        <n v="72.050000000000011"/>
        <n v="12.55"/>
        <n v="7.75"/>
        <n v="11.55"/>
        <n v="7.7"/>
        <n v="11.5"/>
        <n v="13.6"/>
        <n v="3.5"/>
        <n v="8.6999999999999993"/>
        <n v="2.2000000000000002"/>
        <n v="7.85"/>
        <n v="10.050000000000001"/>
        <n v="21.5"/>
        <n v="49.949999999999996"/>
        <n v="71.45"/>
        <n v="11.8"/>
        <n v="3.3"/>
        <n v="9.3000000000000007"/>
        <n v="7.6"/>
        <n v="11.7"/>
        <n v="8.25"/>
        <n v="4.3"/>
        <n v="12.5"/>
        <n v="3.7"/>
        <n v="7.95"/>
        <n v="11.65"/>
        <n v="25.6"/>
        <n v="44.8"/>
        <n v="70.400000000000006"/>
        <n v="4.7"/>
        <n v="13.4"/>
        <n v="7.5"/>
        <n v="10.5"/>
        <n v="2.5"/>
        <n v="10.65"/>
        <n v="7.9"/>
        <n v="2.7"/>
        <n v="7.55"/>
        <n v="10.25"/>
        <n v="20.999999999999996"/>
        <n v="48.9"/>
        <n v="69.900000000000006"/>
        <n v="7.3"/>
        <n v="11.1"/>
        <n v="7.8"/>
        <n v="11.6"/>
        <n v="3.2"/>
        <n v="9.4499999999999993"/>
        <n v="12.65"/>
        <n v="8.0500000000000007"/>
        <n v="10.3"/>
        <n v="20.7"/>
        <n v="48.949999999999996"/>
        <n v="69.649999999999991"/>
        <n v="11.75"/>
        <n v="6.2"/>
        <n v="10"/>
        <n v="9.15"/>
        <n v="8.75"/>
        <n v="2.6"/>
        <n v="10.1"/>
        <n v="21.1"/>
        <n v="68.95"/>
        <n v="3.4"/>
        <n v="12.1"/>
        <n v="6.7"/>
        <n v="10.8"/>
        <n v="8.65"/>
        <n v="12.25"/>
        <n v="10.4"/>
        <n v="20.9"/>
        <n v="47.999999999999993"/>
        <n v="68.900000000000006"/>
        <n v="5.5"/>
        <n v="8.9"/>
        <n v="11.3"/>
        <n v="13.3"/>
        <n v="21.900000000000002"/>
        <n v="46.95"/>
        <n v="68.849999999999994"/>
        <n v="6.25"/>
        <n v="10.35"/>
        <n v="4.75"/>
        <n v="9.25"/>
        <n v="2.8"/>
        <n v="8"/>
        <n v="43.05"/>
        <n v="63.95"/>
        <n v="11.9"/>
        <n v="5.6"/>
        <n v="0"/>
        <n v="39.600000000000009"/>
        <n v="7"/>
        <n v="9.6999999999999993"/>
        <n v="7.2"/>
        <n v="10.199999999999999"/>
        <n v="2.1"/>
        <n v="6.9"/>
        <n v="9"/>
        <n v="38.599999999999994"/>
        <n v="11.85"/>
        <n v="37.65"/>
        <n v="8.6"/>
        <n v="12.9"/>
        <n v="36.85"/>
        <n v="9.4"/>
        <n v="3.1"/>
        <n v="8.85"/>
        <n v="11.95"/>
        <n v="36.549999999999997"/>
        <n v="4.5"/>
        <n v="12.7"/>
        <n v="10.6"/>
        <n v="35.1"/>
        <n v="2.9"/>
        <n v="2.4"/>
        <n v="31"/>
        <n v="10.45"/>
        <n v="2"/>
        <n v="29.15"/>
        <n v="12.85"/>
        <n v="22.95"/>
        <n v="8.8000000000000007"/>
        <n v="22.7"/>
        <n v="9.0500000000000007"/>
        <n v="22.25"/>
        <n v="1.7"/>
        <n v="16"/>
        <n v="11.25"/>
        <n v="19.5"/>
        <n v="53.050000000000004"/>
        <n v="72.55"/>
        <n v="8.9499999999999993"/>
        <n v="12.95"/>
        <n v="10.9"/>
        <n v="21.2"/>
        <n v="49.8"/>
        <n v="71"/>
        <n v="8.5500000000000007"/>
        <n v="12.75"/>
        <n v="9.8000000000000007"/>
        <n v="11.35"/>
        <n v="20.799999999999997"/>
        <n v="48.95"/>
        <n v="69.75"/>
        <n v="11.15"/>
        <n v="21"/>
        <n v="47.050000000000004"/>
        <n v="68.05"/>
        <n v="8.3000000000000007"/>
        <n v="19.900000000000002"/>
        <n v="48.000000000000007"/>
        <n v="67.899999999999991"/>
        <n v="19.399999999999999"/>
        <n v="47.75"/>
        <n v="67.150000000000006"/>
        <n v="1.8"/>
        <n v="16.099999999999998"/>
        <n v="50.85"/>
        <n v="66.95"/>
        <n v="11.45"/>
        <n v="10.15"/>
        <n v="49.4"/>
        <n v="65.399999999999991"/>
        <n v="5.75"/>
        <n v="8.5"/>
        <n v="1.6"/>
        <n v="9.5"/>
        <n v="12.600000000000001"/>
        <n v="46.050000000000004"/>
        <n v="58.65"/>
        <n v="1.95"/>
        <n v="4.6500000000000004"/>
        <n v="6.5"/>
        <n v="1.9"/>
        <n v="15"/>
        <n v="42.099999999999994"/>
        <n v="57.1"/>
        <n v="34.5"/>
        <n v="19.799999999999997"/>
        <n v="9.9"/>
      </sharedItems>
      <fieldGroup base="8">
        <rangePr startNum="0" endNum="76.150000000000006" groupInterval="0.5"/>
        <groupItems count="155">
          <s v="&lt;0"/>
          <s v="0-0,5"/>
          <s v="0,5-1"/>
          <s v="1-1,5"/>
          <s v="1,5-2"/>
          <s v="2-2,5"/>
          <s v="2,5-3"/>
          <s v="3-3,5"/>
          <s v="3,5-4"/>
          <s v="4-4,5"/>
          <s v="4,5-5"/>
          <s v="5-5,5"/>
          <s v="5,5-6"/>
          <s v="6-6,5"/>
          <s v="6,5-7"/>
          <s v="7-7,5"/>
          <s v="7,5-8"/>
          <s v="8-8,5"/>
          <s v="8,5-9"/>
          <s v="9-9,5"/>
          <s v="9,5-10"/>
          <s v="10-10,5"/>
          <s v="10,5-11"/>
          <s v="11-11,5"/>
          <s v="11,5-12"/>
          <s v="12-12,5"/>
          <s v="12,5-13"/>
          <s v="13-13,5"/>
          <s v="13,5-14"/>
          <s v="14-14,5"/>
          <s v="14,5-15"/>
          <s v="15-15,5"/>
          <s v="15,5-16"/>
          <s v="16-16,5"/>
          <s v="16,5-17"/>
          <s v="17-17,5"/>
          <s v="17,5-18"/>
          <s v="18-18,5"/>
          <s v="18,5-19"/>
          <s v="19-19,5"/>
          <s v="19,5-20"/>
          <s v="20-20,5"/>
          <s v="20,5-21"/>
          <s v="21-21,5"/>
          <s v="21,5-22"/>
          <s v="22-22,5"/>
          <s v="22,5-23"/>
          <s v="23-23,5"/>
          <s v="23,5-24"/>
          <s v="24-24,5"/>
          <s v="24,5-25"/>
          <s v="25-25,5"/>
          <s v="25,5-26"/>
          <s v="26-26,5"/>
          <s v="26,5-27"/>
          <s v="27-27,5"/>
          <s v="27,5-28"/>
          <s v="28-28,5"/>
          <s v="28,5-29"/>
          <s v="29-29,5"/>
          <s v="29,5-30"/>
          <s v="30-30,5"/>
          <s v="30,5-31"/>
          <s v="31-31,5"/>
          <s v="31,5-32"/>
          <s v="32-32,5"/>
          <s v="32,5-33"/>
          <s v="33-33,5"/>
          <s v="33,5-34"/>
          <s v="34-34,5"/>
          <s v="34,5-35"/>
          <s v="35-35,5"/>
          <s v="35,5-36"/>
          <s v="36-36,5"/>
          <s v="36,5-37"/>
          <s v="37-37,5"/>
          <s v="37,5-38"/>
          <s v="38-38,5"/>
          <s v="38,5-39"/>
          <s v="39-39,5"/>
          <s v="39,5-40"/>
          <s v="40-40,5"/>
          <s v="40,5-41"/>
          <s v="41-41,5"/>
          <s v="41,5-42"/>
          <s v="42-42,5"/>
          <s v="42,5-43"/>
          <s v="43-43,5"/>
          <s v="43,5-44"/>
          <s v="44-44,5"/>
          <s v="44,5-45"/>
          <s v="45-45,5"/>
          <s v="45,5-46"/>
          <s v="46-46,5"/>
          <s v="46,5-47"/>
          <s v="47-47,5"/>
          <s v="47,5-48"/>
          <s v="48-48,5"/>
          <s v="48,5-49"/>
          <s v="49-49,5"/>
          <s v="49,5-50"/>
          <s v="50-50,5"/>
          <s v="50,5-51"/>
          <s v="51-51,5"/>
          <s v="51,5-52"/>
          <s v="52-52,5"/>
          <s v="52,5-53"/>
          <s v="53-53,5"/>
          <s v="53,5-54"/>
          <s v="54-54,5"/>
          <s v="54,5-55"/>
          <s v="55-55,5"/>
          <s v="55,5-56"/>
          <s v="56-56,5"/>
          <s v="56,5-57"/>
          <s v="57-57,5"/>
          <s v="57,5-58"/>
          <s v="58-58,5"/>
          <s v="58,5-59"/>
          <s v="59-59,5"/>
          <s v="59,5-60"/>
          <s v="60-60,5"/>
          <s v="60,5-61"/>
          <s v="61-61,5"/>
          <s v="61,5-62"/>
          <s v="62-62,5"/>
          <s v="62,5-63"/>
          <s v="63-63,5"/>
          <s v="63,5-64"/>
          <s v="64-64,5"/>
          <s v="64,5-65"/>
          <s v="65-65,5"/>
          <s v="65,5-66"/>
          <s v="66-66,5"/>
          <s v="66,5-67"/>
          <s v="67-67,5"/>
          <s v="67,5-68"/>
          <s v="68-68,5"/>
          <s v="68,5-69"/>
          <s v="69-69,5"/>
          <s v="69,5-70"/>
          <s v="70-70,5"/>
          <s v="70,5-71"/>
          <s v="71-71,5"/>
          <s v="71,5-72"/>
          <s v="72-72,5"/>
          <s v="72,5-73"/>
          <s v="73-73,5"/>
          <s v="73,5-74"/>
          <s v="74-74,5"/>
          <s v="74,5-75"/>
          <s v="75-75,5"/>
          <s v="75,5-76"/>
          <s v="76-76,5"/>
          <s v="&gt;76,5"/>
        </groupItems>
      </fieldGroup>
    </cacheField>
  </cacheFields>
  <extLst>
    <ext xmlns:x14="http://schemas.microsoft.com/office/spreadsheetml/2009/9/main" uri="{725AE2AE-9491-48be-B2B4-4EB974FC3084}">
      <x14:pivotCacheDefinition pivotCacheId="864761450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547239583335" createdVersion="8" refreshedVersion="8" minRefreshableVersion="3" recordCount="819" xr:uid="{35A54D50-F2E4-4902-BEB7-439431AFDDB8}">
  <cacheSource type="worksheet">
    <worksheetSource name="Cracow_Pivoted"/>
  </cacheSource>
  <cacheFields count="8">
    <cacheField name="Name" numFmtId="0">
      <sharedItems/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6" maxValue="2008"/>
    </cacheField>
    <cacheField name="Club" numFmtId="0">
      <sharedItems/>
    </cacheField>
    <cacheField name="All Around" numFmtId="0">
      <sharedItems/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 Dscore"/>
        <s v="AA Escore"/>
        <s v="AA Score"/>
      </sharedItems>
    </cacheField>
    <cacheField name="Value" numFmtId="0">
      <sharedItems containsSemiMixedTypes="0" containsString="0" containsNumber="1" minValue="0" maxValue="75.849999999999994" count="247">
        <n v="5.6"/>
        <n v="7.65"/>
        <n v="13.25"/>
        <n v="4.4000000000000004"/>
        <n v="7"/>
        <n v="11.4"/>
        <n v="4.3"/>
        <n v="7.85"/>
        <n v="12.15"/>
        <n v="5.2"/>
        <n v="8.0500000000000007"/>
        <n v="4.2"/>
        <n v="8.8000000000000007"/>
        <n v="13"/>
        <n v="8.4"/>
        <n v="12.8"/>
        <n v="28.1"/>
        <n v="47.75"/>
        <n v="75.849999999999994"/>
        <n v="5.3"/>
        <n v="7.25"/>
        <n v="12.55"/>
        <n v="7.7"/>
        <n v="12.9"/>
        <n v="4.0999999999999996"/>
        <n v="8.1"/>
        <n v="12.2"/>
        <n v="9.15"/>
        <n v="13.55"/>
        <n v="6.6"/>
        <n v="11.9"/>
        <n v="4.5999999999999996"/>
        <n v="8.15"/>
        <n v="12.75"/>
        <n v="28.9"/>
        <n v="46.949999999999996"/>
        <n v="4.5"/>
        <n v="8"/>
        <n v="12.5"/>
        <n v="3.8"/>
        <n v="11.8"/>
        <n v="8.5500000000000007"/>
        <n v="12.35"/>
        <n v="4"/>
        <n v="9.35"/>
        <n v="13.35"/>
        <n v="3.4"/>
        <n v="8.75"/>
        <n v="2.6"/>
        <n v="8.9"/>
        <n v="11.5"/>
        <n v="22.1"/>
        <n v="51.55"/>
        <n v="73.650000000000006"/>
        <n v="4.8"/>
        <n v="12.3"/>
        <n v="11.65"/>
        <n v="9.3000000000000007"/>
        <n v="13.3"/>
        <n v="7.1"/>
        <n v="3.7"/>
        <n v="11.85"/>
        <n v="25.4"/>
        <n v="47.6"/>
        <n v="73"/>
        <n v="5.4"/>
        <n v="8.25"/>
        <n v="13.65"/>
        <n v="6.5"/>
        <n v="10.7"/>
        <n v="5"/>
        <n v="13.1"/>
        <n v="6.45"/>
        <n v="10.95"/>
        <n v="6.65"/>
        <n v="11.25"/>
        <n v="44.050000000000004"/>
        <n v="72.95"/>
        <n v="10.8"/>
        <n v="7.2"/>
        <n v="11.6"/>
        <n v="8.35"/>
        <n v="13.15"/>
        <n v="8.3000000000000007"/>
        <n v="12.05"/>
        <n v="23.900000000000002"/>
        <n v="48.149999999999991"/>
        <n v="72.05"/>
        <n v="3.9"/>
        <n v="7.9"/>
        <n v="8.5"/>
        <n v="12.7"/>
        <n v="11.1"/>
        <n v="3.2"/>
        <n v="9.0500000000000007"/>
        <n v="12.25"/>
        <n v="3.5"/>
        <n v="9.1"/>
        <n v="12.6"/>
        <n v="2.5"/>
        <n v="10.65"/>
        <n v="20.7"/>
        <n v="50.4"/>
        <n v="71.099999999999994"/>
        <n v="3.6"/>
        <n v="12"/>
        <n v="8.1999999999999993"/>
        <n v="12.1"/>
        <n v="8.65"/>
        <n v="12.65"/>
        <n v="8.85"/>
        <n v="12.85"/>
        <n v="9.6999999999999993"/>
        <n v="21.6"/>
        <n v="49.300000000000004"/>
        <n v="70.900000000000006"/>
        <n v="3"/>
        <n v="21.4"/>
        <n v="48.7"/>
        <n v="70.099999999999994"/>
        <n v="3.1"/>
        <n v="3.05"/>
        <n v="6.15"/>
        <n v="2.8"/>
        <n v="9.9"/>
        <n v="6.85"/>
        <n v="10.55"/>
        <n v="2.7"/>
        <n v="10.9"/>
        <n v="20.799999999999997"/>
        <n v="42.7"/>
        <n v="63.5"/>
        <n v="7.8"/>
        <n v="2.9"/>
        <n v="10.15"/>
        <n v="19.899999999999999"/>
        <n v="43.6"/>
        <n v="4.9000000000000004"/>
        <n v="7.6"/>
        <n v="6.7"/>
        <n v="10.3"/>
        <n v="0"/>
        <n v="7.4"/>
        <n v="58.65"/>
        <n v="7.15"/>
        <n v="9.65"/>
        <n v="57.3"/>
        <n v="6.35"/>
        <n v="9.25"/>
        <n v="53.8"/>
        <n v="7.95"/>
        <n v="13.75"/>
        <n v="38.35"/>
        <n v="3.3"/>
        <n v="4.1500000000000004"/>
        <n v="7.45"/>
        <n v="6.55"/>
        <n v="8.6999999999999993"/>
        <n v="11.2"/>
        <n v="6.95"/>
        <n v="9.5500000000000007"/>
        <n v="37.25"/>
        <n v="4.7"/>
        <n v="6.8"/>
        <n v="11"/>
        <n v="35.200000000000003"/>
        <n v="11.55"/>
        <n v="35.1"/>
        <n v="7.05"/>
        <n v="11.45"/>
        <n v="11.35"/>
        <n v="34.049999999999997"/>
        <n v="7.55"/>
        <n v="11.75"/>
        <n v="10.1"/>
        <n v="11.95"/>
        <n v="2.1"/>
        <n v="10.6"/>
        <n v="22.55"/>
        <n v="21.85"/>
        <n v="5.75"/>
        <n v="19.600000000000001"/>
        <n v="8.4499999999999993"/>
        <n v="12.45"/>
        <n v="2.2000000000000002"/>
        <n v="8.6"/>
        <n v="9.4499999999999993"/>
        <n v="19.7"/>
        <n v="52.5"/>
        <n v="72.2"/>
        <n v="11.15"/>
        <n v="11.7"/>
        <n v="21.2"/>
        <n v="49.4"/>
        <n v="70.599999999999994"/>
        <n v="11.05"/>
        <n v="11.3"/>
        <n v="10.25"/>
        <n v="19.3"/>
        <n v="48.55"/>
        <n v="67.849999999999994"/>
        <n v="9.1999999999999993"/>
        <n v="12.4"/>
        <n v="20.399999999999999"/>
        <n v="45.900000000000006"/>
        <n v="66.3"/>
        <n v="2.2999999999999998"/>
        <n v="10.199999999999999"/>
        <n v="10.85"/>
        <n v="17.2"/>
        <n v="47.5"/>
        <n v="64.7"/>
        <n v="2.4"/>
        <n v="10.45"/>
        <n v="1.8"/>
        <n v="16.5"/>
        <n v="64"/>
        <n v="10.75"/>
        <n v="17.8"/>
        <n v="45.9"/>
        <n v="63.7"/>
        <n v="4.95"/>
        <n v="1.9"/>
        <n v="10.5"/>
        <n v="15.6"/>
        <n v="44.150000000000006"/>
        <n v="59.75"/>
        <n v="2.75"/>
        <n v="1.6"/>
        <n v="9"/>
        <n v="7.75"/>
        <n v="14"/>
        <n v="42.45"/>
        <n v="56.45"/>
        <n v="1.7"/>
        <n v="10.4"/>
        <n v="51.2"/>
        <n v="5.7"/>
        <n v="9.75"/>
        <n v="47.05"/>
        <n v="2"/>
        <n v="7.35"/>
        <n v="39.6"/>
        <n v="34.549999999999997"/>
        <n v="6.2"/>
        <n v="30.95"/>
        <n v="22.75"/>
      </sharedItems>
      <fieldGroup base="7">
        <rangePr autoStart="0" startNum="2.6" endNum="75.849999999999994" groupInterval="0.5"/>
        <groupItems count="149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37,1-37,6"/>
          <s v="37,6-38,1"/>
          <s v="38,1-38,6"/>
          <s v="38,6-39,1"/>
          <s v="39,1-39,6"/>
          <s v="39,6-40,1"/>
          <s v="40,1-40,6"/>
          <s v="40,6-41,1"/>
          <s v="41,1-41,6"/>
          <s v="41,6-42,1"/>
          <s v="42,1-42,6"/>
          <s v="42,6-43,1"/>
          <s v="43,1-43,6"/>
          <s v="43,6-44,1"/>
          <s v="44,1-44,6"/>
          <s v="44,6-45,1"/>
          <s v="45,1-45,6"/>
          <s v="45,6-46,1"/>
          <s v="46,1-46,6"/>
          <s v="46,6-47,1"/>
          <s v="47,1-47,6"/>
          <s v="47,6-48,1"/>
          <s v="48,1-48,6"/>
          <s v="48,6-49,1"/>
          <s v="49,1-49,6"/>
          <s v="49,6-50,1"/>
          <s v="50,1-50,6"/>
          <s v="50,6-51,1"/>
          <s v="51,1-51,6"/>
          <s v="51,6-52,1"/>
          <s v="52,1-52,6"/>
          <s v="52,6-53,1"/>
          <s v="53,1-53,6"/>
          <s v="53,6-54,1"/>
          <s v="54,1-54,6"/>
          <s v="54,6-55,1"/>
          <s v="55,1-55,6"/>
          <s v="55,6-56,1"/>
          <s v="56,1-56,6"/>
          <s v="56,6-57,1"/>
          <s v="57,1-57,6"/>
          <s v="57,6-58,1"/>
          <s v="58,1-58,6"/>
          <s v="58,6-59,1"/>
          <s v="59,1-59,6"/>
          <s v="59,6-60,1"/>
          <s v="60,1-60,6"/>
          <s v="60,6-61,1"/>
          <s v="61,1-61,6"/>
          <s v="61,6-62,1"/>
          <s v="62,1-62,6"/>
          <s v="62,6-63,1"/>
          <s v="63,1-63,6"/>
          <s v="63,6-64,1"/>
          <s v="64,1-64,6"/>
          <s v="64,6-65,1"/>
          <s v="65,1-65,6"/>
          <s v="65,6-66,1"/>
          <s v="66,1-66,6"/>
          <s v="66,6-67,1"/>
          <s v="67,1-67,6"/>
          <s v="67,6-68,1"/>
          <s v="68,1-68,6"/>
          <s v="68,6-69,1"/>
          <s v="69,1-69,6"/>
          <s v="69,6-70,1"/>
          <s v="70,1-70,6"/>
          <s v="70,6-71,1"/>
          <s v="71,1-71,6"/>
          <s v="71,6-72,1"/>
          <s v="72,1-72,6"/>
          <s v="72,6-73,1"/>
          <s v="73,1-73,6"/>
          <s v="73,6-74,1"/>
          <s v="74,1-74,6"/>
          <s v="74,6-75,1"/>
          <s v="75,1-75,6"/>
          <s v="75,6-76,1"/>
          <s v="&gt;76,1"/>
        </groupItems>
      </fieldGroup>
    </cacheField>
  </cacheFields>
  <extLst>
    <ext xmlns:x14="http://schemas.microsoft.com/office/spreadsheetml/2009/9/main" uri="{725AE2AE-9491-48be-B2B4-4EB974FC3084}">
      <x14:pivotCacheDefinition pivotCacheId="717721964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Michal" refreshedDate="45160.554308333332" createdVersion="8" refreshedVersion="8" minRefreshableVersion="3" recordCount="693" xr:uid="{48BC611F-2A78-4939-9FC4-76B8DE64F0A5}">
  <cacheSource type="worksheet">
    <worksheetSource name="Gdansk_result__2"/>
  </cacheSource>
  <cacheFields count="8">
    <cacheField name="Name" numFmtId="0">
      <sharedItems/>
    </cacheField>
    <cacheField name="Category" numFmtId="0">
      <sharedItems count="2">
        <s v="senior"/>
        <s v="junior"/>
      </sharedItems>
    </cacheField>
    <cacheField name="Birth_year" numFmtId="0">
      <sharedItems containsSemiMixedTypes="0" containsString="0" containsNumber="1" containsInteger="1" minValue="1996" maxValue="2008"/>
    </cacheField>
    <cacheField name="Club" numFmtId="0">
      <sharedItems/>
    </cacheField>
    <cacheField name="All Around" numFmtId="0">
      <sharedItems/>
    </cacheField>
    <cacheField name="Apparatus" numFmtId="0">
      <sharedItems count="7">
        <s v="Floor Exercise"/>
        <s v="Pommel Horse"/>
        <s v="Still Rings"/>
        <s v="Vault"/>
        <s v="Paralell Bars"/>
        <s v="Horizontal Bar"/>
        <s v="All Around"/>
      </sharedItems>
    </cacheField>
    <cacheField name="Score Type " numFmtId="0">
      <sharedItems count="6">
        <s v="Dscore"/>
        <s v="Escore"/>
        <s v="Total Score"/>
        <s v="AA Dscore"/>
        <s v="AA Escore"/>
        <s v="AA Score"/>
      </sharedItems>
    </cacheField>
    <cacheField name="Value" numFmtId="0">
      <sharedItems containsSemiMixedTypes="0" containsString="0" containsNumber="1" minValue="0" maxValue="72.55" count="200">
        <n v="5.6"/>
        <n v="6.65"/>
        <n v="12.25"/>
        <n v="4.4000000000000004"/>
        <n v="5"/>
        <n v="9.4"/>
        <n v="4.2"/>
        <n v="8"/>
        <n v="12.2"/>
        <n v="4.8"/>
        <n v="8.3000000000000007"/>
        <n v="13.1"/>
        <n v="9.1999999999999993"/>
        <n v="13.4"/>
        <n v="27.4"/>
        <n v="45.15"/>
        <n v="72.55"/>
        <n v="5.4"/>
        <n v="7.4"/>
        <n v="12.8"/>
        <n v="4.9000000000000004"/>
        <n v="6"/>
        <n v="10.9"/>
        <n v="2.8"/>
        <n v="12"/>
        <n v="12.7"/>
        <n v="5.3"/>
        <n v="7"/>
        <n v="12.3"/>
        <n v="6.9"/>
        <n v="11.8"/>
        <n v="27.700000000000003"/>
        <n v="44.800000000000004"/>
        <n v="72.5"/>
        <n v="5.8"/>
        <n v="11.2"/>
        <n v="4.0999999999999996"/>
        <n v="7.9"/>
        <n v="6.6"/>
        <n v="11.9"/>
        <n v="5.2"/>
        <n v="13.2"/>
        <n v="6.3"/>
        <n v="11.1"/>
        <n v="30.099999999999998"/>
        <n v="41.599999999999994"/>
        <n v="71.7"/>
        <n v="3.9"/>
        <n v="7.3"/>
        <n v="3.2"/>
        <n v="7.8"/>
        <n v="11"/>
        <n v="8.1999999999999993"/>
        <n v="12.1"/>
        <n v="4"/>
        <n v="8.6999999999999993"/>
        <n v="3.4"/>
        <n v="9"/>
        <n v="12.4"/>
        <n v="3.6"/>
        <n v="22"/>
        <n v="49.3"/>
        <n v="71.3"/>
        <n v="6.4"/>
        <n v="9.8000000000000007"/>
        <n v="3.8"/>
        <n v="11.7"/>
        <n v="13"/>
        <n v="3"/>
        <n v="8.8000000000000007"/>
        <n v="3.3"/>
        <n v="11.3"/>
        <n v="21.400000000000002"/>
        <n v="48"/>
        <n v="69.400000000000006"/>
        <n v="5.0999999999999996"/>
        <n v="6.8"/>
        <n v="2.7"/>
        <n v="7.7"/>
        <n v="4.3"/>
        <n v="3.7"/>
        <n v="24.4"/>
        <n v="44"/>
        <n v="68.400000000000006"/>
        <n v="6.2"/>
        <n v="10.4"/>
        <n v="10.7"/>
        <n v="7.5"/>
        <n v="11.6"/>
        <n v="8.9"/>
        <n v="12.9"/>
        <n v="10.6"/>
        <n v="22.5"/>
        <n v="44.4"/>
        <n v="66.900000000000006"/>
        <n v="11.4"/>
        <n v="3.5"/>
        <n v="5.5"/>
        <n v="3.1"/>
        <n v="11.5"/>
        <n v="2.5"/>
        <n v="20.599999999999998"/>
        <n v="44.8"/>
        <n v="65.400000000000006"/>
        <n v="10.3"/>
        <n v="2.6"/>
        <n v="7.6"/>
        <n v="10.199999999999999"/>
        <n v="20.700000000000003"/>
        <n v="43.2"/>
        <n v="63.9"/>
        <n v="4.7"/>
        <n v="6.7"/>
        <n v="2.9"/>
        <n v="7.1"/>
        <n v="10"/>
        <n v="10.1"/>
        <n v="8.4"/>
        <n v="20.500000000000004"/>
        <n v="43.1"/>
        <n v="63.6"/>
        <n v="9.9"/>
        <n v="19.200000000000003"/>
        <n v="43.5"/>
        <n v="62.7"/>
        <n v="7.45"/>
        <n v="11.05"/>
        <n v="10.8"/>
        <n v="2.4"/>
        <n v="2.2000000000000002"/>
        <n v="1"/>
        <n v="18.5"/>
        <n v="37.75"/>
        <n v="56.25"/>
        <n v="1.9"/>
        <n v="6.1"/>
        <n v="14.799999999999999"/>
        <n v="40.6"/>
        <n v="55.4"/>
        <n v="7.2"/>
        <n v="0"/>
        <n v="48.7"/>
        <n v="5.7"/>
        <n v="9.3000000000000007"/>
        <n v="34"/>
        <n v="28.5"/>
        <n v="12.5"/>
        <n v="24.6"/>
        <n v="4.5"/>
        <n v="6.5"/>
        <n v="17.3"/>
        <n v="10.5"/>
        <n v="19.599999999999998"/>
        <n v="50.400000000000006"/>
        <n v="70"/>
        <n v="9.1"/>
        <n v="20.099999999999998"/>
        <n v="46.3"/>
        <n v="66.400000000000006"/>
        <n v="2.2999999999999998"/>
        <n v="8.6"/>
        <n v="12.6"/>
        <n v="20.399999999999999"/>
        <n v="45.900000000000006"/>
        <n v="66.3"/>
        <n v="9.6"/>
        <n v="19.099999999999998"/>
        <n v="45.4"/>
        <n v="64.5"/>
        <n v="8.5"/>
        <n v="15.7"/>
        <n v="48.5"/>
        <n v="64.2"/>
        <n v="8.1"/>
        <n v="17.599999999999998"/>
        <n v="46.2"/>
        <n v="63.8"/>
        <n v="19.5"/>
        <n v="43.8"/>
        <n v="63.3"/>
        <n v="5.9"/>
        <n v="17.900000000000002"/>
        <n v="45.199999999999996"/>
        <n v="63.1"/>
        <n v="2"/>
        <n v="1.8"/>
        <n v="9.6999999999999993"/>
        <n v="15.000000000000002"/>
        <n v="47.699999999999996"/>
        <n v="1.6"/>
        <n v="13.9"/>
        <n v="48.2"/>
        <n v="62.1"/>
        <n v="1.7"/>
        <n v="1.5"/>
        <n v="12.600000000000001"/>
        <n v="40.299999999999997"/>
        <n v="52.9"/>
        <n v="50.8"/>
        <n v="37.1"/>
      </sharedItems>
      <fieldGroup base="7">
        <rangePr autoStart="0" startNum="2.6" endNum="72.55" groupInterval="0.5"/>
        <groupItems count="142">
          <s v="&lt;2,6"/>
          <s v="2,6-3,1"/>
          <s v="3,1-3,6"/>
          <s v="3,6-4,1"/>
          <s v="4,1-4,6"/>
          <s v="4,6-5,1"/>
          <s v="5,1-5,6"/>
          <s v="5,6-6,1"/>
          <s v="6,1-6,6"/>
          <s v="6,6-7,1"/>
          <s v="7,1-7,6"/>
          <s v="7,6-8,1"/>
          <s v="8,1-8,6"/>
          <s v="8,6-9,1"/>
          <s v="9,1-9,6"/>
          <s v="9,6-10,1"/>
          <s v="10,1-10,6"/>
          <s v="10,6-11,1"/>
          <s v="11,1-11,6"/>
          <s v="11,6-12,1"/>
          <s v="12,1-12,6"/>
          <s v="12,6-13,1"/>
          <s v="13,1-13,6"/>
          <s v="13,6-14,1"/>
          <s v="14,1-14,6"/>
          <s v="14,6-15,1"/>
          <s v="15,1-15,6"/>
          <s v="15,6-16,1"/>
          <s v="16,1-16,6"/>
          <s v="16,6-17,1"/>
          <s v="17,1-17,6"/>
          <s v="17,6-18,1"/>
          <s v="18,1-18,6"/>
          <s v="18,6-19,1"/>
          <s v="19,1-19,6"/>
          <s v="19,6-20,1"/>
          <s v="20,1-20,6"/>
          <s v="20,6-21,1"/>
          <s v="21,1-21,6"/>
          <s v="21,6-22,1"/>
          <s v="22,1-22,6"/>
          <s v="22,6-23,1"/>
          <s v="23,1-23,6"/>
          <s v="23,6-24,1"/>
          <s v="24,1-24,6"/>
          <s v="24,6-25,1"/>
          <s v="25,1-25,6"/>
          <s v="25,6-26,1"/>
          <s v="26,1-26,6"/>
          <s v="26,6-27,1"/>
          <s v="27,1-27,6"/>
          <s v="27,6-28,1"/>
          <s v="28,1-28,6"/>
          <s v="28,6-29,1"/>
          <s v="29,1-29,6"/>
          <s v="29,6-30,1"/>
          <s v="30,1-30,6"/>
          <s v="30,6-31,1"/>
          <s v="31,1-31,6"/>
          <s v="31,6-32,1"/>
          <s v="32,1-32,6"/>
          <s v="32,6-33,1"/>
          <s v="33,1-33,6"/>
          <s v="33,6-34,1"/>
          <s v="34,1-34,6"/>
          <s v="34,6-35,1"/>
          <s v="35,1-35,6"/>
          <s v="35,6-36,1"/>
          <s v="36,1-36,6"/>
          <s v="36,6-37,1"/>
          <s v="37,1-37,6"/>
          <s v="37,6-38,1"/>
          <s v="38,1-38,6"/>
          <s v="38,6-39,1"/>
          <s v="39,1-39,6"/>
          <s v="39,6-40,1"/>
          <s v="40,1-40,6"/>
          <s v="40,6-41,1"/>
          <s v="41,1-41,6"/>
          <s v="41,6-42,1"/>
          <s v="42,1-42,6"/>
          <s v="42,6-43,1"/>
          <s v="43,1-43,6"/>
          <s v="43,6-44,1"/>
          <s v="44,1-44,6"/>
          <s v="44,6-45,1"/>
          <s v="45,1-45,6"/>
          <s v="45,6-46,1"/>
          <s v="46,1-46,6"/>
          <s v="46,6-47,1"/>
          <s v="47,1-47,6"/>
          <s v="47,6-48,1"/>
          <s v="48,1-48,6"/>
          <s v="48,6-49,1"/>
          <s v="49,1-49,6"/>
          <s v="49,6-50,1"/>
          <s v="50,1-50,6"/>
          <s v="50,6-51,1"/>
          <s v="51,1-51,6"/>
          <s v="51,6-52,1"/>
          <s v="52,1-52,6"/>
          <s v="52,6-53,1"/>
          <s v="53,1-53,6"/>
          <s v="53,6-54,1"/>
          <s v="54,1-54,6"/>
          <s v="54,6-55,1"/>
          <s v="55,1-55,6"/>
          <s v="55,6-56,1"/>
          <s v="56,1-56,6"/>
          <s v="56,6-57,1"/>
          <s v="57,1-57,6"/>
          <s v="57,6-58,1"/>
          <s v="58,1-58,6"/>
          <s v="58,6-59,1"/>
          <s v="59,1-59,6"/>
          <s v="59,6-60,1"/>
          <s v="60,1-60,6"/>
          <s v="60,6-61,1"/>
          <s v="61,1-61,6"/>
          <s v="61,6-62,1"/>
          <s v="62,1-62,6"/>
          <s v="62,6-63,1"/>
          <s v="63,1-63,6"/>
          <s v="63,6-64,1"/>
          <s v="64,1-64,6"/>
          <s v="64,6-65,1"/>
          <s v="65,1-65,6"/>
          <s v="65,6-66,1"/>
          <s v="66,1-66,6"/>
          <s v="66,6-67,1"/>
          <s v="67,1-67,6"/>
          <s v="67,6-68,1"/>
          <s v="68,1-68,6"/>
          <s v="68,6-69,1"/>
          <s v="69,1-69,6"/>
          <s v="69,6-70,1"/>
          <s v="70,1-70,6"/>
          <s v="70,6-71,1"/>
          <s v="71,1-71,6"/>
          <s v="71,6-72,1"/>
          <s v="72,1-72,6"/>
          <s v="&gt;72,6"/>
        </groupItems>
      </fieldGroup>
    </cacheField>
  </cacheFields>
  <extLst>
    <ext xmlns:x14="http://schemas.microsoft.com/office/spreadsheetml/2009/9/main" uri="{725AE2AE-9491-48be-B2B4-4EB974FC3084}">
      <x14:pivotCacheDefinition pivotCacheId="2110073000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72">
  <r>
    <s v="SASNAL Filip"/>
    <x v="0"/>
    <n v="1997"/>
    <s v="KS AZS AWF Kraków"/>
    <s v="Yes"/>
    <s v="Bydgoszcz"/>
    <x v="0"/>
    <x v="0"/>
    <x v="0"/>
  </r>
  <r>
    <s v="SASNAL Filip"/>
    <x v="0"/>
    <n v="1997"/>
    <s v="KS AZS AWF Kraków"/>
    <s v="Yes"/>
    <s v="Bydgoszcz"/>
    <x v="0"/>
    <x v="1"/>
    <x v="1"/>
  </r>
  <r>
    <s v="SASNAL Filip"/>
    <x v="0"/>
    <n v="1997"/>
    <s v="KS AZS AWF Kraków"/>
    <s v="Yes"/>
    <s v="Bydgoszcz"/>
    <x v="0"/>
    <x v="2"/>
    <x v="2"/>
  </r>
  <r>
    <s v="SASNAL Filip"/>
    <x v="0"/>
    <n v="1997"/>
    <s v="KS AZS AWF Kraków"/>
    <s v="Yes"/>
    <s v="Bydgoszcz"/>
    <x v="1"/>
    <x v="0"/>
    <x v="3"/>
  </r>
  <r>
    <s v="SASNAL Filip"/>
    <x v="0"/>
    <n v="1997"/>
    <s v="KS AZS AWF Kraków"/>
    <s v="Yes"/>
    <s v="Bydgoszcz"/>
    <x v="1"/>
    <x v="1"/>
    <x v="4"/>
  </r>
  <r>
    <s v="SASNAL Filip"/>
    <x v="0"/>
    <n v="1997"/>
    <s v="KS AZS AWF Kraków"/>
    <s v="Yes"/>
    <s v="Bydgoszcz"/>
    <x v="1"/>
    <x v="2"/>
    <x v="5"/>
  </r>
  <r>
    <s v="SASNAL Filip"/>
    <x v="0"/>
    <n v="1997"/>
    <s v="KS AZS AWF Kraków"/>
    <s v="Yes"/>
    <s v="Bydgoszcz"/>
    <x v="2"/>
    <x v="0"/>
    <x v="6"/>
  </r>
  <r>
    <s v="SASNAL Filip"/>
    <x v="0"/>
    <n v="1997"/>
    <s v="KS AZS AWF Kraków"/>
    <s v="Yes"/>
    <s v="Bydgoszcz"/>
    <x v="2"/>
    <x v="1"/>
    <x v="7"/>
  </r>
  <r>
    <s v="SASNAL Filip"/>
    <x v="0"/>
    <n v="1997"/>
    <s v="KS AZS AWF Kraków"/>
    <s v="Yes"/>
    <s v="Bydgoszcz"/>
    <x v="2"/>
    <x v="2"/>
    <x v="8"/>
  </r>
  <r>
    <s v="SASNAL Filip"/>
    <x v="0"/>
    <n v="1997"/>
    <s v="KS AZS AWF Kraków"/>
    <s v="Yes"/>
    <s v="Bydgoszcz"/>
    <x v="3"/>
    <x v="0"/>
    <x v="9"/>
  </r>
  <r>
    <s v="SASNAL Filip"/>
    <x v="0"/>
    <n v="1997"/>
    <s v="KS AZS AWF Kraków"/>
    <s v="Yes"/>
    <s v="Bydgoszcz"/>
    <x v="3"/>
    <x v="1"/>
    <x v="10"/>
  </r>
  <r>
    <s v="SASNAL Filip"/>
    <x v="0"/>
    <n v="1997"/>
    <s v="KS AZS AWF Kraków"/>
    <s v="Yes"/>
    <s v="Bydgoszcz"/>
    <x v="3"/>
    <x v="2"/>
    <x v="11"/>
  </r>
  <r>
    <s v="SASNAL Filip"/>
    <x v="0"/>
    <n v="1997"/>
    <s v="KS AZS AWF Kraków"/>
    <s v="Yes"/>
    <s v="Bydgoszcz"/>
    <x v="4"/>
    <x v="0"/>
    <x v="12"/>
  </r>
  <r>
    <s v="SASNAL Filip"/>
    <x v="0"/>
    <n v="1997"/>
    <s v="KS AZS AWF Kraków"/>
    <s v="Yes"/>
    <s v="Bydgoszcz"/>
    <x v="4"/>
    <x v="1"/>
    <x v="13"/>
  </r>
  <r>
    <s v="SASNAL Filip"/>
    <x v="0"/>
    <n v="1997"/>
    <s v="KS AZS AWF Kraków"/>
    <s v="Yes"/>
    <s v="Bydgoszcz"/>
    <x v="4"/>
    <x v="2"/>
    <x v="14"/>
  </r>
  <r>
    <s v="SASNAL Filip"/>
    <x v="0"/>
    <n v="1997"/>
    <s v="KS AZS AWF Kraków"/>
    <s v="Yes"/>
    <s v="Bydgoszcz"/>
    <x v="5"/>
    <x v="0"/>
    <x v="3"/>
  </r>
  <r>
    <s v="SASNAL Filip"/>
    <x v="0"/>
    <n v="1997"/>
    <s v="KS AZS AWF Kraków"/>
    <s v="Yes"/>
    <s v="Bydgoszcz"/>
    <x v="5"/>
    <x v="1"/>
    <x v="15"/>
  </r>
  <r>
    <s v="SASNAL Filip"/>
    <x v="0"/>
    <n v="1997"/>
    <s v="KS AZS AWF Kraków"/>
    <s v="Yes"/>
    <s v="Bydgoszcz"/>
    <x v="5"/>
    <x v="2"/>
    <x v="16"/>
  </r>
  <r>
    <s v="SASNAL Filip"/>
    <x v="0"/>
    <n v="1997"/>
    <s v="KS AZS AWF Kraków"/>
    <s v="Yes"/>
    <s v="Bydgoszcz"/>
    <x v="6"/>
    <x v="3"/>
    <x v="17"/>
  </r>
  <r>
    <s v="SASNAL Filip"/>
    <x v="0"/>
    <n v="1997"/>
    <s v="KS AZS AWF Kraków"/>
    <s v="Yes"/>
    <s v="Bydgoszcz"/>
    <x v="6"/>
    <x v="4"/>
    <x v="18"/>
  </r>
  <r>
    <s v="SASNAL Filip"/>
    <x v="0"/>
    <n v="1997"/>
    <s v="KS AZS AWF Kraków"/>
    <s v="Yes"/>
    <s v="Bydgoszcz"/>
    <x v="6"/>
    <x v="5"/>
    <x v="19"/>
  </r>
  <r>
    <s v="KAŚKOW Paweł"/>
    <x v="0"/>
    <n v="2000"/>
    <s v="KS AZS AWFiS Gdańsk"/>
    <s v="Yes"/>
    <s v="Bydgoszcz"/>
    <x v="0"/>
    <x v="0"/>
    <x v="3"/>
  </r>
  <r>
    <s v="KAŚKOW Paweł"/>
    <x v="0"/>
    <n v="2000"/>
    <s v="KS AZS AWFiS Gdańsk"/>
    <s v="Yes"/>
    <s v="Bydgoszcz"/>
    <x v="0"/>
    <x v="1"/>
    <x v="10"/>
  </r>
  <r>
    <s v="KAŚKOW Paweł"/>
    <x v="0"/>
    <n v="2000"/>
    <s v="KS AZS AWFiS Gdańsk"/>
    <s v="Yes"/>
    <s v="Bydgoszcz"/>
    <x v="0"/>
    <x v="2"/>
    <x v="20"/>
  </r>
  <r>
    <s v="KAŚKOW Paweł"/>
    <x v="0"/>
    <n v="2000"/>
    <s v="KS AZS AWFiS Gdańsk"/>
    <s v="Yes"/>
    <s v="Bydgoszcz"/>
    <x v="1"/>
    <x v="0"/>
    <x v="12"/>
  </r>
  <r>
    <s v="KAŚKOW Paweł"/>
    <x v="0"/>
    <n v="2000"/>
    <s v="KS AZS AWFiS Gdańsk"/>
    <s v="Yes"/>
    <s v="Bydgoszcz"/>
    <x v="1"/>
    <x v="1"/>
    <x v="15"/>
  </r>
  <r>
    <s v="KAŚKOW Paweł"/>
    <x v="0"/>
    <n v="2000"/>
    <s v="KS AZS AWFiS Gdańsk"/>
    <s v="Yes"/>
    <s v="Bydgoszcz"/>
    <x v="1"/>
    <x v="2"/>
    <x v="21"/>
  </r>
  <r>
    <s v="KAŚKOW Paweł"/>
    <x v="0"/>
    <n v="2000"/>
    <s v="KS AZS AWFiS Gdańsk"/>
    <s v="Yes"/>
    <s v="Bydgoszcz"/>
    <x v="2"/>
    <x v="0"/>
    <x v="22"/>
  </r>
  <r>
    <s v="KAŚKOW Paweł"/>
    <x v="0"/>
    <n v="2000"/>
    <s v="KS AZS AWFiS Gdańsk"/>
    <s v="Yes"/>
    <s v="Bydgoszcz"/>
    <x v="2"/>
    <x v="1"/>
    <x v="23"/>
  </r>
  <r>
    <s v="KAŚKOW Paweł"/>
    <x v="0"/>
    <n v="2000"/>
    <s v="KS AZS AWFiS Gdańsk"/>
    <s v="Yes"/>
    <s v="Bydgoszcz"/>
    <x v="2"/>
    <x v="2"/>
    <x v="24"/>
  </r>
  <r>
    <s v="KAŚKOW Paweł"/>
    <x v="0"/>
    <n v="2000"/>
    <s v="KS AZS AWFiS Gdańsk"/>
    <s v="Yes"/>
    <s v="Bydgoszcz"/>
    <x v="3"/>
    <x v="0"/>
    <x v="25"/>
  </r>
  <r>
    <s v="KAŚKOW Paweł"/>
    <x v="0"/>
    <n v="2000"/>
    <s v="KS AZS AWFiS Gdańsk"/>
    <s v="Yes"/>
    <s v="Bydgoszcz"/>
    <x v="3"/>
    <x v="1"/>
    <x v="26"/>
  </r>
  <r>
    <s v="KAŚKOW Paweł"/>
    <x v="0"/>
    <n v="2000"/>
    <s v="KS AZS AWFiS Gdańsk"/>
    <s v="Yes"/>
    <s v="Bydgoszcz"/>
    <x v="3"/>
    <x v="2"/>
    <x v="27"/>
  </r>
  <r>
    <s v="KAŚKOW Paweł"/>
    <x v="0"/>
    <n v="2000"/>
    <s v="KS AZS AWFiS Gdańsk"/>
    <s v="Yes"/>
    <s v="Bydgoszcz"/>
    <x v="4"/>
    <x v="0"/>
    <x v="22"/>
  </r>
  <r>
    <s v="KAŚKOW Paweł"/>
    <x v="0"/>
    <n v="2000"/>
    <s v="KS AZS AWFiS Gdańsk"/>
    <s v="Yes"/>
    <s v="Bydgoszcz"/>
    <x v="4"/>
    <x v="1"/>
    <x v="28"/>
  </r>
  <r>
    <s v="KAŚKOW Paweł"/>
    <x v="0"/>
    <n v="2000"/>
    <s v="KS AZS AWFiS Gdańsk"/>
    <s v="Yes"/>
    <s v="Bydgoszcz"/>
    <x v="4"/>
    <x v="2"/>
    <x v="29"/>
  </r>
  <r>
    <s v="KAŚKOW Paweł"/>
    <x v="0"/>
    <n v="2000"/>
    <s v="KS AZS AWFiS Gdańsk"/>
    <s v="Yes"/>
    <s v="Bydgoszcz"/>
    <x v="5"/>
    <x v="0"/>
    <x v="30"/>
  </r>
  <r>
    <s v="KAŚKOW Paweł"/>
    <x v="0"/>
    <n v="2000"/>
    <s v="KS AZS AWFiS Gdańsk"/>
    <s v="Yes"/>
    <s v="Bydgoszcz"/>
    <x v="5"/>
    <x v="1"/>
    <x v="31"/>
  </r>
  <r>
    <s v="KAŚKOW Paweł"/>
    <x v="0"/>
    <n v="2000"/>
    <s v="KS AZS AWFiS Gdańsk"/>
    <s v="Yes"/>
    <s v="Bydgoszcz"/>
    <x v="5"/>
    <x v="2"/>
    <x v="32"/>
  </r>
  <r>
    <s v="KAŚKOW Paweł"/>
    <x v="0"/>
    <n v="2000"/>
    <s v="KS AZS AWFiS Gdańsk"/>
    <s v="Yes"/>
    <s v="Bydgoszcz"/>
    <x v="6"/>
    <x v="3"/>
    <x v="33"/>
  </r>
  <r>
    <s v="KAŚKOW Paweł"/>
    <x v="0"/>
    <n v="2000"/>
    <s v="KS AZS AWFiS Gdańsk"/>
    <s v="Yes"/>
    <s v="Bydgoszcz"/>
    <x v="6"/>
    <x v="4"/>
    <x v="34"/>
  </r>
  <r>
    <s v="KAŚKOW Paweł"/>
    <x v="0"/>
    <n v="2000"/>
    <s v="KS AZS AWFiS Gdańsk"/>
    <s v="Yes"/>
    <s v="Bydgoszcz"/>
    <x v="6"/>
    <x v="5"/>
    <x v="35"/>
  </r>
  <r>
    <s v="NOWAK Maciej"/>
    <x v="0"/>
    <n v="2001"/>
    <s v="KS AZS AWF Katowice"/>
    <s v="Yes"/>
    <s v="Bydgoszcz"/>
    <x v="0"/>
    <x v="0"/>
    <x v="36"/>
  </r>
  <r>
    <s v="NOWAK Maciej"/>
    <x v="0"/>
    <n v="2001"/>
    <s v="KS AZS AWF Katowice"/>
    <s v="Yes"/>
    <s v="Bydgoszcz"/>
    <x v="0"/>
    <x v="1"/>
    <x v="10"/>
  </r>
  <r>
    <s v="NOWAK Maciej"/>
    <x v="0"/>
    <n v="2001"/>
    <s v="KS AZS AWF Katowice"/>
    <s v="Yes"/>
    <s v="Bydgoszcz"/>
    <x v="0"/>
    <x v="2"/>
    <x v="37"/>
  </r>
  <r>
    <s v="NOWAK Maciej"/>
    <x v="0"/>
    <n v="2001"/>
    <s v="KS AZS AWF Katowice"/>
    <s v="Yes"/>
    <s v="Bydgoszcz"/>
    <x v="1"/>
    <x v="0"/>
    <x v="22"/>
  </r>
  <r>
    <s v="NOWAK Maciej"/>
    <x v="0"/>
    <n v="2001"/>
    <s v="KS AZS AWF Katowice"/>
    <s v="Yes"/>
    <s v="Bydgoszcz"/>
    <x v="1"/>
    <x v="1"/>
    <x v="38"/>
  </r>
  <r>
    <s v="NOWAK Maciej"/>
    <x v="0"/>
    <n v="2001"/>
    <s v="KS AZS AWF Katowice"/>
    <s v="Yes"/>
    <s v="Bydgoszcz"/>
    <x v="1"/>
    <x v="2"/>
    <x v="39"/>
  </r>
  <r>
    <s v="NOWAK Maciej"/>
    <x v="0"/>
    <n v="2001"/>
    <s v="KS AZS AWF Katowice"/>
    <s v="Yes"/>
    <s v="Bydgoszcz"/>
    <x v="2"/>
    <x v="0"/>
    <x v="40"/>
  </r>
  <r>
    <s v="NOWAK Maciej"/>
    <x v="0"/>
    <n v="2001"/>
    <s v="KS AZS AWF Katowice"/>
    <s v="Yes"/>
    <s v="Bydgoszcz"/>
    <x v="2"/>
    <x v="1"/>
    <x v="15"/>
  </r>
  <r>
    <s v="NOWAK Maciej"/>
    <x v="0"/>
    <n v="2001"/>
    <s v="KS AZS AWF Katowice"/>
    <s v="Yes"/>
    <s v="Bydgoszcz"/>
    <x v="2"/>
    <x v="2"/>
    <x v="41"/>
  </r>
  <r>
    <s v="NOWAK Maciej"/>
    <x v="0"/>
    <n v="2001"/>
    <s v="KS AZS AWF Katowice"/>
    <s v="Yes"/>
    <s v="Bydgoszcz"/>
    <x v="3"/>
    <x v="0"/>
    <x v="42"/>
  </r>
  <r>
    <s v="NOWAK Maciej"/>
    <x v="0"/>
    <n v="2001"/>
    <s v="KS AZS AWF Katowice"/>
    <s v="Yes"/>
    <s v="Bydgoszcz"/>
    <x v="3"/>
    <x v="1"/>
    <x v="43"/>
  </r>
  <r>
    <s v="NOWAK Maciej"/>
    <x v="0"/>
    <n v="2001"/>
    <s v="KS AZS AWF Katowice"/>
    <s v="Yes"/>
    <s v="Bydgoszcz"/>
    <x v="3"/>
    <x v="2"/>
    <x v="44"/>
  </r>
  <r>
    <s v="NOWAK Maciej"/>
    <x v="0"/>
    <n v="2001"/>
    <s v="KS AZS AWF Katowice"/>
    <s v="Yes"/>
    <s v="Bydgoszcz"/>
    <x v="4"/>
    <x v="0"/>
    <x v="45"/>
  </r>
  <r>
    <s v="NOWAK Maciej"/>
    <x v="0"/>
    <n v="2001"/>
    <s v="KS AZS AWF Katowice"/>
    <s v="Yes"/>
    <s v="Bydgoszcz"/>
    <x v="4"/>
    <x v="1"/>
    <x v="38"/>
  </r>
  <r>
    <s v="NOWAK Maciej"/>
    <x v="0"/>
    <n v="2001"/>
    <s v="KS AZS AWF Katowice"/>
    <s v="Yes"/>
    <s v="Bydgoszcz"/>
    <x v="4"/>
    <x v="2"/>
    <x v="46"/>
  </r>
  <r>
    <s v="NOWAK Maciej"/>
    <x v="0"/>
    <n v="2001"/>
    <s v="KS AZS AWF Katowice"/>
    <s v="Yes"/>
    <s v="Bydgoszcz"/>
    <x v="5"/>
    <x v="0"/>
    <x v="47"/>
  </r>
  <r>
    <s v="NOWAK Maciej"/>
    <x v="0"/>
    <n v="2001"/>
    <s v="KS AZS AWF Katowice"/>
    <s v="Yes"/>
    <s v="Bydgoszcz"/>
    <x v="5"/>
    <x v="1"/>
    <x v="15"/>
  </r>
  <r>
    <s v="NOWAK Maciej"/>
    <x v="0"/>
    <n v="2001"/>
    <s v="KS AZS AWF Katowice"/>
    <s v="Yes"/>
    <s v="Bydgoszcz"/>
    <x v="5"/>
    <x v="2"/>
    <x v="48"/>
  </r>
  <r>
    <s v="NOWAK Maciej"/>
    <x v="0"/>
    <n v="2001"/>
    <s v="KS AZS AWF Katowice"/>
    <s v="Yes"/>
    <s v="Bydgoszcz"/>
    <x v="6"/>
    <x v="3"/>
    <x v="49"/>
  </r>
  <r>
    <s v="NOWAK Maciej"/>
    <x v="0"/>
    <n v="2001"/>
    <s v="KS AZS AWF Katowice"/>
    <s v="Yes"/>
    <s v="Bydgoszcz"/>
    <x v="6"/>
    <x v="4"/>
    <x v="50"/>
  </r>
  <r>
    <s v="NOWAK Maciej"/>
    <x v="0"/>
    <n v="2001"/>
    <s v="KS AZS AWF Katowice"/>
    <s v="Yes"/>
    <s v="Bydgoszcz"/>
    <x v="6"/>
    <x v="5"/>
    <x v="51"/>
  </r>
  <r>
    <s v="BRACKI Borys"/>
    <x v="0"/>
    <n v="2004"/>
    <s v="KS AZS AWF Katowice"/>
    <s v="Yes"/>
    <s v="Bydgoszcz"/>
    <x v="0"/>
    <x v="0"/>
    <x v="47"/>
  </r>
  <r>
    <s v="BRACKI Borys"/>
    <x v="0"/>
    <n v="2004"/>
    <s v="KS AZS AWF Katowice"/>
    <s v="Yes"/>
    <s v="Bydgoszcz"/>
    <x v="0"/>
    <x v="1"/>
    <x v="26"/>
  </r>
  <r>
    <s v="BRACKI Borys"/>
    <x v="0"/>
    <n v="2004"/>
    <s v="KS AZS AWF Katowice"/>
    <s v="Yes"/>
    <s v="Bydgoszcz"/>
    <x v="0"/>
    <x v="2"/>
    <x v="52"/>
  </r>
  <r>
    <s v="BRACKI Borys"/>
    <x v="0"/>
    <n v="2004"/>
    <s v="KS AZS AWF Katowice"/>
    <s v="Yes"/>
    <s v="Bydgoszcz"/>
    <x v="1"/>
    <x v="0"/>
    <x v="47"/>
  </r>
  <r>
    <s v="BRACKI Borys"/>
    <x v="0"/>
    <n v="2004"/>
    <s v="KS AZS AWF Katowice"/>
    <s v="Yes"/>
    <s v="Bydgoszcz"/>
    <x v="1"/>
    <x v="1"/>
    <x v="28"/>
  </r>
  <r>
    <s v="BRACKI Borys"/>
    <x v="0"/>
    <n v="2004"/>
    <s v="KS AZS AWF Katowice"/>
    <s v="Yes"/>
    <s v="Bydgoszcz"/>
    <x v="1"/>
    <x v="2"/>
    <x v="53"/>
  </r>
  <r>
    <s v="BRACKI Borys"/>
    <x v="0"/>
    <n v="2004"/>
    <s v="KS AZS AWF Katowice"/>
    <s v="Yes"/>
    <s v="Bydgoszcz"/>
    <x v="2"/>
    <x v="0"/>
    <x v="54"/>
  </r>
  <r>
    <s v="BRACKI Borys"/>
    <x v="0"/>
    <n v="2004"/>
    <s v="KS AZS AWF Katowice"/>
    <s v="Yes"/>
    <s v="Bydgoszcz"/>
    <x v="2"/>
    <x v="1"/>
    <x v="55"/>
  </r>
  <r>
    <s v="BRACKI Borys"/>
    <x v="0"/>
    <n v="2004"/>
    <s v="KS AZS AWF Katowice"/>
    <s v="Yes"/>
    <s v="Bydgoszcz"/>
    <x v="2"/>
    <x v="2"/>
    <x v="56"/>
  </r>
  <r>
    <s v="BRACKI Borys"/>
    <x v="0"/>
    <n v="2004"/>
    <s v="KS AZS AWF Katowice"/>
    <s v="Yes"/>
    <s v="Bydgoszcz"/>
    <x v="3"/>
    <x v="0"/>
    <x v="47"/>
  </r>
  <r>
    <s v="BRACKI Borys"/>
    <x v="0"/>
    <n v="2004"/>
    <s v="KS AZS AWF Katowice"/>
    <s v="Yes"/>
    <s v="Bydgoszcz"/>
    <x v="3"/>
    <x v="1"/>
    <x v="31"/>
  </r>
  <r>
    <s v="BRACKI Borys"/>
    <x v="0"/>
    <n v="2004"/>
    <s v="KS AZS AWF Katowice"/>
    <s v="Yes"/>
    <s v="Bydgoszcz"/>
    <x v="3"/>
    <x v="2"/>
    <x v="24"/>
  </r>
  <r>
    <s v="BRACKI Borys"/>
    <x v="0"/>
    <n v="2004"/>
    <s v="KS AZS AWF Katowice"/>
    <s v="Yes"/>
    <s v="Bydgoszcz"/>
    <x v="4"/>
    <x v="0"/>
    <x v="57"/>
  </r>
  <r>
    <s v="BRACKI Borys"/>
    <x v="0"/>
    <n v="2004"/>
    <s v="KS AZS AWF Katowice"/>
    <s v="Yes"/>
    <s v="Bydgoszcz"/>
    <x v="4"/>
    <x v="1"/>
    <x v="58"/>
  </r>
  <r>
    <s v="BRACKI Borys"/>
    <x v="0"/>
    <n v="2004"/>
    <s v="KS AZS AWF Katowice"/>
    <s v="Yes"/>
    <s v="Bydgoszcz"/>
    <x v="4"/>
    <x v="2"/>
    <x v="59"/>
  </r>
  <r>
    <s v="BRACKI Borys"/>
    <x v="0"/>
    <n v="2004"/>
    <s v="KS AZS AWF Katowice"/>
    <s v="Yes"/>
    <s v="Bydgoszcz"/>
    <x v="5"/>
    <x v="0"/>
    <x v="60"/>
  </r>
  <r>
    <s v="BRACKI Borys"/>
    <x v="0"/>
    <n v="2004"/>
    <s v="KS AZS AWF Katowice"/>
    <s v="Yes"/>
    <s v="Bydgoszcz"/>
    <x v="5"/>
    <x v="1"/>
    <x v="61"/>
  </r>
  <r>
    <s v="BRACKI Borys"/>
    <x v="0"/>
    <n v="2004"/>
    <s v="KS AZS AWF Katowice"/>
    <s v="Yes"/>
    <s v="Bydgoszcz"/>
    <x v="5"/>
    <x v="2"/>
    <x v="62"/>
  </r>
  <r>
    <s v="BRACKI Borys"/>
    <x v="0"/>
    <n v="2004"/>
    <s v="KS AZS AWF Katowice"/>
    <s v="Yes"/>
    <s v="Bydgoszcz"/>
    <x v="6"/>
    <x v="3"/>
    <x v="63"/>
  </r>
  <r>
    <s v="BRACKI Borys"/>
    <x v="0"/>
    <n v="2004"/>
    <s v="KS AZS AWF Katowice"/>
    <s v="Yes"/>
    <s v="Bydgoszcz"/>
    <x v="6"/>
    <x v="4"/>
    <x v="18"/>
  </r>
  <r>
    <s v="BRACKI Borys"/>
    <x v="0"/>
    <n v="2004"/>
    <s v="KS AZS AWF Katowice"/>
    <s v="Yes"/>
    <s v="Bydgoszcz"/>
    <x v="6"/>
    <x v="5"/>
    <x v="64"/>
  </r>
  <r>
    <s v="BOBER Michał"/>
    <x v="0"/>
    <n v="2002"/>
    <s v="UKS SP7 Łódź"/>
    <s v="Yes"/>
    <s v="Bydgoszcz"/>
    <x v="0"/>
    <x v="0"/>
    <x v="12"/>
  </r>
  <r>
    <s v="BOBER Michał"/>
    <x v="0"/>
    <n v="2002"/>
    <s v="UKS SP7 Łódź"/>
    <s v="Yes"/>
    <s v="Bydgoszcz"/>
    <x v="0"/>
    <x v="1"/>
    <x v="65"/>
  </r>
  <r>
    <s v="BOBER Michał"/>
    <x v="0"/>
    <n v="2002"/>
    <s v="UKS SP7 Łódź"/>
    <s v="Yes"/>
    <s v="Bydgoszcz"/>
    <x v="0"/>
    <x v="2"/>
    <x v="66"/>
  </r>
  <r>
    <s v="BOBER Michał"/>
    <x v="0"/>
    <n v="2002"/>
    <s v="UKS SP7 Łódź"/>
    <s v="Yes"/>
    <s v="Bydgoszcz"/>
    <x v="1"/>
    <x v="0"/>
    <x v="54"/>
  </r>
  <r>
    <s v="BOBER Michał"/>
    <x v="0"/>
    <n v="2002"/>
    <s v="UKS SP7 Łódź"/>
    <s v="Yes"/>
    <s v="Bydgoszcz"/>
    <x v="1"/>
    <x v="1"/>
    <x v="1"/>
  </r>
  <r>
    <s v="BOBER Michał"/>
    <x v="0"/>
    <n v="2002"/>
    <s v="UKS SP7 Łódź"/>
    <s v="Yes"/>
    <s v="Bydgoszcz"/>
    <x v="1"/>
    <x v="2"/>
    <x v="39"/>
  </r>
  <r>
    <s v="BOBER Michał"/>
    <x v="0"/>
    <n v="2002"/>
    <s v="UKS SP7 Łódź"/>
    <s v="Yes"/>
    <s v="Bydgoszcz"/>
    <x v="2"/>
    <x v="0"/>
    <x v="25"/>
  </r>
  <r>
    <s v="BOBER Michał"/>
    <x v="0"/>
    <n v="2002"/>
    <s v="UKS SP7 Łódź"/>
    <s v="Yes"/>
    <s v="Bydgoszcz"/>
    <x v="2"/>
    <x v="1"/>
    <x v="67"/>
  </r>
  <r>
    <s v="BOBER Michał"/>
    <x v="0"/>
    <n v="2002"/>
    <s v="UKS SP7 Łódź"/>
    <s v="Yes"/>
    <s v="Bydgoszcz"/>
    <x v="2"/>
    <x v="2"/>
    <x v="46"/>
  </r>
  <r>
    <s v="BOBER Michał"/>
    <x v="0"/>
    <n v="2002"/>
    <s v="UKS SP7 Łódź"/>
    <s v="Yes"/>
    <s v="Bydgoszcz"/>
    <x v="3"/>
    <x v="0"/>
    <x v="47"/>
  </r>
  <r>
    <s v="BOBER Michał"/>
    <x v="0"/>
    <n v="2002"/>
    <s v="UKS SP7 Łódź"/>
    <s v="Yes"/>
    <s v="Bydgoszcz"/>
    <x v="3"/>
    <x v="1"/>
    <x v="1"/>
  </r>
  <r>
    <s v="BOBER Michał"/>
    <x v="0"/>
    <n v="2002"/>
    <s v="UKS SP7 Łódź"/>
    <s v="Yes"/>
    <s v="Bydgoszcz"/>
    <x v="3"/>
    <x v="2"/>
    <x v="68"/>
  </r>
  <r>
    <s v="BOBER Michał"/>
    <x v="0"/>
    <n v="2002"/>
    <s v="UKS SP7 Łódź"/>
    <s v="Yes"/>
    <s v="Bydgoszcz"/>
    <x v="4"/>
    <x v="0"/>
    <x v="25"/>
  </r>
  <r>
    <s v="BOBER Michał"/>
    <x v="0"/>
    <n v="2002"/>
    <s v="UKS SP7 Łódź"/>
    <s v="Yes"/>
    <s v="Bydgoszcz"/>
    <x v="4"/>
    <x v="1"/>
    <x v="69"/>
  </r>
  <r>
    <s v="BOBER Michał"/>
    <x v="0"/>
    <n v="2002"/>
    <s v="UKS SP7 Łódź"/>
    <s v="Yes"/>
    <s v="Bydgoszcz"/>
    <x v="4"/>
    <x v="2"/>
    <x v="59"/>
  </r>
  <r>
    <s v="BOBER Michał"/>
    <x v="0"/>
    <n v="2002"/>
    <s v="UKS SP7 Łódź"/>
    <s v="Yes"/>
    <s v="Bydgoszcz"/>
    <x v="5"/>
    <x v="0"/>
    <x v="60"/>
  </r>
  <r>
    <s v="BOBER Michał"/>
    <x v="0"/>
    <n v="2002"/>
    <s v="UKS SP7 Łódź"/>
    <s v="Yes"/>
    <s v="Bydgoszcz"/>
    <x v="5"/>
    <x v="1"/>
    <x v="7"/>
  </r>
  <r>
    <s v="BOBER Michał"/>
    <x v="0"/>
    <n v="2002"/>
    <s v="UKS SP7 Łódź"/>
    <s v="Yes"/>
    <s v="Bydgoszcz"/>
    <x v="5"/>
    <x v="2"/>
    <x v="70"/>
  </r>
  <r>
    <s v="BOBER Michał"/>
    <x v="0"/>
    <n v="2002"/>
    <s v="UKS SP7 Łódź"/>
    <s v="Yes"/>
    <s v="Bydgoszcz"/>
    <x v="6"/>
    <x v="3"/>
    <x v="71"/>
  </r>
  <r>
    <s v="BOBER Michał"/>
    <x v="0"/>
    <n v="2002"/>
    <s v="UKS SP7 Łódź"/>
    <s v="Yes"/>
    <s v="Bydgoszcz"/>
    <x v="6"/>
    <x v="4"/>
    <x v="72"/>
  </r>
  <r>
    <s v="BOBER Michał"/>
    <x v="0"/>
    <n v="2002"/>
    <s v="UKS SP7 Łódź"/>
    <s v="Yes"/>
    <s v="Bydgoszcz"/>
    <x v="6"/>
    <x v="5"/>
    <x v="73"/>
  </r>
  <r>
    <s v="LUDYNIA Marceli"/>
    <x v="0"/>
    <n v="2001"/>
    <s v="KS AZS AWF Katowice"/>
    <s v="Yes"/>
    <s v="Bydgoszcz"/>
    <x v="0"/>
    <x v="0"/>
    <x v="74"/>
  </r>
  <r>
    <s v="LUDYNIA Marceli"/>
    <x v="0"/>
    <n v="2001"/>
    <s v="KS AZS AWF Katowice"/>
    <s v="Yes"/>
    <s v="Bydgoszcz"/>
    <x v="0"/>
    <x v="1"/>
    <x v="75"/>
  </r>
  <r>
    <s v="LUDYNIA Marceli"/>
    <x v="0"/>
    <n v="2001"/>
    <s v="KS AZS AWF Katowice"/>
    <s v="Yes"/>
    <s v="Bydgoszcz"/>
    <x v="0"/>
    <x v="2"/>
    <x v="14"/>
  </r>
  <r>
    <s v="LUDYNIA Marceli"/>
    <x v="0"/>
    <n v="2001"/>
    <s v="KS AZS AWF Katowice"/>
    <s v="Yes"/>
    <s v="Bydgoszcz"/>
    <x v="1"/>
    <x v="0"/>
    <x v="60"/>
  </r>
  <r>
    <s v="LUDYNIA Marceli"/>
    <x v="0"/>
    <n v="2001"/>
    <s v="KS AZS AWF Katowice"/>
    <s v="Yes"/>
    <s v="Bydgoszcz"/>
    <x v="1"/>
    <x v="1"/>
    <x v="65"/>
  </r>
  <r>
    <s v="LUDYNIA Marceli"/>
    <x v="0"/>
    <n v="2001"/>
    <s v="KS AZS AWF Katowice"/>
    <s v="Yes"/>
    <s v="Bydgoszcz"/>
    <x v="1"/>
    <x v="2"/>
    <x v="76"/>
  </r>
  <r>
    <s v="LUDYNIA Marceli"/>
    <x v="0"/>
    <n v="2001"/>
    <s v="KS AZS AWF Katowice"/>
    <s v="Yes"/>
    <s v="Bydgoszcz"/>
    <x v="2"/>
    <x v="0"/>
    <x v="40"/>
  </r>
  <r>
    <s v="LUDYNIA Marceli"/>
    <x v="0"/>
    <n v="2001"/>
    <s v="KS AZS AWF Katowice"/>
    <s v="Yes"/>
    <s v="Bydgoszcz"/>
    <x v="2"/>
    <x v="1"/>
    <x v="77"/>
  </r>
  <r>
    <s v="LUDYNIA Marceli"/>
    <x v="0"/>
    <n v="2001"/>
    <s v="KS AZS AWF Katowice"/>
    <s v="Yes"/>
    <s v="Bydgoszcz"/>
    <x v="2"/>
    <x v="2"/>
    <x v="78"/>
  </r>
  <r>
    <s v="LUDYNIA Marceli"/>
    <x v="0"/>
    <n v="2001"/>
    <s v="KS AZS AWF Katowice"/>
    <s v="Yes"/>
    <s v="Bydgoszcz"/>
    <x v="3"/>
    <x v="0"/>
    <x v="25"/>
  </r>
  <r>
    <s v="LUDYNIA Marceli"/>
    <x v="0"/>
    <n v="2001"/>
    <s v="KS AZS AWF Katowice"/>
    <s v="Yes"/>
    <s v="Bydgoszcz"/>
    <x v="3"/>
    <x v="1"/>
    <x v="13"/>
  </r>
  <r>
    <s v="LUDYNIA Marceli"/>
    <x v="0"/>
    <n v="2001"/>
    <s v="KS AZS AWF Katowice"/>
    <s v="Yes"/>
    <s v="Bydgoszcz"/>
    <x v="3"/>
    <x v="2"/>
    <x v="52"/>
  </r>
  <r>
    <s v="LUDYNIA Marceli"/>
    <x v="0"/>
    <n v="2001"/>
    <s v="KS AZS AWF Katowice"/>
    <s v="Yes"/>
    <s v="Bydgoszcz"/>
    <x v="4"/>
    <x v="0"/>
    <x v="79"/>
  </r>
  <r>
    <s v="LUDYNIA Marceli"/>
    <x v="0"/>
    <n v="2001"/>
    <s v="KS AZS AWF Katowice"/>
    <s v="Yes"/>
    <s v="Bydgoszcz"/>
    <x v="4"/>
    <x v="1"/>
    <x v="15"/>
  </r>
  <r>
    <s v="LUDYNIA Marceli"/>
    <x v="0"/>
    <n v="2001"/>
    <s v="KS AZS AWF Katowice"/>
    <s v="Yes"/>
    <s v="Bydgoszcz"/>
    <x v="4"/>
    <x v="2"/>
    <x v="5"/>
  </r>
  <r>
    <s v="LUDYNIA Marceli"/>
    <x v="0"/>
    <n v="2001"/>
    <s v="KS AZS AWF Katowice"/>
    <s v="Yes"/>
    <s v="Bydgoszcz"/>
    <x v="5"/>
    <x v="0"/>
    <x v="80"/>
  </r>
  <r>
    <s v="LUDYNIA Marceli"/>
    <x v="0"/>
    <n v="2001"/>
    <s v="KS AZS AWF Katowice"/>
    <s v="Yes"/>
    <s v="Bydgoszcz"/>
    <x v="5"/>
    <x v="1"/>
    <x v="67"/>
  </r>
  <r>
    <s v="LUDYNIA Marceli"/>
    <x v="0"/>
    <n v="2001"/>
    <s v="KS AZS AWF Katowice"/>
    <s v="Yes"/>
    <s v="Bydgoszcz"/>
    <x v="5"/>
    <x v="2"/>
    <x v="78"/>
  </r>
  <r>
    <s v="LUDYNIA Marceli"/>
    <x v="0"/>
    <n v="2001"/>
    <s v="KS AZS AWF Katowice"/>
    <s v="Yes"/>
    <s v="Bydgoszcz"/>
    <x v="6"/>
    <x v="3"/>
    <x v="81"/>
  </r>
  <r>
    <s v="LUDYNIA Marceli"/>
    <x v="0"/>
    <n v="2001"/>
    <s v="KS AZS AWF Katowice"/>
    <s v="Yes"/>
    <s v="Bydgoszcz"/>
    <x v="6"/>
    <x v="4"/>
    <x v="82"/>
  </r>
  <r>
    <s v="LUDYNIA Marceli"/>
    <x v="0"/>
    <n v="2001"/>
    <s v="KS AZS AWF Katowice"/>
    <s v="Yes"/>
    <s v="Bydgoszcz"/>
    <x v="6"/>
    <x v="5"/>
    <x v="83"/>
  </r>
  <r>
    <s v="CHRUŚCIEL Szymon"/>
    <x v="0"/>
    <n v="2004"/>
    <s v="KS AZS AWF Kraków"/>
    <s v="Yes"/>
    <s v="Bydgoszcz"/>
    <x v="0"/>
    <x v="0"/>
    <x v="36"/>
  </r>
  <r>
    <s v="CHRUŚCIEL Szymon"/>
    <x v="0"/>
    <n v="2004"/>
    <s v="KS AZS AWF Kraków"/>
    <s v="Yes"/>
    <s v="Bydgoszcz"/>
    <x v="0"/>
    <x v="1"/>
    <x v="84"/>
  </r>
  <r>
    <s v="CHRUŚCIEL Szymon"/>
    <x v="0"/>
    <n v="2004"/>
    <s v="KS AZS AWF Kraków"/>
    <s v="Yes"/>
    <s v="Bydgoszcz"/>
    <x v="0"/>
    <x v="2"/>
    <x v="85"/>
  </r>
  <r>
    <s v="CHRUŚCIEL Szymon"/>
    <x v="0"/>
    <n v="2004"/>
    <s v="KS AZS AWF Kraków"/>
    <s v="Yes"/>
    <s v="Bydgoszcz"/>
    <x v="1"/>
    <x v="0"/>
    <x v="42"/>
  </r>
  <r>
    <s v="CHRUŚCIEL Szymon"/>
    <x v="0"/>
    <n v="2004"/>
    <s v="KS AZS AWF Kraków"/>
    <s v="Yes"/>
    <s v="Bydgoszcz"/>
    <x v="1"/>
    <x v="1"/>
    <x v="86"/>
  </r>
  <r>
    <s v="CHRUŚCIEL Szymon"/>
    <x v="0"/>
    <n v="2004"/>
    <s v="KS AZS AWF Kraków"/>
    <s v="Yes"/>
    <s v="Bydgoszcz"/>
    <x v="1"/>
    <x v="2"/>
    <x v="76"/>
  </r>
  <r>
    <s v="CHRUŚCIEL Szymon"/>
    <x v="0"/>
    <n v="2004"/>
    <s v="KS AZS AWF Kraków"/>
    <s v="Yes"/>
    <s v="Bydgoszcz"/>
    <x v="2"/>
    <x v="0"/>
    <x v="47"/>
  </r>
  <r>
    <s v="CHRUŚCIEL Szymon"/>
    <x v="0"/>
    <n v="2004"/>
    <s v="KS AZS AWF Kraków"/>
    <s v="Yes"/>
    <s v="Bydgoszcz"/>
    <x v="2"/>
    <x v="1"/>
    <x v="87"/>
  </r>
  <r>
    <s v="CHRUŚCIEL Szymon"/>
    <x v="0"/>
    <n v="2004"/>
    <s v="KS AZS AWF Kraków"/>
    <s v="Yes"/>
    <s v="Bydgoszcz"/>
    <x v="2"/>
    <x v="2"/>
    <x v="88"/>
  </r>
  <r>
    <s v="CHRUŚCIEL Szymon"/>
    <x v="0"/>
    <n v="2004"/>
    <s v="KS AZS AWF Kraków"/>
    <s v="Yes"/>
    <s v="Bydgoszcz"/>
    <x v="3"/>
    <x v="0"/>
    <x v="60"/>
  </r>
  <r>
    <s v="CHRUŚCIEL Szymon"/>
    <x v="0"/>
    <n v="2004"/>
    <s v="KS AZS AWF Kraków"/>
    <s v="Yes"/>
    <s v="Bydgoszcz"/>
    <x v="3"/>
    <x v="1"/>
    <x v="76"/>
  </r>
  <r>
    <s v="CHRUŚCIEL Szymon"/>
    <x v="0"/>
    <n v="2004"/>
    <s v="KS AZS AWF Kraków"/>
    <s v="Yes"/>
    <s v="Bydgoszcz"/>
    <x v="3"/>
    <x v="2"/>
    <x v="89"/>
  </r>
  <r>
    <s v="CHRUŚCIEL Szymon"/>
    <x v="0"/>
    <n v="2004"/>
    <s v="KS AZS AWF Kraków"/>
    <s v="Yes"/>
    <s v="Bydgoszcz"/>
    <x v="4"/>
    <x v="0"/>
    <x v="57"/>
  </r>
  <r>
    <s v="CHRUŚCIEL Szymon"/>
    <x v="0"/>
    <n v="2004"/>
    <s v="KS AZS AWF Kraków"/>
    <s v="Yes"/>
    <s v="Bydgoszcz"/>
    <x v="4"/>
    <x v="1"/>
    <x v="90"/>
  </r>
  <r>
    <s v="CHRUŚCIEL Szymon"/>
    <x v="0"/>
    <n v="2004"/>
    <s v="KS AZS AWF Kraków"/>
    <s v="Yes"/>
    <s v="Bydgoszcz"/>
    <x v="4"/>
    <x v="2"/>
    <x v="91"/>
  </r>
  <r>
    <s v="CHRUŚCIEL Szymon"/>
    <x v="0"/>
    <n v="2004"/>
    <s v="KS AZS AWF Kraków"/>
    <s v="Yes"/>
    <s v="Bydgoszcz"/>
    <x v="5"/>
    <x v="0"/>
    <x v="42"/>
  </r>
  <r>
    <s v="CHRUŚCIEL Szymon"/>
    <x v="0"/>
    <n v="2004"/>
    <s v="KS AZS AWF Kraków"/>
    <s v="Yes"/>
    <s v="Bydgoszcz"/>
    <x v="5"/>
    <x v="1"/>
    <x v="7"/>
  </r>
  <r>
    <s v="CHRUŚCIEL Szymon"/>
    <x v="0"/>
    <n v="2004"/>
    <s v="KS AZS AWF Kraków"/>
    <s v="Yes"/>
    <s v="Bydgoszcz"/>
    <x v="5"/>
    <x v="2"/>
    <x v="78"/>
  </r>
  <r>
    <s v="CHRUŚCIEL Szymon"/>
    <x v="0"/>
    <n v="2004"/>
    <s v="KS AZS AWF Kraków"/>
    <s v="Yes"/>
    <s v="Bydgoszcz"/>
    <x v="6"/>
    <x v="3"/>
    <x v="49"/>
  </r>
  <r>
    <s v="CHRUŚCIEL Szymon"/>
    <x v="0"/>
    <n v="2004"/>
    <s v="KS AZS AWF Kraków"/>
    <s v="Yes"/>
    <s v="Bydgoszcz"/>
    <x v="6"/>
    <x v="4"/>
    <x v="92"/>
  </r>
  <r>
    <s v="CHRUŚCIEL Szymon"/>
    <x v="0"/>
    <n v="2004"/>
    <s v="KS AZS AWF Kraków"/>
    <s v="Yes"/>
    <s v="Bydgoszcz"/>
    <x v="6"/>
    <x v="5"/>
    <x v="93"/>
  </r>
  <r>
    <s v="SIEDZIAKO Igor"/>
    <x v="0"/>
    <n v="2004"/>
    <s v="MKS Kusy Szczecin"/>
    <s v="Yes"/>
    <s v="Bydgoszcz"/>
    <x v="0"/>
    <x v="0"/>
    <x v="94"/>
  </r>
  <r>
    <s v="SIEDZIAKO Igor"/>
    <x v="0"/>
    <n v="2004"/>
    <s v="MKS Kusy Szczecin"/>
    <s v="Yes"/>
    <s v="Bydgoszcz"/>
    <x v="0"/>
    <x v="1"/>
    <x v="95"/>
  </r>
  <r>
    <s v="SIEDZIAKO Igor"/>
    <x v="0"/>
    <n v="2004"/>
    <s v="MKS Kusy Szczecin"/>
    <s v="Yes"/>
    <s v="Bydgoszcz"/>
    <x v="0"/>
    <x v="2"/>
    <x v="39"/>
  </r>
  <r>
    <s v="SIEDZIAKO Igor"/>
    <x v="0"/>
    <n v="2004"/>
    <s v="MKS Kusy Szczecin"/>
    <s v="Yes"/>
    <s v="Bydgoszcz"/>
    <x v="1"/>
    <x v="0"/>
    <x v="96"/>
  </r>
  <r>
    <s v="SIEDZIAKO Igor"/>
    <x v="0"/>
    <n v="2004"/>
    <s v="MKS Kusy Szczecin"/>
    <s v="Yes"/>
    <s v="Bydgoszcz"/>
    <x v="1"/>
    <x v="1"/>
    <x v="97"/>
  </r>
  <r>
    <s v="SIEDZIAKO Igor"/>
    <x v="0"/>
    <n v="2004"/>
    <s v="MKS Kusy Szczecin"/>
    <s v="Yes"/>
    <s v="Bydgoszcz"/>
    <x v="1"/>
    <x v="2"/>
    <x v="79"/>
  </r>
  <r>
    <s v="SIEDZIAKO Igor"/>
    <x v="0"/>
    <n v="2004"/>
    <s v="MKS Kusy Szczecin"/>
    <s v="Yes"/>
    <s v="Bydgoszcz"/>
    <x v="2"/>
    <x v="0"/>
    <x v="98"/>
  </r>
  <r>
    <s v="SIEDZIAKO Igor"/>
    <x v="0"/>
    <n v="2004"/>
    <s v="MKS Kusy Szczecin"/>
    <s v="Yes"/>
    <s v="Bydgoszcz"/>
    <x v="2"/>
    <x v="1"/>
    <x v="99"/>
  </r>
  <r>
    <s v="SIEDZIAKO Igor"/>
    <x v="0"/>
    <n v="2004"/>
    <s v="MKS Kusy Szczecin"/>
    <s v="Yes"/>
    <s v="Bydgoszcz"/>
    <x v="2"/>
    <x v="2"/>
    <x v="100"/>
  </r>
  <r>
    <s v="SIEDZIAKO Igor"/>
    <x v="0"/>
    <n v="2004"/>
    <s v="MKS Kusy Szczecin"/>
    <s v="Yes"/>
    <s v="Bydgoszcz"/>
    <x v="3"/>
    <x v="0"/>
    <x v="42"/>
  </r>
  <r>
    <s v="SIEDZIAKO Igor"/>
    <x v="0"/>
    <n v="2004"/>
    <s v="MKS Kusy Szczecin"/>
    <s v="Yes"/>
    <s v="Bydgoszcz"/>
    <x v="3"/>
    <x v="1"/>
    <x v="1"/>
  </r>
  <r>
    <s v="SIEDZIAKO Igor"/>
    <x v="0"/>
    <n v="2004"/>
    <s v="MKS Kusy Szczecin"/>
    <s v="Yes"/>
    <s v="Bydgoszcz"/>
    <x v="3"/>
    <x v="2"/>
    <x v="101"/>
  </r>
  <r>
    <s v="SIEDZIAKO Igor"/>
    <x v="0"/>
    <n v="2004"/>
    <s v="MKS Kusy Szczecin"/>
    <s v="Yes"/>
    <s v="Bydgoszcz"/>
    <x v="4"/>
    <x v="0"/>
    <x v="98"/>
  </r>
  <r>
    <s v="SIEDZIAKO Igor"/>
    <x v="0"/>
    <n v="2004"/>
    <s v="MKS Kusy Szczecin"/>
    <s v="Yes"/>
    <s v="Bydgoszcz"/>
    <x v="4"/>
    <x v="1"/>
    <x v="102"/>
  </r>
  <r>
    <s v="SIEDZIAKO Igor"/>
    <x v="0"/>
    <n v="2004"/>
    <s v="MKS Kusy Szczecin"/>
    <s v="Yes"/>
    <s v="Bydgoszcz"/>
    <x v="4"/>
    <x v="2"/>
    <x v="103"/>
  </r>
  <r>
    <s v="SIEDZIAKO Igor"/>
    <x v="0"/>
    <n v="2004"/>
    <s v="MKS Kusy Szczecin"/>
    <s v="Yes"/>
    <s v="Bydgoszcz"/>
    <x v="5"/>
    <x v="0"/>
    <x v="40"/>
  </r>
  <r>
    <s v="SIEDZIAKO Igor"/>
    <x v="0"/>
    <n v="2004"/>
    <s v="MKS Kusy Szczecin"/>
    <s v="Yes"/>
    <s v="Bydgoszcz"/>
    <x v="5"/>
    <x v="1"/>
    <x v="104"/>
  </r>
  <r>
    <s v="SIEDZIAKO Igor"/>
    <x v="0"/>
    <n v="2004"/>
    <s v="MKS Kusy Szczecin"/>
    <s v="Yes"/>
    <s v="Bydgoszcz"/>
    <x v="5"/>
    <x v="2"/>
    <x v="43"/>
  </r>
  <r>
    <s v="SIEDZIAKO Igor"/>
    <x v="0"/>
    <n v="2004"/>
    <s v="MKS Kusy Szczecin"/>
    <s v="Yes"/>
    <s v="Bydgoszcz"/>
    <x v="6"/>
    <x v="3"/>
    <x v="105"/>
  </r>
  <r>
    <s v="SIEDZIAKO Igor"/>
    <x v="0"/>
    <n v="2004"/>
    <s v="MKS Kusy Szczecin"/>
    <s v="Yes"/>
    <s v="Bydgoszcz"/>
    <x v="6"/>
    <x v="4"/>
    <x v="106"/>
  </r>
  <r>
    <s v="SIEDZIAKO Igor"/>
    <x v="0"/>
    <n v="2004"/>
    <s v="MKS Kusy Szczecin"/>
    <s v="Yes"/>
    <s v="Bydgoszcz"/>
    <x v="6"/>
    <x v="5"/>
    <x v="107"/>
  </r>
  <r>
    <s v="JAKUBOWSKI Jakub"/>
    <x v="0"/>
    <n v="2003"/>
    <s v="KS AZS AWFiS Gdańsk"/>
    <s v="No"/>
    <s v="Bydgoszcz"/>
    <x v="0"/>
    <x v="0"/>
    <x v="12"/>
  </r>
  <r>
    <s v="JAKUBOWSKI Jakub"/>
    <x v="0"/>
    <n v="2003"/>
    <s v="KS AZS AWFiS Gdańsk"/>
    <s v="No"/>
    <s v="Bydgoszcz"/>
    <x v="0"/>
    <x v="1"/>
    <x v="13"/>
  </r>
  <r>
    <s v="JAKUBOWSKI Jakub"/>
    <x v="0"/>
    <n v="2003"/>
    <s v="KS AZS AWFiS Gdańsk"/>
    <s v="No"/>
    <s v="Bydgoszcz"/>
    <x v="0"/>
    <x v="2"/>
    <x v="14"/>
  </r>
  <r>
    <s v="JAKUBOWSKI Jakub"/>
    <x v="0"/>
    <n v="2003"/>
    <s v="KS AZS AWFiS Gdańsk"/>
    <s v="No"/>
    <s v="Bydgoszcz"/>
    <x v="1"/>
    <x v="0"/>
    <x v="22"/>
  </r>
  <r>
    <s v="JAKUBOWSKI Jakub"/>
    <x v="0"/>
    <n v="2003"/>
    <s v="KS AZS AWFiS Gdańsk"/>
    <s v="No"/>
    <s v="Bydgoszcz"/>
    <x v="1"/>
    <x v="1"/>
    <x v="4"/>
  </r>
  <r>
    <s v="JAKUBOWSKI Jakub"/>
    <x v="0"/>
    <n v="2003"/>
    <s v="KS AZS AWFiS Gdańsk"/>
    <s v="No"/>
    <s v="Bydgoszcz"/>
    <x v="1"/>
    <x v="2"/>
    <x v="108"/>
  </r>
  <r>
    <s v="JAKUBOWSKI Jakub"/>
    <x v="0"/>
    <n v="2003"/>
    <s v="KS AZS AWFiS Gdańsk"/>
    <s v="No"/>
    <s v="Bydgoszcz"/>
    <x v="2"/>
    <x v="0"/>
    <x v="79"/>
  </r>
  <r>
    <s v="JAKUBOWSKI Jakub"/>
    <x v="0"/>
    <n v="2003"/>
    <s v="KS AZS AWFiS Gdańsk"/>
    <s v="No"/>
    <s v="Bydgoszcz"/>
    <x v="2"/>
    <x v="1"/>
    <x v="109"/>
  </r>
  <r>
    <s v="JAKUBOWSKI Jakub"/>
    <x v="0"/>
    <n v="2003"/>
    <s v="KS AZS AWFiS Gdańsk"/>
    <s v="No"/>
    <s v="Bydgoszcz"/>
    <x v="2"/>
    <x v="2"/>
    <x v="70"/>
  </r>
  <r>
    <s v="JAKUBOWSKI Jakub"/>
    <x v="0"/>
    <n v="2003"/>
    <s v="KS AZS AWFiS Gdańsk"/>
    <s v="No"/>
    <s v="Bydgoszcz"/>
    <x v="3"/>
    <x v="0"/>
    <x v="110"/>
  </r>
  <r>
    <s v="JAKUBOWSKI Jakub"/>
    <x v="0"/>
    <n v="2003"/>
    <s v="KS AZS AWFiS Gdańsk"/>
    <s v="No"/>
    <s v="Bydgoszcz"/>
    <x v="3"/>
    <x v="1"/>
    <x v="111"/>
  </r>
  <r>
    <s v="JAKUBOWSKI Jakub"/>
    <x v="0"/>
    <n v="2003"/>
    <s v="KS AZS AWFiS Gdańsk"/>
    <s v="No"/>
    <s v="Bydgoszcz"/>
    <x v="3"/>
    <x v="2"/>
    <x v="24"/>
  </r>
  <r>
    <s v="JAKUBOWSKI Jakub"/>
    <x v="0"/>
    <n v="2003"/>
    <s v="KS AZS AWFiS Gdańsk"/>
    <s v="No"/>
    <s v="Bydgoszcz"/>
    <x v="4"/>
    <x v="0"/>
    <x v="112"/>
  </r>
  <r>
    <s v="JAKUBOWSKI Jakub"/>
    <x v="0"/>
    <n v="2003"/>
    <s v="KS AZS AWFiS Gdańsk"/>
    <s v="No"/>
    <s v="Bydgoszcz"/>
    <x v="4"/>
    <x v="1"/>
    <x v="113"/>
  </r>
  <r>
    <s v="JAKUBOWSKI Jakub"/>
    <x v="0"/>
    <n v="2003"/>
    <s v="KS AZS AWFiS Gdańsk"/>
    <s v="No"/>
    <s v="Bydgoszcz"/>
    <x v="4"/>
    <x v="2"/>
    <x v="114"/>
  </r>
  <r>
    <s v="JAKUBOWSKI Jakub"/>
    <x v="0"/>
    <n v="2003"/>
    <s v="KS AZS AWFiS Gdańsk"/>
    <s v="No"/>
    <s v="Bydgoszcz"/>
    <x v="5"/>
    <x v="0"/>
    <x v="115"/>
  </r>
  <r>
    <s v="JAKUBOWSKI Jakub"/>
    <x v="0"/>
    <n v="2003"/>
    <s v="KS AZS AWFiS Gdańsk"/>
    <s v="No"/>
    <s v="Bydgoszcz"/>
    <x v="5"/>
    <x v="1"/>
    <x v="115"/>
  </r>
  <r>
    <s v="JAKUBOWSKI Jakub"/>
    <x v="0"/>
    <n v="2003"/>
    <s v="KS AZS AWFiS Gdańsk"/>
    <s v="No"/>
    <s v="Bydgoszcz"/>
    <x v="5"/>
    <x v="2"/>
    <x v="115"/>
  </r>
  <r>
    <s v="JAKUBOWSKI Jakub"/>
    <x v="0"/>
    <n v="2003"/>
    <s v="KS AZS AWFiS Gdańsk"/>
    <s v="No"/>
    <s v="Bydgoszcz"/>
    <x v="6"/>
    <x v="3"/>
    <x v="115"/>
  </r>
  <r>
    <s v="JAKUBOWSKI Jakub"/>
    <x v="0"/>
    <n v="2003"/>
    <s v="KS AZS AWFiS Gdańsk"/>
    <s v="No"/>
    <s v="Bydgoszcz"/>
    <x v="6"/>
    <x v="4"/>
    <x v="115"/>
  </r>
  <r>
    <s v="JAKUBOWSKI Jakub"/>
    <x v="0"/>
    <n v="2003"/>
    <s v="KS AZS AWFiS Gdańsk"/>
    <s v="No"/>
    <s v="Bydgoszcz"/>
    <x v="6"/>
    <x v="5"/>
    <x v="116"/>
  </r>
  <r>
    <s v="HERASYMOV Mykyta"/>
    <x v="0"/>
    <n v="1999"/>
    <s v="KS AZS AWFiS Gdańsk"/>
    <s v="No"/>
    <s v="Bydgoszcz"/>
    <x v="0"/>
    <x v="0"/>
    <x v="115"/>
  </r>
  <r>
    <s v="HERASYMOV Mykyta"/>
    <x v="0"/>
    <n v="1999"/>
    <s v="KS AZS AWFiS Gdańsk"/>
    <s v="No"/>
    <s v="Bydgoszcz"/>
    <x v="0"/>
    <x v="1"/>
    <x v="115"/>
  </r>
  <r>
    <s v="HERASYMOV Mykyta"/>
    <x v="0"/>
    <n v="1999"/>
    <s v="KS AZS AWFiS Gdańsk"/>
    <s v="No"/>
    <s v="Bydgoszcz"/>
    <x v="0"/>
    <x v="2"/>
    <x v="115"/>
  </r>
  <r>
    <s v="HERASYMOV Mykyta"/>
    <x v="0"/>
    <n v="1999"/>
    <s v="KS AZS AWFiS Gdańsk"/>
    <s v="No"/>
    <s v="Bydgoszcz"/>
    <x v="1"/>
    <x v="0"/>
    <x v="117"/>
  </r>
  <r>
    <s v="HERASYMOV Mykyta"/>
    <x v="0"/>
    <n v="1999"/>
    <s v="KS AZS AWFiS Gdańsk"/>
    <s v="No"/>
    <s v="Bydgoszcz"/>
    <x v="1"/>
    <x v="1"/>
    <x v="30"/>
  </r>
  <r>
    <s v="HERASYMOV Mykyta"/>
    <x v="0"/>
    <n v="1999"/>
    <s v="KS AZS AWFiS Gdańsk"/>
    <s v="No"/>
    <s v="Bydgoszcz"/>
    <x v="1"/>
    <x v="2"/>
    <x v="95"/>
  </r>
  <r>
    <s v="HERASYMOV Mykyta"/>
    <x v="0"/>
    <n v="1999"/>
    <s v="KS AZS AWFiS Gdańsk"/>
    <s v="No"/>
    <s v="Bydgoszcz"/>
    <x v="2"/>
    <x v="0"/>
    <x v="42"/>
  </r>
  <r>
    <s v="HERASYMOV Mykyta"/>
    <x v="0"/>
    <n v="1999"/>
    <s v="KS AZS AWFiS Gdańsk"/>
    <s v="No"/>
    <s v="Bydgoszcz"/>
    <x v="2"/>
    <x v="1"/>
    <x v="118"/>
  </r>
  <r>
    <s v="HERASYMOV Mykyta"/>
    <x v="0"/>
    <n v="1999"/>
    <s v="KS AZS AWFiS Gdańsk"/>
    <s v="No"/>
    <s v="Bydgoszcz"/>
    <x v="2"/>
    <x v="2"/>
    <x v="119"/>
  </r>
  <r>
    <s v="HERASYMOV Mykyta"/>
    <x v="0"/>
    <n v="1999"/>
    <s v="KS AZS AWFiS Gdańsk"/>
    <s v="No"/>
    <s v="Bydgoszcz"/>
    <x v="3"/>
    <x v="0"/>
    <x v="115"/>
  </r>
  <r>
    <s v="HERASYMOV Mykyta"/>
    <x v="0"/>
    <n v="1999"/>
    <s v="KS AZS AWFiS Gdańsk"/>
    <s v="No"/>
    <s v="Bydgoszcz"/>
    <x v="3"/>
    <x v="1"/>
    <x v="115"/>
  </r>
  <r>
    <s v="HERASYMOV Mykyta"/>
    <x v="0"/>
    <n v="1999"/>
    <s v="KS AZS AWFiS Gdańsk"/>
    <s v="No"/>
    <s v="Bydgoszcz"/>
    <x v="3"/>
    <x v="2"/>
    <x v="115"/>
  </r>
  <r>
    <s v="HERASYMOV Mykyta"/>
    <x v="0"/>
    <n v="1999"/>
    <s v="KS AZS AWFiS Gdańsk"/>
    <s v="No"/>
    <s v="Bydgoszcz"/>
    <x v="4"/>
    <x v="0"/>
    <x v="120"/>
  </r>
  <r>
    <s v="HERASYMOV Mykyta"/>
    <x v="0"/>
    <n v="1999"/>
    <s v="KS AZS AWFiS Gdańsk"/>
    <s v="No"/>
    <s v="Bydgoszcz"/>
    <x v="4"/>
    <x v="1"/>
    <x v="121"/>
  </r>
  <r>
    <s v="HERASYMOV Mykyta"/>
    <x v="0"/>
    <n v="1999"/>
    <s v="KS AZS AWFiS Gdańsk"/>
    <s v="No"/>
    <s v="Bydgoszcz"/>
    <x v="4"/>
    <x v="2"/>
    <x v="46"/>
  </r>
  <r>
    <s v="HERASYMOV Mykyta"/>
    <x v="0"/>
    <n v="1999"/>
    <s v="KS AZS AWFiS Gdańsk"/>
    <s v="No"/>
    <s v="Bydgoszcz"/>
    <x v="5"/>
    <x v="0"/>
    <x v="60"/>
  </r>
  <r>
    <s v="HERASYMOV Mykyta"/>
    <x v="0"/>
    <n v="1999"/>
    <s v="KS AZS AWFiS Gdańsk"/>
    <s v="No"/>
    <s v="Bydgoszcz"/>
    <x v="5"/>
    <x v="1"/>
    <x v="99"/>
  </r>
  <r>
    <s v="HERASYMOV Mykyta"/>
    <x v="0"/>
    <n v="1999"/>
    <s v="KS AZS AWFiS Gdańsk"/>
    <s v="No"/>
    <s v="Bydgoszcz"/>
    <x v="5"/>
    <x v="2"/>
    <x v="122"/>
  </r>
  <r>
    <s v="HERASYMOV Mykyta"/>
    <x v="0"/>
    <n v="1999"/>
    <s v="KS AZS AWFiS Gdańsk"/>
    <s v="No"/>
    <s v="Bydgoszcz"/>
    <x v="6"/>
    <x v="3"/>
    <x v="115"/>
  </r>
  <r>
    <s v="HERASYMOV Mykyta"/>
    <x v="0"/>
    <n v="1999"/>
    <s v="KS AZS AWFiS Gdańsk"/>
    <s v="No"/>
    <s v="Bydgoszcz"/>
    <x v="6"/>
    <x v="4"/>
    <x v="115"/>
  </r>
  <r>
    <s v="HERASYMOV Mykyta"/>
    <x v="0"/>
    <n v="1999"/>
    <s v="KS AZS AWFiS Gdańsk"/>
    <s v="No"/>
    <s v="Bydgoszcz"/>
    <x v="6"/>
    <x v="5"/>
    <x v="123"/>
  </r>
  <r>
    <s v="LESIŃSKI Piotr"/>
    <x v="0"/>
    <n v="2000"/>
    <s v="KS AZS AWFiS Gdańsk"/>
    <s v="No"/>
    <s v="Bydgoszcz"/>
    <x v="0"/>
    <x v="0"/>
    <x v="30"/>
  </r>
  <r>
    <s v="LESIŃSKI Piotr"/>
    <x v="0"/>
    <n v="2000"/>
    <s v="KS AZS AWFiS Gdańsk"/>
    <s v="No"/>
    <s v="Bydgoszcz"/>
    <x v="0"/>
    <x v="1"/>
    <x v="61"/>
  </r>
  <r>
    <s v="LESIŃSKI Piotr"/>
    <x v="0"/>
    <n v="2000"/>
    <s v="KS AZS AWFiS Gdańsk"/>
    <s v="No"/>
    <s v="Bydgoszcz"/>
    <x v="0"/>
    <x v="2"/>
    <x v="39"/>
  </r>
  <r>
    <s v="LESIŃSKI Piotr"/>
    <x v="0"/>
    <n v="2000"/>
    <s v="KS AZS AWFiS Gdańsk"/>
    <s v="No"/>
    <s v="Bydgoszcz"/>
    <x v="1"/>
    <x v="0"/>
    <x v="115"/>
  </r>
  <r>
    <s v="LESIŃSKI Piotr"/>
    <x v="0"/>
    <n v="2000"/>
    <s v="KS AZS AWFiS Gdańsk"/>
    <s v="No"/>
    <s v="Bydgoszcz"/>
    <x v="1"/>
    <x v="1"/>
    <x v="115"/>
  </r>
  <r>
    <s v="LESIŃSKI Piotr"/>
    <x v="0"/>
    <n v="2000"/>
    <s v="KS AZS AWFiS Gdańsk"/>
    <s v="No"/>
    <s v="Bydgoszcz"/>
    <x v="1"/>
    <x v="2"/>
    <x v="115"/>
  </r>
  <r>
    <s v="LESIŃSKI Piotr"/>
    <x v="0"/>
    <n v="2000"/>
    <s v="KS AZS AWFiS Gdańsk"/>
    <s v="No"/>
    <s v="Bydgoszcz"/>
    <x v="2"/>
    <x v="0"/>
    <x v="115"/>
  </r>
  <r>
    <s v="LESIŃSKI Piotr"/>
    <x v="0"/>
    <n v="2000"/>
    <s v="KS AZS AWFiS Gdańsk"/>
    <s v="No"/>
    <s v="Bydgoszcz"/>
    <x v="2"/>
    <x v="1"/>
    <x v="115"/>
  </r>
  <r>
    <s v="LESIŃSKI Piotr"/>
    <x v="0"/>
    <n v="2000"/>
    <s v="KS AZS AWFiS Gdańsk"/>
    <s v="No"/>
    <s v="Bydgoszcz"/>
    <x v="2"/>
    <x v="2"/>
    <x v="115"/>
  </r>
  <r>
    <s v="LESIŃSKI Piotr"/>
    <x v="0"/>
    <n v="2000"/>
    <s v="KS AZS AWFiS Gdańsk"/>
    <s v="No"/>
    <s v="Bydgoszcz"/>
    <x v="3"/>
    <x v="0"/>
    <x v="25"/>
  </r>
  <r>
    <s v="LESIŃSKI Piotr"/>
    <x v="0"/>
    <n v="2000"/>
    <s v="KS AZS AWFiS Gdańsk"/>
    <s v="No"/>
    <s v="Bydgoszcz"/>
    <x v="3"/>
    <x v="1"/>
    <x v="124"/>
  </r>
  <r>
    <s v="LESIŃSKI Piotr"/>
    <x v="0"/>
    <n v="2000"/>
    <s v="KS AZS AWFiS Gdańsk"/>
    <s v="No"/>
    <s v="Bydgoszcz"/>
    <x v="3"/>
    <x v="2"/>
    <x v="125"/>
  </r>
  <r>
    <s v="LESIŃSKI Piotr"/>
    <x v="0"/>
    <n v="2000"/>
    <s v="KS AZS AWFiS Gdańsk"/>
    <s v="No"/>
    <s v="Bydgoszcz"/>
    <x v="4"/>
    <x v="0"/>
    <x v="40"/>
  </r>
  <r>
    <s v="LESIŃSKI Piotr"/>
    <x v="0"/>
    <n v="2000"/>
    <s v="KS AZS AWFiS Gdańsk"/>
    <s v="No"/>
    <s v="Bydgoszcz"/>
    <x v="4"/>
    <x v="1"/>
    <x v="126"/>
  </r>
  <r>
    <s v="LESIŃSKI Piotr"/>
    <x v="0"/>
    <n v="2000"/>
    <s v="KS AZS AWFiS Gdańsk"/>
    <s v="No"/>
    <s v="Bydgoszcz"/>
    <x v="4"/>
    <x v="2"/>
    <x v="29"/>
  </r>
  <r>
    <s v="LESIŃSKI Piotr"/>
    <x v="0"/>
    <n v="2000"/>
    <s v="KS AZS AWFiS Gdańsk"/>
    <s v="No"/>
    <s v="Bydgoszcz"/>
    <x v="5"/>
    <x v="0"/>
    <x v="115"/>
  </r>
  <r>
    <s v="LESIŃSKI Piotr"/>
    <x v="0"/>
    <n v="2000"/>
    <s v="KS AZS AWFiS Gdańsk"/>
    <s v="No"/>
    <s v="Bydgoszcz"/>
    <x v="5"/>
    <x v="1"/>
    <x v="115"/>
  </r>
  <r>
    <s v="LESIŃSKI Piotr"/>
    <x v="0"/>
    <n v="2000"/>
    <s v="KS AZS AWFiS Gdańsk"/>
    <s v="No"/>
    <s v="Bydgoszcz"/>
    <x v="5"/>
    <x v="2"/>
    <x v="115"/>
  </r>
  <r>
    <s v="LESIŃSKI Piotr"/>
    <x v="0"/>
    <n v="2000"/>
    <s v="KS AZS AWFiS Gdańsk"/>
    <s v="No"/>
    <s v="Bydgoszcz"/>
    <x v="6"/>
    <x v="3"/>
    <x v="115"/>
  </r>
  <r>
    <s v="LESIŃSKI Piotr"/>
    <x v="0"/>
    <n v="2000"/>
    <s v="KS AZS AWFiS Gdańsk"/>
    <s v="No"/>
    <s v="Bydgoszcz"/>
    <x v="6"/>
    <x v="4"/>
    <x v="115"/>
  </r>
  <r>
    <s v="LESIŃSKI Piotr"/>
    <x v="0"/>
    <n v="2000"/>
    <s v="KS AZS AWFiS Gdańsk"/>
    <s v="No"/>
    <s v="Bydgoszcz"/>
    <x v="6"/>
    <x v="5"/>
    <x v="127"/>
  </r>
  <r>
    <s v="YAREMCHUK Vladyslav"/>
    <x v="0"/>
    <n v="2002"/>
    <s v="KS AZS AWF Katowice"/>
    <s v="No"/>
    <s v="Bydgoszcz"/>
    <x v="0"/>
    <x v="0"/>
    <x v="115"/>
  </r>
  <r>
    <s v="YAREMCHUK Vladyslav"/>
    <x v="0"/>
    <n v="2002"/>
    <s v="KS AZS AWF Katowice"/>
    <s v="No"/>
    <s v="Bydgoszcz"/>
    <x v="0"/>
    <x v="1"/>
    <x v="115"/>
  </r>
  <r>
    <s v="YAREMCHUK Vladyslav"/>
    <x v="0"/>
    <n v="2002"/>
    <s v="KS AZS AWF Katowice"/>
    <s v="No"/>
    <s v="Bydgoszcz"/>
    <x v="0"/>
    <x v="2"/>
    <x v="115"/>
  </r>
  <r>
    <s v="YAREMCHUK Vladyslav"/>
    <x v="0"/>
    <n v="2002"/>
    <s v="KS AZS AWF Katowice"/>
    <s v="No"/>
    <s v="Bydgoszcz"/>
    <x v="1"/>
    <x v="0"/>
    <x v="22"/>
  </r>
  <r>
    <s v="YAREMCHUK Vladyslav"/>
    <x v="0"/>
    <n v="2002"/>
    <s v="KS AZS AWF Katowice"/>
    <s v="No"/>
    <s v="Bydgoszcz"/>
    <x v="1"/>
    <x v="1"/>
    <x v="128"/>
  </r>
  <r>
    <s v="YAREMCHUK Vladyslav"/>
    <x v="0"/>
    <n v="2002"/>
    <s v="KS AZS AWF Katowice"/>
    <s v="No"/>
    <s v="Bydgoszcz"/>
    <x v="1"/>
    <x v="2"/>
    <x v="129"/>
  </r>
  <r>
    <s v="YAREMCHUK Vladyslav"/>
    <x v="0"/>
    <n v="2002"/>
    <s v="KS AZS AWF Katowice"/>
    <s v="No"/>
    <s v="Bydgoszcz"/>
    <x v="2"/>
    <x v="0"/>
    <x v="30"/>
  </r>
  <r>
    <s v="YAREMCHUK Vladyslav"/>
    <x v="0"/>
    <n v="2002"/>
    <s v="KS AZS AWF Katowice"/>
    <s v="No"/>
    <s v="Bydgoszcz"/>
    <x v="2"/>
    <x v="1"/>
    <x v="31"/>
  </r>
  <r>
    <s v="YAREMCHUK Vladyslav"/>
    <x v="0"/>
    <n v="2002"/>
    <s v="KS AZS AWF Katowice"/>
    <s v="No"/>
    <s v="Bydgoszcz"/>
    <x v="2"/>
    <x v="2"/>
    <x v="32"/>
  </r>
  <r>
    <s v="YAREMCHUK Vladyslav"/>
    <x v="0"/>
    <n v="2002"/>
    <s v="KS AZS AWF Katowice"/>
    <s v="No"/>
    <s v="Bydgoszcz"/>
    <x v="3"/>
    <x v="0"/>
    <x v="115"/>
  </r>
  <r>
    <s v="YAREMCHUK Vladyslav"/>
    <x v="0"/>
    <n v="2002"/>
    <s v="KS AZS AWF Katowice"/>
    <s v="No"/>
    <s v="Bydgoszcz"/>
    <x v="3"/>
    <x v="1"/>
    <x v="115"/>
  </r>
  <r>
    <s v="YAREMCHUK Vladyslav"/>
    <x v="0"/>
    <n v="2002"/>
    <s v="KS AZS AWF Katowice"/>
    <s v="No"/>
    <s v="Bydgoszcz"/>
    <x v="3"/>
    <x v="2"/>
    <x v="115"/>
  </r>
  <r>
    <s v="YAREMCHUK Vladyslav"/>
    <x v="0"/>
    <n v="2002"/>
    <s v="KS AZS AWF Katowice"/>
    <s v="No"/>
    <s v="Bydgoszcz"/>
    <x v="4"/>
    <x v="0"/>
    <x v="115"/>
  </r>
  <r>
    <s v="YAREMCHUK Vladyslav"/>
    <x v="0"/>
    <n v="2002"/>
    <s v="KS AZS AWF Katowice"/>
    <s v="No"/>
    <s v="Bydgoszcz"/>
    <x v="4"/>
    <x v="1"/>
    <x v="115"/>
  </r>
  <r>
    <s v="YAREMCHUK Vladyslav"/>
    <x v="0"/>
    <n v="2002"/>
    <s v="KS AZS AWF Katowice"/>
    <s v="No"/>
    <s v="Bydgoszcz"/>
    <x v="4"/>
    <x v="2"/>
    <x v="115"/>
  </r>
  <r>
    <s v="YAREMCHUK Vladyslav"/>
    <x v="0"/>
    <n v="2002"/>
    <s v="KS AZS AWF Katowice"/>
    <s v="No"/>
    <s v="Bydgoszcz"/>
    <x v="5"/>
    <x v="0"/>
    <x v="22"/>
  </r>
  <r>
    <s v="YAREMCHUK Vladyslav"/>
    <x v="0"/>
    <n v="2002"/>
    <s v="KS AZS AWF Katowice"/>
    <s v="No"/>
    <s v="Bydgoszcz"/>
    <x v="5"/>
    <x v="1"/>
    <x v="31"/>
  </r>
  <r>
    <s v="YAREMCHUK Vladyslav"/>
    <x v="0"/>
    <n v="2002"/>
    <s v="KS AZS AWF Katowice"/>
    <s v="No"/>
    <s v="Bydgoszcz"/>
    <x v="5"/>
    <x v="2"/>
    <x v="21"/>
  </r>
  <r>
    <s v="YAREMCHUK Vladyslav"/>
    <x v="0"/>
    <n v="2002"/>
    <s v="KS AZS AWF Katowice"/>
    <s v="No"/>
    <s v="Bydgoszcz"/>
    <x v="6"/>
    <x v="3"/>
    <x v="115"/>
  </r>
  <r>
    <s v="YAREMCHUK Vladyslav"/>
    <x v="0"/>
    <n v="2002"/>
    <s v="KS AZS AWF Katowice"/>
    <s v="No"/>
    <s v="Bydgoszcz"/>
    <x v="6"/>
    <x v="4"/>
    <x v="115"/>
  </r>
  <r>
    <s v="YAREMCHUK Vladyslav"/>
    <x v="0"/>
    <n v="2002"/>
    <s v="KS AZS AWF Katowice"/>
    <s v="No"/>
    <s v="Bydgoszcz"/>
    <x v="6"/>
    <x v="5"/>
    <x v="130"/>
  </r>
  <r>
    <s v="KUROWSKI Jakub"/>
    <x v="0"/>
    <n v="2004"/>
    <s v="MKS Kusy Szczecin"/>
    <s v="No"/>
    <s v="Bydgoszcz"/>
    <x v="0"/>
    <x v="0"/>
    <x v="115"/>
  </r>
  <r>
    <s v="KUROWSKI Jakub"/>
    <x v="0"/>
    <n v="2004"/>
    <s v="MKS Kusy Szczecin"/>
    <s v="No"/>
    <s v="Bydgoszcz"/>
    <x v="0"/>
    <x v="1"/>
    <x v="115"/>
  </r>
  <r>
    <s v="KUROWSKI Jakub"/>
    <x v="0"/>
    <n v="2004"/>
    <s v="MKS Kusy Szczecin"/>
    <s v="No"/>
    <s v="Bydgoszcz"/>
    <x v="0"/>
    <x v="2"/>
    <x v="115"/>
  </r>
  <r>
    <s v="KUROWSKI Jakub"/>
    <x v="0"/>
    <n v="2004"/>
    <s v="MKS Kusy Szczecin"/>
    <s v="No"/>
    <s v="Bydgoszcz"/>
    <x v="1"/>
    <x v="0"/>
    <x v="115"/>
  </r>
  <r>
    <s v="KUROWSKI Jakub"/>
    <x v="0"/>
    <n v="2004"/>
    <s v="MKS Kusy Szczecin"/>
    <s v="No"/>
    <s v="Bydgoszcz"/>
    <x v="1"/>
    <x v="1"/>
    <x v="115"/>
  </r>
  <r>
    <s v="KUROWSKI Jakub"/>
    <x v="0"/>
    <n v="2004"/>
    <s v="MKS Kusy Szczecin"/>
    <s v="No"/>
    <s v="Bydgoszcz"/>
    <x v="1"/>
    <x v="2"/>
    <x v="115"/>
  </r>
  <r>
    <s v="KUROWSKI Jakub"/>
    <x v="0"/>
    <n v="2004"/>
    <s v="MKS Kusy Szczecin"/>
    <s v="No"/>
    <s v="Bydgoszcz"/>
    <x v="2"/>
    <x v="0"/>
    <x v="42"/>
  </r>
  <r>
    <s v="KUROWSKI Jakub"/>
    <x v="0"/>
    <n v="2004"/>
    <s v="MKS Kusy Szczecin"/>
    <s v="No"/>
    <s v="Bydgoszcz"/>
    <x v="2"/>
    <x v="1"/>
    <x v="95"/>
  </r>
  <r>
    <s v="KUROWSKI Jakub"/>
    <x v="0"/>
    <n v="2004"/>
    <s v="MKS Kusy Szczecin"/>
    <s v="No"/>
    <s v="Bydgoszcz"/>
    <x v="2"/>
    <x v="2"/>
    <x v="62"/>
  </r>
  <r>
    <s v="KUROWSKI Jakub"/>
    <x v="0"/>
    <n v="2004"/>
    <s v="MKS Kusy Szczecin"/>
    <s v="No"/>
    <s v="Bydgoszcz"/>
    <x v="3"/>
    <x v="0"/>
    <x v="115"/>
  </r>
  <r>
    <s v="KUROWSKI Jakub"/>
    <x v="0"/>
    <n v="2004"/>
    <s v="MKS Kusy Szczecin"/>
    <s v="No"/>
    <s v="Bydgoszcz"/>
    <x v="3"/>
    <x v="1"/>
    <x v="115"/>
  </r>
  <r>
    <s v="KUROWSKI Jakub"/>
    <x v="0"/>
    <n v="2004"/>
    <s v="MKS Kusy Szczecin"/>
    <s v="No"/>
    <s v="Bydgoszcz"/>
    <x v="3"/>
    <x v="2"/>
    <x v="115"/>
  </r>
  <r>
    <s v="KUROWSKI Jakub"/>
    <x v="0"/>
    <n v="2004"/>
    <s v="MKS Kusy Szczecin"/>
    <s v="No"/>
    <s v="Bydgoszcz"/>
    <x v="4"/>
    <x v="0"/>
    <x v="40"/>
  </r>
  <r>
    <s v="KUROWSKI Jakub"/>
    <x v="0"/>
    <n v="2004"/>
    <s v="MKS Kusy Szczecin"/>
    <s v="No"/>
    <s v="Bydgoszcz"/>
    <x v="4"/>
    <x v="1"/>
    <x v="131"/>
  </r>
  <r>
    <s v="KUROWSKI Jakub"/>
    <x v="0"/>
    <n v="2004"/>
    <s v="MKS Kusy Szczecin"/>
    <s v="No"/>
    <s v="Bydgoszcz"/>
    <x v="4"/>
    <x v="2"/>
    <x v="132"/>
  </r>
  <r>
    <s v="KUROWSKI Jakub"/>
    <x v="0"/>
    <n v="2004"/>
    <s v="MKS Kusy Szczecin"/>
    <s v="No"/>
    <s v="Bydgoszcz"/>
    <x v="5"/>
    <x v="0"/>
    <x v="133"/>
  </r>
  <r>
    <s v="KUROWSKI Jakub"/>
    <x v="0"/>
    <n v="2004"/>
    <s v="MKS Kusy Szczecin"/>
    <s v="No"/>
    <s v="Bydgoszcz"/>
    <x v="5"/>
    <x v="1"/>
    <x v="31"/>
  </r>
  <r>
    <s v="KUROWSKI Jakub"/>
    <x v="0"/>
    <n v="2004"/>
    <s v="MKS Kusy Szczecin"/>
    <s v="No"/>
    <s v="Bydgoszcz"/>
    <x v="5"/>
    <x v="2"/>
    <x v="66"/>
  </r>
  <r>
    <s v="KUROWSKI Jakub"/>
    <x v="0"/>
    <n v="2004"/>
    <s v="MKS Kusy Szczecin"/>
    <s v="No"/>
    <s v="Bydgoszcz"/>
    <x v="6"/>
    <x v="3"/>
    <x v="115"/>
  </r>
  <r>
    <s v="KUROWSKI Jakub"/>
    <x v="0"/>
    <n v="2004"/>
    <s v="MKS Kusy Szczecin"/>
    <s v="No"/>
    <s v="Bydgoszcz"/>
    <x v="6"/>
    <x v="4"/>
    <x v="115"/>
  </r>
  <r>
    <s v="KUROWSKI Jakub"/>
    <x v="0"/>
    <n v="2004"/>
    <s v="MKS Kusy Szczecin"/>
    <s v="No"/>
    <s v="Bydgoszcz"/>
    <x v="6"/>
    <x v="5"/>
    <x v="134"/>
  </r>
  <r>
    <s v="KUŹMIŃSKI Bartosz"/>
    <x v="0"/>
    <n v="2004"/>
    <s v="MKS Kusy Szczecin"/>
    <s v="No"/>
    <s v="Bydgoszcz"/>
    <x v="0"/>
    <x v="0"/>
    <x v="54"/>
  </r>
  <r>
    <s v="KUŹMIŃSKI Bartosz"/>
    <x v="0"/>
    <n v="2004"/>
    <s v="MKS Kusy Szczecin"/>
    <s v="No"/>
    <s v="Bydgoszcz"/>
    <x v="0"/>
    <x v="1"/>
    <x v="31"/>
  </r>
  <r>
    <s v="KUŹMIŃSKI Bartosz"/>
    <x v="0"/>
    <n v="2004"/>
    <s v="MKS Kusy Szczecin"/>
    <s v="No"/>
    <s v="Bydgoszcz"/>
    <x v="0"/>
    <x v="2"/>
    <x v="89"/>
  </r>
  <r>
    <s v="KUŹMIŃSKI Bartosz"/>
    <x v="0"/>
    <n v="2004"/>
    <s v="MKS Kusy Szczecin"/>
    <s v="No"/>
    <s v="Bydgoszcz"/>
    <x v="1"/>
    <x v="0"/>
    <x v="135"/>
  </r>
  <r>
    <s v="KUŹMIŃSKI Bartosz"/>
    <x v="0"/>
    <n v="2004"/>
    <s v="MKS Kusy Szczecin"/>
    <s v="No"/>
    <s v="Bydgoszcz"/>
    <x v="1"/>
    <x v="1"/>
    <x v="136"/>
  </r>
  <r>
    <s v="KUŹMIŃSKI Bartosz"/>
    <x v="0"/>
    <n v="2004"/>
    <s v="MKS Kusy Szczecin"/>
    <s v="No"/>
    <s v="Bydgoszcz"/>
    <x v="1"/>
    <x v="2"/>
    <x v="94"/>
  </r>
  <r>
    <s v="KUŹMIŃSKI Bartosz"/>
    <x v="0"/>
    <n v="2004"/>
    <s v="MKS Kusy Szczecin"/>
    <s v="No"/>
    <s v="Bydgoszcz"/>
    <x v="2"/>
    <x v="0"/>
    <x v="115"/>
  </r>
  <r>
    <s v="KUŹMIŃSKI Bartosz"/>
    <x v="0"/>
    <n v="2004"/>
    <s v="MKS Kusy Szczecin"/>
    <s v="No"/>
    <s v="Bydgoszcz"/>
    <x v="2"/>
    <x v="1"/>
    <x v="115"/>
  </r>
  <r>
    <s v="KUŹMIŃSKI Bartosz"/>
    <x v="0"/>
    <n v="2004"/>
    <s v="MKS Kusy Szczecin"/>
    <s v="No"/>
    <s v="Bydgoszcz"/>
    <x v="2"/>
    <x v="2"/>
    <x v="115"/>
  </r>
  <r>
    <s v="KUŹMIŃSKI Bartosz"/>
    <x v="0"/>
    <n v="2004"/>
    <s v="MKS Kusy Szczecin"/>
    <s v="No"/>
    <s v="Bydgoszcz"/>
    <x v="3"/>
    <x v="0"/>
    <x v="115"/>
  </r>
  <r>
    <s v="KUŹMIŃSKI Bartosz"/>
    <x v="0"/>
    <n v="2004"/>
    <s v="MKS Kusy Szczecin"/>
    <s v="No"/>
    <s v="Bydgoszcz"/>
    <x v="3"/>
    <x v="1"/>
    <x v="115"/>
  </r>
  <r>
    <s v="KUŹMIŃSKI Bartosz"/>
    <x v="0"/>
    <n v="2004"/>
    <s v="MKS Kusy Szczecin"/>
    <s v="No"/>
    <s v="Bydgoszcz"/>
    <x v="3"/>
    <x v="2"/>
    <x v="115"/>
  </r>
  <r>
    <s v="KUŹMIŃSKI Bartosz"/>
    <x v="0"/>
    <n v="2004"/>
    <s v="MKS Kusy Szczecin"/>
    <s v="No"/>
    <s v="Bydgoszcz"/>
    <x v="4"/>
    <x v="0"/>
    <x v="120"/>
  </r>
  <r>
    <s v="KUŹMIŃSKI Bartosz"/>
    <x v="0"/>
    <n v="2004"/>
    <s v="MKS Kusy Szczecin"/>
    <s v="No"/>
    <s v="Bydgoszcz"/>
    <x v="4"/>
    <x v="1"/>
    <x v="137"/>
  </r>
  <r>
    <s v="KUŹMIŃSKI Bartosz"/>
    <x v="0"/>
    <n v="2004"/>
    <s v="MKS Kusy Szczecin"/>
    <s v="No"/>
    <s v="Bydgoszcz"/>
    <x v="4"/>
    <x v="2"/>
    <x v="138"/>
  </r>
  <r>
    <s v="KUŹMIŃSKI Bartosz"/>
    <x v="0"/>
    <n v="2004"/>
    <s v="MKS Kusy Szczecin"/>
    <s v="No"/>
    <s v="Bydgoszcz"/>
    <x v="5"/>
    <x v="0"/>
    <x v="115"/>
  </r>
  <r>
    <s v="KUŹMIŃSKI Bartosz"/>
    <x v="0"/>
    <n v="2004"/>
    <s v="MKS Kusy Szczecin"/>
    <s v="No"/>
    <s v="Bydgoszcz"/>
    <x v="5"/>
    <x v="1"/>
    <x v="115"/>
  </r>
  <r>
    <s v="KUŹMIŃSKI Bartosz"/>
    <x v="0"/>
    <n v="2004"/>
    <s v="MKS Kusy Szczecin"/>
    <s v="No"/>
    <s v="Bydgoszcz"/>
    <x v="5"/>
    <x v="2"/>
    <x v="115"/>
  </r>
  <r>
    <s v="KUŹMIŃSKI Bartosz"/>
    <x v="0"/>
    <n v="2004"/>
    <s v="MKS Kusy Szczecin"/>
    <s v="No"/>
    <s v="Bydgoszcz"/>
    <x v="6"/>
    <x v="3"/>
    <x v="115"/>
  </r>
  <r>
    <s v="KUŹMIŃSKI Bartosz"/>
    <x v="0"/>
    <n v="2004"/>
    <s v="MKS Kusy Szczecin"/>
    <s v="No"/>
    <s v="Bydgoszcz"/>
    <x v="6"/>
    <x v="4"/>
    <x v="115"/>
  </r>
  <r>
    <s v="KUŹMIŃSKI Bartosz"/>
    <x v="0"/>
    <n v="2004"/>
    <s v="MKS Kusy Szczecin"/>
    <s v="No"/>
    <s v="Bydgoszcz"/>
    <x v="6"/>
    <x v="5"/>
    <x v="139"/>
  </r>
  <r>
    <s v="SZYMCZYK Radosław"/>
    <x v="0"/>
    <n v="2004"/>
    <s v="KS AZS AWF Kraków"/>
    <s v="No"/>
    <s v="Bydgoszcz"/>
    <x v="0"/>
    <x v="0"/>
    <x v="115"/>
  </r>
  <r>
    <s v="SZYMCZYK Radosław"/>
    <x v="0"/>
    <n v="2004"/>
    <s v="KS AZS AWF Kraków"/>
    <s v="No"/>
    <s v="Bydgoszcz"/>
    <x v="0"/>
    <x v="1"/>
    <x v="115"/>
  </r>
  <r>
    <s v="SZYMCZYK Radosław"/>
    <x v="0"/>
    <n v="2004"/>
    <s v="KS AZS AWF Kraków"/>
    <s v="No"/>
    <s v="Bydgoszcz"/>
    <x v="0"/>
    <x v="2"/>
    <x v="115"/>
  </r>
  <r>
    <s v="SZYMCZYK Radosław"/>
    <x v="0"/>
    <n v="2004"/>
    <s v="KS AZS AWF Kraków"/>
    <s v="No"/>
    <s v="Bydgoszcz"/>
    <x v="1"/>
    <x v="0"/>
    <x v="25"/>
  </r>
  <r>
    <s v="SZYMCZYK Radosław"/>
    <x v="0"/>
    <n v="2004"/>
    <s v="KS AZS AWF Kraków"/>
    <s v="No"/>
    <s v="Bydgoszcz"/>
    <x v="1"/>
    <x v="1"/>
    <x v="126"/>
  </r>
  <r>
    <s v="SZYMCZYK Radosław"/>
    <x v="0"/>
    <n v="2004"/>
    <s v="KS AZS AWF Kraków"/>
    <s v="No"/>
    <s v="Bydgoszcz"/>
    <x v="1"/>
    <x v="2"/>
    <x v="140"/>
  </r>
  <r>
    <s v="SZYMCZYK Radosław"/>
    <x v="0"/>
    <n v="2004"/>
    <s v="KS AZS AWF Kraków"/>
    <s v="No"/>
    <s v="Bydgoszcz"/>
    <x v="2"/>
    <x v="0"/>
    <x v="115"/>
  </r>
  <r>
    <s v="SZYMCZYK Radosław"/>
    <x v="0"/>
    <n v="2004"/>
    <s v="KS AZS AWF Kraków"/>
    <s v="No"/>
    <s v="Bydgoszcz"/>
    <x v="2"/>
    <x v="1"/>
    <x v="115"/>
  </r>
  <r>
    <s v="SZYMCZYK Radosław"/>
    <x v="0"/>
    <n v="2004"/>
    <s v="KS AZS AWF Kraków"/>
    <s v="No"/>
    <s v="Bydgoszcz"/>
    <x v="2"/>
    <x v="2"/>
    <x v="115"/>
  </r>
  <r>
    <s v="SZYMCZYK Radosław"/>
    <x v="0"/>
    <n v="2004"/>
    <s v="KS AZS AWF Kraków"/>
    <s v="No"/>
    <s v="Bydgoszcz"/>
    <x v="3"/>
    <x v="0"/>
    <x v="115"/>
  </r>
  <r>
    <s v="SZYMCZYK Radosław"/>
    <x v="0"/>
    <n v="2004"/>
    <s v="KS AZS AWF Kraków"/>
    <s v="No"/>
    <s v="Bydgoszcz"/>
    <x v="3"/>
    <x v="1"/>
    <x v="115"/>
  </r>
  <r>
    <s v="SZYMCZYK Radosław"/>
    <x v="0"/>
    <n v="2004"/>
    <s v="KS AZS AWF Kraków"/>
    <s v="No"/>
    <s v="Bydgoszcz"/>
    <x v="3"/>
    <x v="2"/>
    <x v="115"/>
  </r>
  <r>
    <s v="SZYMCZYK Radosław"/>
    <x v="0"/>
    <n v="2004"/>
    <s v="KS AZS AWF Kraków"/>
    <s v="No"/>
    <s v="Bydgoszcz"/>
    <x v="4"/>
    <x v="0"/>
    <x v="115"/>
  </r>
  <r>
    <s v="SZYMCZYK Radosław"/>
    <x v="0"/>
    <n v="2004"/>
    <s v="KS AZS AWF Kraków"/>
    <s v="No"/>
    <s v="Bydgoszcz"/>
    <x v="4"/>
    <x v="1"/>
    <x v="115"/>
  </r>
  <r>
    <s v="SZYMCZYK Radosław"/>
    <x v="0"/>
    <n v="2004"/>
    <s v="KS AZS AWF Kraków"/>
    <s v="No"/>
    <s v="Bydgoszcz"/>
    <x v="4"/>
    <x v="2"/>
    <x v="115"/>
  </r>
  <r>
    <s v="SZYMCZYK Radosław"/>
    <x v="0"/>
    <n v="2004"/>
    <s v="KS AZS AWF Kraków"/>
    <s v="No"/>
    <s v="Bydgoszcz"/>
    <x v="5"/>
    <x v="0"/>
    <x v="115"/>
  </r>
  <r>
    <s v="SZYMCZYK Radosław"/>
    <x v="0"/>
    <n v="2004"/>
    <s v="KS AZS AWF Kraków"/>
    <s v="No"/>
    <s v="Bydgoszcz"/>
    <x v="5"/>
    <x v="1"/>
    <x v="115"/>
  </r>
  <r>
    <s v="SZYMCZYK Radosław"/>
    <x v="0"/>
    <n v="2004"/>
    <s v="KS AZS AWF Kraków"/>
    <s v="No"/>
    <s v="Bydgoszcz"/>
    <x v="5"/>
    <x v="2"/>
    <x v="115"/>
  </r>
  <r>
    <s v="SZYMCZYK Radosław"/>
    <x v="0"/>
    <n v="2004"/>
    <s v="KS AZS AWF Kraków"/>
    <s v="No"/>
    <s v="Bydgoszcz"/>
    <x v="6"/>
    <x v="3"/>
    <x v="115"/>
  </r>
  <r>
    <s v="SZYMCZYK Radosław"/>
    <x v="0"/>
    <n v="2004"/>
    <s v="KS AZS AWF Kraków"/>
    <s v="No"/>
    <s v="Bydgoszcz"/>
    <x v="6"/>
    <x v="4"/>
    <x v="115"/>
  </r>
  <r>
    <s v="SZYMCZYK Radosław"/>
    <x v="0"/>
    <n v="2004"/>
    <s v="KS AZS AWF Kraków"/>
    <s v="No"/>
    <s v="Bydgoszcz"/>
    <x v="6"/>
    <x v="5"/>
    <x v="140"/>
  </r>
  <r>
    <s v="LEKHAC Tomasz"/>
    <x v="1"/>
    <n v="2008"/>
    <s v="CWZS Zawisza KG Bydgoszcz"/>
    <s v="Yes"/>
    <s v="Bydgoszcz"/>
    <x v="0"/>
    <x v="0"/>
    <x v="25"/>
  </r>
  <r>
    <s v="LEKHAC Tomasz"/>
    <x v="1"/>
    <n v="2008"/>
    <s v="CWZS Zawisza KG Bydgoszcz"/>
    <s v="Yes"/>
    <s v="Bydgoszcz"/>
    <x v="0"/>
    <x v="1"/>
    <x v="141"/>
  </r>
  <r>
    <s v="LEKHAC Tomasz"/>
    <x v="1"/>
    <n v="2008"/>
    <s v="CWZS Zawisza KG Bydgoszcz"/>
    <s v="Yes"/>
    <s v="Bydgoszcz"/>
    <x v="0"/>
    <x v="2"/>
    <x v="142"/>
  </r>
  <r>
    <s v="LEKHAC Tomasz"/>
    <x v="1"/>
    <n v="2008"/>
    <s v="CWZS Zawisza KG Bydgoszcz"/>
    <s v="Yes"/>
    <s v="Bydgoszcz"/>
    <x v="1"/>
    <x v="0"/>
    <x v="22"/>
  </r>
  <r>
    <s v="LEKHAC Tomasz"/>
    <x v="1"/>
    <n v="2008"/>
    <s v="CWZS Zawisza KG Bydgoszcz"/>
    <s v="Yes"/>
    <s v="Bydgoszcz"/>
    <x v="1"/>
    <x v="1"/>
    <x v="141"/>
  </r>
  <r>
    <s v="LEKHAC Tomasz"/>
    <x v="1"/>
    <n v="2008"/>
    <s v="CWZS Zawisza KG Bydgoszcz"/>
    <s v="Yes"/>
    <s v="Bydgoszcz"/>
    <x v="1"/>
    <x v="2"/>
    <x v="143"/>
  </r>
  <r>
    <s v="LEKHAC Tomasz"/>
    <x v="1"/>
    <n v="2008"/>
    <s v="CWZS Zawisza KG Bydgoszcz"/>
    <s v="Yes"/>
    <s v="Bydgoszcz"/>
    <x v="2"/>
    <x v="0"/>
    <x v="110"/>
  </r>
  <r>
    <s v="LEKHAC Tomasz"/>
    <x v="1"/>
    <n v="2008"/>
    <s v="CWZS Zawisza KG Bydgoszcz"/>
    <s v="Yes"/>
    <s v="Bydgoszcz"/>
    <x v="2"/>
    <x v="1"/>
    <x v="144"/>
  </r>
  <r>
    <s v="LEKHAC Tomasz"/>
    <x v="1"/>
    <n v="2008"/>
    <s v="CWZS Zawisza KG Bydgoszcz"/>
    <s v="Yes"/>
    <s v="Bydgoszcz"/>
    <x v="2"/>
    <x v="2"/>
    <x v="145"/>
  </r>
  <r>
    <s v="LEKHAC Tomasz"/>
    <x v="1"/>
    <n v="2008"/>
    <s v="CWZS Zawisza KG Bydgoszcz"/>
    <s v="Yes"/>
    <s v="Bydgoszcz"/>
    <x v="3"/>
    <x v="0"/>
    <x v="146"/>
  </r>
  <r>
    <s v="LEKHAC Tomasz"/>
    <x v="1"/>
    <n v="2008"/>
    <s v="CWZS Zawisza KG Bydgoszcz"/>
    <s v="Yes"/>
    <s v="Bydgoszcz"/>
    <x v="3"/>
    <x v="1"/>
    <x v="147"/>
  </r>
  <r>
    <s v="LEKHAC Tomasz"/>
    <x v="1"/>
    <n v="2008"/>
    <s v="CWZS Zawisza KG Bydgoszcz"/>
    <s v="Yes"/>
    <s v="Bydgoszcz"/>
    <x v="3"/>
    <x v="2"/>
    <x v="48"/>
  </r>
  <r>
    <s v="LEKHAC Tomasz"/>
    <x v="1"/>
    <n v="2008"/>
    <s v="CWZS Zawisza KG Bydgoszcz"/>
    <s v="Yes"/>
    <s v="Bydgoszcz"/>
    <x v="4"/>
    <x v="0"/>
    <x v="30"/>
  </r>
  <r>
    <s v="LEKHAC Tomasz"/>
    <x v="1"/>
    <n v="2008"/>
    <s v="CWZS Zawisza KG Bydgoszcz"/>
    <s v="Yes"/>
    <s v="Bydgoszcz"/>
    <x v="4"/>
    <x v="1"/>
    <x v="148"/>
  </r>
  <r>
    <s v="LEKHAC Tomasz"/>
    <x v="1"/>
    <n v="2008"/>
    <s v="CWZS Zawisza KG Bydgoszcz"/>
    <s v="Yes"/>
    <s v="Bydgoszcz"/>
    <x v="4"/>
    <x v="2"/>
    <x v="140"/>
  </r>
  <r>
    <s v="LEKHAC Tomasz"/>
    <x v="1"/>
    <n v="2008"/>
    <s v="CWZS Zawisza KG Bydgoszcz"/>
    <s v="Yes"/>
    <s v="Bydgoszcz"/>
    <x v="5"/>
    <x v="0"/>
    <x v="112"/>
  </r>
  <r>
    <s v="LEKHAC Tomasz"/>
    <x v="1"/>
    <n v="2008"/>
    <s v="CWZS Zawisza KG Bydgoszcz"/>
    <s v="Yes"/>
    <s v="Bydgoszcz"/>
    <x v="5"/>
    <x v="1"/>
    <x v="26"/>
  </r>
  <r>
    <s v="LEKHAC Tomasz"/>
    <x v="1"/>
    <n v="2008"/>
    <s v="CWZS Zawisza KG Bydgoszcz"/>
    <s v="Yes"/>
    <s v="Bydgoszcz"/>
    <x v="5"/>
    <x v="2"/>
    <x v="48"/>
  </r>
  <r>
    <s v="LEKHAC Tomasz"/>
    <x v="1"/>
    <n v="2008"/>
    <s v="CWZS Zawisza KG Bydgoszcz"/>
    <s v="Yes"/>
    <s v="Bydgoszcz"/>
    <x v="6"/>
    <x v="3"/>
    <x v="149"/>
  </r>
  <r>
    <s v="LEKHAC Tomasz"/>
    <x v="1"/>
    <n v="2008"/>
    <s v="CWZS Zawisza KG Bydgoszcz"/>
    <s v="Yes"/>
    <s v="Bydgoszcz"/>
    <x v="6"/>
    <x v="4"/>
    <x v="150"/>
  </r>
  <r>
    <s v="LEKHAC Tomasz"/>
    <x v="1"/>
    <n v="2008"/>
    <s v="CWZS Zawisza KG Bydgoszcz"/>
    <s v="Yes"/>
    <s v="Bydgoszcz"/>
    <x v="6"/>
    <x v="5"/>
    <x v="151"/>
  </r>
  <r>
    <s v="MISHCHENKO Oleksandr"/>
    <x v="1"/>
    <n v="2005"/>
    <s v="MKS Kusy Szczecin"/>
    <s v="Yes"/>
    <s v="Bydgoszcz"/>
    <x v="0"/>
    <x v="0"/>
    <x v="25"/>
  </r>
  <r>
    <s v="MISHCHENKO Oleksandr"/>
    <x v="1"/>
    <n v="2005"/>
    <s v="MKS Kusy Szczecin"/>
    <s v="Yes"/>
    <s v="Bydgoszcz"/>
    <x v="0"/>
    <x v="1"/>
    <x v="1"/>
  </r>
  <r>
    <s v="MISHCHENKO Oleksandr"/>
    <x v="1"/>
    <n v="2005"/>
    <s v="MKS Kusy Szczecin"/>
    <s v="Yes"/>
    <s v="Bydgoszcz"/>
    <x v="0"/>
    <x v="2"/>
    <x v="8"/>
  </r>
  <r>
    <s v="MISHCHENKO Oleksandr"/>
    <x v="1"/>
    <n v="2005"/>
    <s v="MKS Kusy Szczecin"/>
    <s v="Yes"/>
    <s v="Bydgoszcz"/>
    <x v="1"/>
    <x v="0"/>
    <x v="80"/>
  </r>
  <r>
    <s v="MISHCHENKO Oleksandr"/>
    <x v="1"/>
    <n v="2005"/>
    <s v="MKS Kusy Szczecin"/>
    <s v="Yes"/>
    <s v="Bydgoszcz"/>
    <x v="1"/>
    <x v="1"/>
    <x v="118"/>
  </r>
  <r>
    <s v="MISHCHENKO Oleksandr"/>
    <x v="1"/>
    <n v="2005"/>
    <s v="MKS Kusy Szczecin"/>
    <s v="Yes"/>
    <s v="Bydgoszcz"/>
    <x v="1"/>
    <x v="2"/>
    <x v="152"/>
  </r>
  <r>
    <s v="MISHCHENKO Oleksandr"/>
    <x v="1"/>
    <n v="2005"/>
    <s v="MKS Kusy Szczecin"/>
    <s v="Yes"/>
    <s v="Bydgoszcz"/>
    <x v="2"/>
    <x v="0"/>
    <x v="98"/>
  </r>
  <r>
    <s v="MISHCHENKO Oleksandr"/>
    <x v="1"/>
    <n v="2005"/>
    <s v="MKS Kusy Szczecin"/>
    <s v="Yes"/>
    <s v="Bydgoszcz"/>
    <x v="2"/>
    <x v="1"/>
    <x v="15"/>
  </r>
  <r>
    <s v="MISHCHENKO Oleksandr"/>
    <x v="1"/>
    <n v="2005"/>
    <s v="MKS Kusy Szczecin"/>
    <s v="Yes"/>
    <s v="Bydgoszcz"/>
    <x v="2"/>
    <x v="2"/>
    <x v="108"/>
  </r>
  <r>
    <s v="MISHCHENKO Oleksandr"/>
    <x v="1"/>
    <n v="2005"/>
    <s v="MKS Kusy Szczecin"/>
    <s v="Yes"/>
    <s v="Bydgoszcz"/>
    <x v="3"/>
    <x v="0"/>
    <x v="25"/>
  </r>
  <r>
    <s v="MISHCHENKO Oleksandr"/>
    <x v="1"/>
    <n v="2005"/>
    <s v="MKS Kusy Szczecin"/>
    <s v="Yes"/>
    <s v="Bydgoszcz"/>
    <x v="3"/>
    <x v="1"/>
    <x v="153"/>
  </r>
  <r>
    <s v="MISHCHENKO Oleksandr"/>
    <x v="1"/>
    <n v="2005"/>
    <s v="MKS Kusy Szczecin"/>
    <s v="Yes"/>
    <s v="Bydgoszcz"/>
    <x v="3"/>
    <x v="2"/>
    <x v="32"/>
  </r>
  <r>
    <s v="MISHCHENKO Oleksandr"/>
    <x v="1"/>
    <n v="2005"/>
    <s v="MKS Kusy Szczecin"/>
    <s v="Yes"/>
    <s v="Bydgoszcz"/>
    <x v="4"/>
    <x v="0"/>
    <x v="80"/>
  </r>
  <r>
    <s v="MISHCHENKO Oleksandr"/>
    <x v="1"/>
    <n v="2005"/>
    <s v="MKS Kusy Szczecin"/>
    <s v="Yes"/>
    <s v="Bydgoszcz"/>
    <x v="4"/>
    <x v="1"/>
    <x v="126"/>
  </r>
  <r>
    <s v="MISHCHENKO Oleksandr"/>
    <x v="1"/>
    <n v="2005"/>
    <s v="MKS Kusy Szczecin"/>
    <s v="Yes"/>
    <s v="Bydgoszcz"/>
    <x v="4"/>
    <x v="2"/>
    <x v="154"/>
  </r>
  <r>
    <s v="MISHCHENKO Oleksandr"/>
    <x v="1"/>
    <n v="2005"/>
    <s v="MKS Kusy Szczecin"/>
    <s v="Yes"/>
    <s v="Bydgoszcz"/>
    <x v="5"/>
    <x v="0"/>
    <x v="45"/>
  </r>
  <r>
    <s v="MISHCHENKO Oleksandr"/>
    <x v="1"/>
    <n v="2005"/>
    <s v="MKS Kusy Szczecin"/>
    <s v="Yes"/>
    <s v="Bydgoszcz"/>
    <x v="5"/>
    <x v="1"/>
    <x v="1"/>
  </r>
  <r>
    <s v="MISHCHENKO Oleksandr"/>
    <x v="1"/>
    <n v="2005"/>
    <s v="MKS Kusy Szczecin"/>
    <s v="Yes"/>
    <s v="Bydgoszcz"/>
    <x v="5"/>
    <x v="2"/>
    <x v="155"/>
  </r>
  <r>
    <s v="MISHCHENKO Oleksandr"/>
    <x v="1"/>
    <n v="2005"/>
    <s v="MKS Kusy Szczecin"/>
    <s v="Yes"/>
    <s v="Bydgoszcz"/>
    <x v="6"/>
    <x v="3"/>
    <x v="156"/>
  </r>
  <r>
    <s v="MISHCHENKO Oleksandr"/>
    <x v="1"/>
    <n v="2005"/>
    <s v="MKS Kusy Szczecin"/>
    <s v="Yes"/>
    <s v="Bydgoszcz"/>
    <x v="6"/>
    <x v="4"/>
    <x v="157"/>
  </r>
  <r>
    <s v="MISHCHENKO Oleksandr"/>
    <x v="1"/>
    <n v="2005"/>
    <s v="MKS Kusy Szczecin"/>
    <s v="Yes"/>
    <s v="Bydgoszcz"/>
    <x v="6"/>
    <x v="5"/>
    <x v="158"/>
  </r>
  <r>
    <s v="KUZDRA Christian"/>
    <x v="1"/>
    <n v="2006"/>
    <s v="MKS Gdańsk"/>
    <s v="Yes"/>
    <s v="Bydgoszcz"/>
    <x v="0"/>
    <x v="0"/>
    <x v="22"/>
  </r>
  <r>
    <s v="KUZDRA Christian"/>
    <x v="1"/>
    <n v="2006"/>
    <s v="MKS Gdańsk"/>
    <s v="Yes"/>
    <s v="Bydgoszcz"/>
    <x v="0"/>
    <x v="1"/>
    <x v="10"/>
  </r>
  <r>
    <s v="KUZDRA Christian"/>
    <x v="1"/>
    <n v="2006"/>
    <s v="MKS Gdańsk"/>
    <s v="Yes"/>
    <s v="Bydgoszcz"/>
    <x v="0"/>
    <x v="2"/>
    <x v="32"/>
  </r>
  <r>
    <s v="KUZDRA Christian"/>
    <x v="1"/>
    <n v="2006"/>
    <s v="MKS Gdańsk"/>
    <s v="Yes"/>
    <s v="Bydgoszcz"/>
    <x v="1"/>
    <x v="0"/>
    <x v="3"/>
  </r>
  <r>
    <s v="KUZDRA Christian"/>
    <x v="1"/>
    <n v="2006"/>
    <s v="MKS Gdańsk"/>
    <s v="Yes"/>
    <s v="Bydgoszcz"/>
    <x v="1"/>
    <x v="1"/>
    <x v="99"/>
  </r>
  <r>
    <s v="KUZDRA Christian"/>
    <x v="1"/>
    <n v="2006"/>
    <s v="MKS Gdańsk"/>
    <s v="Yes"/>
    <s v="Bydgoszcz"/>
    <x v="1"/>
    <x v="2"/>
    <x v="68"/>
  </r>
  <r>
    <s v="KUZDRA Christian"/>
    <x v="1"/>
    <n v="2006"/>
    <s v="MKS Gdańsk"/>
    <s v="Yes"/>
    <s v="Bydgoszcz"/>
    <x v="2"/>
    <x v="0"/>
    <x v="47"/>
  </r>
  <r>
    <s v="KUZDRA Christian"/>
    <x v="1"/>
    <n v="2006"/>
    <s v="MKS Gdańsk"/>
    <s v="Yes"/>
    <s v="Bydgoszcz"/>
    <x v="2"/>
    <x v="1"/>
    <x v="1"/>
  </r>
  <r>
    <s v="KUZDRA Christian"/>
    <x v="1"/>
    <n v="2006"/>
    <s v="MKS Gdańsk"/>
    <s v="Yes"/>
    <s v="Bydgoszcz"/>
    <x v="2"/>
    <x v="2"/>
    <x v="68"/>
  </r>
  <r>
    <s v="KUZDRA Christian"/>
    <x v="1"/>
    <n v="2006"/>
    <s v="MKS Gdańsk"/>
    <s v="Yes"/>
    <s v="Bydgoszcz"/>
    <x v="3"/>
    <x v="0"/>
    <x v="159"/>
  </r>
  <r>
    <s v="KUZDRA Christian"/>
    <x v="1"/>
    <n v="2006"/>
    <s v="MKS Gdańsk"/>
    <s v="Yes"/>
    <s v="Bydgoszcz"/>
    <x v="3"/>
    <x v="1"/>
    <x v="121"/>
  </r>
  <r>
    <s v="KUZDRA Christian"/>
    <x v="1"/>
    <n v="2006"/>
    <s v="MKS Gdańsk"/>
    <s v="Yes"/>
    <s v="Bydgoszcz"/>
    <x v="3"/>
    <x v="2"/>
    <x v="78"/>
  </r>
  <r>
    <s v="KUZDRA Christian"/>
    <x v="1"/>
    <n v="2006"/>
    <s v="MKS Gdańsk"/>
    <s v="Yes"/>
    <s v="Bydgoszcz"/>
    <x v="4"/>
    <x v="0"/>
    <x v="42"/>
  </r>
  <r>
    <s v="KUZDRA Christian"/>
    <x v="1"/>
    <n v="2006"/>
    <s v="MKS Gdańsk"/>
    <s v="Yes"/>
    <s v="Bydgoszcz"/>
    <x v="4"/>
    <x v="1"/>
    <x v="13"/>
  </r>
  <r>
    <s v="KUZDRA Christian"/>
    <x v="1"/>
    <n v="2006"/>
    <s v="MKS Gdańsk"/>
    <s v="Yes"/>
    <s v="Bydgoszcz"/>
    <x v="4"/>
    <x v="2"/>
    <x v="8"/>
  </r>
  <r>
    <s v="KUZDRA Christian"/>
    <x v="1"/>
    <n v="2006"/>
    <s v="MKS Gdańsk"/>
    <s v="Yes"/>
    <s v="Bydgoszcz"/>
    <x v="5"/>
    <x v="0"/>
    <x v="45"/>
  </r>
  <r>
    <s v="KUZDRA Christian"/>
    <x v="1"/>
    <n v="2006"/>
    <s v="MKS Gdańsk"/>
    <s v="Yes"/>
    <s v="Bydgoszcz"/>
    <x v="5"/>
    <x v="1"/>
    <x v="95"/>
  </r>
  <r>
    <s v="KUZDRA Christian"/>
    <x v="1"/>
    <n v="2006"/>
    <s v="MKS Gdańsk"/>
    <s v="Yes"/>
    <s v="Bydgoszcz"/>
    <x v="5"/>
    <x v="2"/>
    <x v="160"/>
  </r>
  <r>
    <s v="KUZDRA Christian"/>
    <x v="1"/>
    <n v="2006"/>
    <s v="MKS Gdańsk"/>
    <s v="Yes"/>
    <s v="Bydgoszcz"/>
    <x v="6"/>
    <x v="3"/>
    <x v="161"/>
  </r>
  <r>
    <s v="KUZDRA Christian"/>
    <x v="1"/>
    <n v="2006"/>
    <s v="MKS Gdańsk"/>
    <s v="Yes"/>
    <s v="Bydgoszcz"/>
    <x v="6"/>
    <x v="4"/>
    <x v="162"/>
  </r>
  <r>
    <s v="KUZDRA Christian"/>
    <x v="1"/>
    <n v="2006"/>
    <s v="MKS Gdańsk"/>
    <s v="Yes"/>
    <s v="Bydgoszcz"/>
    <x v="6"/>
    <x v="5"/>
    <x v="163"/>
  </r>
  <r>
    <s v="KWIATKOWSKI Michał"/>
    <x v="1"/>
    <n v="2005"/>
    <s v="MKS Kusy Szczecin"/>
    <s v="Yes"/>
    <s v="Bydgoszcz"/>
    <x v="0"/>
    <x v="0"/>
    <x v="12"/>
  </r>
  <r>
    <s v="KWIATKOWSKI Michał"/>
    <x v="1"/>
    <n v="2005"/>
    <s v="MKS Kusy Szczecin"/>
    <s v="Yes"/>
    <s v="Bydgoszcz"/>
    <x v="0"/>
    <x v="1"/>
    <x v="13"/>
  </r>
  <r>
    <s v="KWIATKOWSKI Michał"/>
    <x v="1"/>
    <n v="2005"/>
    <s v="MKS Kusy Szczecin"/>
    <s v="Yes"/>
    <s v="Bydgoszcz"/>
    <x v="0"/>
    <x v="2"/>
    <x v="14"/>
  </r>
  <r>
    <s v="KWIATKOWSKI Michał"/>
    <x v="1"/>
    <n v="2005"/>
    <s v="MKS Kusy Szczecin"/>
    <s v="Yes"/>
    <s v="Bydgoszcz"/>
    <x v="1"/>
    <x v="0"/>
    <x v="47"/>
  </r>
  <r>
    <s v="KWIATKOWSKI Michał"/>
    <x v="1"/>
    <n v="2005"/>
    <s v="MKS Kusy Szczecin"/>
    <s v="Yes"/>
    <s v="Bydgoszcz"/>
    <x v="1"/>
    <x v="1"/>
    <x v="99"/>
  </r>
  <r>
    <s v="KWIATKOWSKI Michał"/>
    <x v="1"/>
    <n v="2005"/>
    <s v="MKS Kusy Szczecin"/>
    <s v="Yes"/>
    <s v="Bydgoszcz"/>
    <x v="1"/>
    <x v="2"/>
    <x v="62"/>
  </r>
  <r>
    <s v="KWIATKOWSKI Michał"/>
    <x v="1"/>
    <n v="2005"/>
    <s v="MKS Kusy Szczecin"/>
    <s v="Yes"/>
    <s v="Bydgoszcz"/>
    <x v="2"/>
    <x v="0"/>
    <x v="117"/>
  </r>
  <r>
    <s v="KWIATKOWSKI Michał"/>
    <x v="1"/>
    <n v="2005"/>
    <s v="MKS Kusy Szczecin"/>
    <s v="Yes"/>
    <s v="Bydgoszcz"/>
    <x v="2"/>
    <x v="1"/>
    <x v="4"/>
  </r>
  <r>
    <s v="KWIATKOWSKI Michał"/>
    <x v="1"/>
    <n v="2005"/>
    <s v="MKS Kusy Szczecin"/>
    <s v="Yes"/>
    <s v="Bydgoszcz"/>
    <x v="2"/>
    <x v="2"/>
    <x v="78"/>
  </r>
  <r>
    <s v="KWIATKOWSKI Michał"/>
    <x v="1"/>
    <n v="2005"/>
    <s v="MKS Kusy Szczecin"/>
    <s v="Yes"/>
    <s v="Bydgoszcz"/>
    <x v="3"/>
    <x v="0"/>
    <x v="42"/>
  </r>
  <r>
    <s v="KWIATKOWSKI Michał"/>
    <x v="1"/>
    <n v="2005"/>
    <s v="MKS Kusy Szczecin"/>
    <s v="Yes"/>
    <s v="Bydgoszcz"/>
    <x v="3"/>
    <x v="1"/>
    <x v="26"/>
  </r>
  <r>
    <s v="KWIATKOWSKI Michał"/>
    <x v="1"/>
    <n v="2005"/>
    <s v="MKS Kusy Szczecin"/>
    <s v="Yes"/>
    <s v="Bydgoszcz"/>
    <x v="3"/>
    <x v="2"/>
    <x v="21"/>
  </r>
  <r>
    <s v="KWIATKOWSKI Michał"/>
    <x v="1"/>
    <n v="2005"/>
    <s v="MKS Kusy Szczecin"/>
    <s v="Yes"/>
    <s v="Bydgoszcz"/>
    <x v="4"/>
    <x v="0"/>
    <x v="79"/>
  </r>
  <r>
    <s v="KWIATKOWSKI Michał"/>
    <x v="1"/>
    <n v="2005"/>
    <s v="MKS Kusy Szczecin"/>
    <s v="Yes"/>
    <s v="Bydgoszcz"/>
    <x v="4"/>
    <x v="1"/>
    <x v="129"/>
  </r>
  <r>
    <s v="KWIATKOWSKI Michał"/>
    <x v="1"/>
    <n v="2005"/>
    <s v="MKS Kusy Szczecin"/>
    <s v="Yes"/>
    <s v="Bydgoszcz"/>
    <x v="4"/>
    <x v="2"/>
    <x v="164"/>
  </r>
  <r>
    <s v="KWIATKOWSKI Michał"/>
    <x v="1"/>
    <n v="2005"/>
    <s v="MKS Kusy Szczecin"/>
    <s v="Yes"/>
    <s v="Bydgoszcz"/>
    <x v="5"/>
    <x v="0"/>
    <x v="80"/>
  </r>
  <r>
    <s v="KWIATKOWSKI Michał"/>
    <x v="1"/>
    <n v="2005"/>
    <s v="MKS Kusy Szczecin"/>
    <s v="Yes"/>
    <s v="Bydgoszcz"/>
    <x v="5"/>
    <x v="1"/>
    <x v="77"/>
  </r>
  <r>
    <s v="KWIATKOWSKI Michał"/>
    <x v="1"/>
    <n v="2005"/>
    <s v="MKS Kusy Szczecin"/>
    <s v="Yes"/>
    <s v="Bydgoszcz"/>
    <x v="5"/>
    <x v="2"/>
    <x v="160"/>
  </r>
  <r>
    <s v="KWIATKOWSKI Michał"/>
    <x v="1"/>
    <n v="2005"/>
    <s v="MKS Kusy Szczecin"/>
    <s v="Yes"/>
    <s v="Bydgoszcz"/>
    <x v="6"/>
    <x v="3"/>
    <x v="165"/>
  </r>
  <r>
    <s v="KWIATKOWSKI Michał"/>
    <x v="1"/>
    <n v="2005"/>
    <s v="MKS Kusy Szczecin"/>
    <s v="Yes"/>
    <s v="Bydgoszcz"/>
    <x v="6"/>
    <x v="4"/>
    <x v="166"/>
  </r>
  <r>
    <s v="KWIATKOWSKI Michał"/>
    <x v="1"/>
    <n v="2005"/>
    <s v="MKS Kusy Szczecin"/>
    <s v="Yes"/>
    <s v="Bydgoszcz"/>
    <x v="6"/>
    <x v="5"/>
    <x v="167"/>
  </r>
  <r>
    <s v="KORBIEL Franciszek"/>
    <x v="1"/>
    <n v="2006"/>
    <s v="KS AZS AWF Kraków"/>
    <s v="Yes"/>
    <s v="Bydgoszcz"/>
    <x v="0"/>
    <x v="0"/>
    <x v="117"/>
  </r>
  <r>
    <s v="KORBIEL Franciszek"/>
    <x v="1"/>
    <n v="2006"/>
    <s v="KS AZS AWF Kraków"/>
    <s v="Yes"/>
    <s v="Bydgoszcz"/>
    <x v="0"/>
    <x v="1"/>
    <x v="168"/>
  </r>
  <r>
    <s v="KORBIEL Franciszek"/>
    <x v="1"/>
    <n v="2006"/>
    <s v="KS AZS AWF Kraków"/>
    <s v="Yes"/>
    <s v="Bydgoszcz"/>
    <x v="0"/>
    <x v="2"/>
    <x v="48"/>
  </r>
  <r>
    <s v="KORBIEL Franciszek"/>
    <x v="1"/>
    <n v="2006"/>
    <s v="KS AZS AWF Kraków"/>
    <s v="Yes"/>
    <s v="Bydgoszcz"/>
    <x v="1"/>
    <x v="0"/>
    <x v="3"/>
  </r>
  <r>
    <s v="KORBIEL Franciszek"/>
    <x v="1"/>
    <n v="2006"/>
    <s v="KS AZS AWF Kraków"/>
    <s v="Yes"/>
    <s v="Bydgoszcz"/>
    <x v="1"/>
    <x v="1"/>
    <x v="90"/>
  </r>
  <r>
    <s v="KORBIEL Franciszek"/>
    <x v="1"/>
    <n v="2006"/>
    <s v="KS AZS AWF Kraków"/>
    <s v="Yes"/>
    <s v="Bydgoszcz"/>
    <x v="1"/>
    <x v="2"/>
    <x v="169"/>
  </r>
  <r>
    <s v="KORBIEL Franciszek"/>
    <x v="1"/>
    <n v="2006"/>
    <s v="KS AZS AWF Kraków"/>
    <s v="Yes"/>
    <s v="Bydgoszcz"/>
    <x v="2"/>
    <x v="0"/>
    <x v="135"/>
  </r>
  <r>
    <s v="KORBIEL Franciszek"/>
    <x v="1"/>
    <n v="2006"/>
    <s v="KS AZS AWF Kraków"/>
    <s v="Yes"/>
    <s v="Bydgoszcz"/>
    <x v="2"/>
    <x v="1"/>
    <x v="67"/>
  </r>
  <r>
    <s v="KORBIEL Franciszek"/>
    <x v="1"/>
    <n v="2006"/>
    <s v="KS AZS AWF Kraków"/>
    <s v="Yes"/>
    <s v="Bydgoszcz"/>
    <x v="2"/>
    <x v="2"/>
    <x v="170"/>
  </r>
  <r>
    <s v="KORBIEL Franciszek"/>
    <x v="1"/>
    <n v="2006"/>
    <s v="KS AZS AWF Kraków"/>
    <s v="Yes"/>
    <s v="Bydgoszcz"/>
    <x v="3"/>
    <x v="0"/>
    <x v="96"/>
  </r>
  <r>
    <s v="KORBIEL Franciszek"/>
    <x v="1"/>
    <n v="2006"/>
    <s v="KS AZS AWF Kraków"/>
    <s v="Yes"/>
    <s v="Bydgoszcz"/>
    <x v="3"/>
    <x v="1"/>
    <x v="144"/>
  </r>
  <r>
    <s v="KORBIEL Franciszek"/>
    <x v="1"/>
    <n v="2006"/>
    <s v="KS AZS AWF Kraków"/>
    <s v="Yes"/>
    <s v="Bydgoszcz"/>
    <x v="3"/>
    <x v="2"/>
    <x v="171"/>
  </r>
  <r>
    <s v="KORBIEL Franciszek"/>
    <x v="1"/>
    <n v="2006"/>
    <s v="KS AZS AWF Kraków"/>
    <s v="Yes"/>
    <s v="Bydgoszcz"/>
    <x v="4"/>
    <x v="0"/>
    <x v="80"/>
  </r>
  <r>
    <s v="KORBIEL Franciszek"/>
    <x v="1"/>
    <n v="2006"/>
    <s v="KS AZS AWF Kraków"/>
    <s v="Yes"/>
    <s v="Bydgoszcz"/>
    <x v="4"/>
    <x v="1"/>
    <x v="153"/>
  </r>
  <r>
    <s v="KORBIEL Franciszek"/>
    <x v="1"/>
    <n v="2006"/>
    <s v="KS AZS AWF Kraków"/>
    <s v="Yes"/>
    <s v="Bydgoszcz"/>
    <x v="4"/>
    <x v="2"/>
    <x v="48"/>
  </r>
  <r>
    <s v="KORBIEL Franciszek"/>
    <x v="1"/>
    <n v="2006"/>
    <s v="KS AZS AWF Kraków"/>
    <s v="Yes"/>
    <s v="Bydgoszcz"/>
    <x v="5"/>
    <x v="0"/>
    <x v="60"/>
  </r>
  <r>
    <s v="KORBIEL Franciszek"/>
    <x v="1"/>
    <n v="2006"/>
    <s v="KS AZS AWF Kraków"/>
    <s v="Yes"/>
    <s v="Bydgoszcz"/>
    <x v="5"/>
    <x v="1"/>
    <x v="1"/>
  </r>
  <r>
    <s v="KORBIEL Franciszek"/>
    <x v="1"/>
    <n v="2006"/>
    <s v="KS AZS AWF Kraków"/>
    <s v="Yes"/>
    <s v="Bydgoszcz"/>
    <x v="5"/>
    <x v="2"/>
    <x v="160"/>
  </r>
  <r>
    <s v="KORBIEL Franciszek"/>
    <x v="1"/>
    <n v="2006"/>
    <s v="KS AZS AWF Kraków"/>
    <s v="Yes"/>
    <s v="Bydgoszcz"/>
    <x v="6"/>
    <x v="3"/>
    <x v="172"/>
  </r>
  <r>
    <s v="KORBIEL Franciszek"/>
    <x v="1"/>
    <n v="2006"/>
    <s v="KS AZS AWF Kraków"/>
    <s v="Yes"/>
    <s v="Bydgoszcz"/>
    <x v="6"/>
    <x v="4"/>
    <x v="173"/>
  </r>
  <r>
    <s v="KORBIEL Franciszek"/>
    <x v="1"/>
    <n v="2006"/>
    <s v="KS AZS AWF Kraków"/>
    <s v="Yes"/>
    <s v="Bydgoszcz"/>
    <x v="6"/>
    <x v="5"/>
    <x v="174"/>
  </r>
  <r>
    <s v="KOŁODZIEJCZYK Karol"/>
    <x v="1"/>
    <n v="2007"/>
    <s v="KS AZS AWF Kraków"/>
    <s v="Yes"/>
    <s v="Bydgoszcz"/>
    <x v="0"/>
    <x v="0"/>
    <x v="45"/>
  </r>
  <r>
    <s v="KOŁODZIEJCZYK Karol"/>
    <x v="1"/>
    <n v="2007"/>
    <s v="KS AZS AWF Kraków"/>
    <s v="Yes"/>
    <s v="Bydgoszcz"/>
    <x v="0"/>
    <x v="1"/>
    <x v="31"/>
  </r>
  <r>
    <s v="KOŁODZIEJCZYK Karol"/>
    <x v="1"/>
    <n v="2007"/>
    <s v="KS AZS AWF Kraków"/>
    <s v="Yes"/>
    <s v="Bydgoszcz"/>
    <x v="0"/>
    <x v="2"/>
    <x v="8"/>
  </r>
  <r>
    <s v="KOŁODZIEJCZYK Karol"/>
    <x v="1"/>
    <n v="2007"/>
    <s v="KS AZS AWF Kraków"/>
    <s v="Yes"/>
    <s v="Bydgoszcz"/>
    <x v="1"/>
    <x v="0"/>
    <x v="60"/>
  </r>
  <r>
    <s v="KOŁODZIEJCZYK Karol"/>
    <x v="1"/>
    <n v="2007"/>
    <s v="KS AZS AWF Kraków"/>
    <s v="Yes"/>
    <s v="Bydgoszcz"/>
    <x v="1"/>
    <x v="1"/>
    <x v="13"/>
  </r>
  <r>
    <s v="KOŁODZIEJCZYK Karol"/>
    <x v="1"/>
    <n v="2007"/>
    <s v="KS AZS AWF Kraków"/>
    <s v="Yes"/>
    <s v="Bydgoszcz"/>
    <x v="1"/>
    <x v="2"/>
    <x v="48"/>
  </r>
  <r>
    <s v="KOŁODZIEJCZYK Karol"/>
    <x v="1"/>
    <n v="2007"/>
    <s v="KS AZS AWF Kraków"/>
    <s v="Yes"/>
    <s v="Bydgoszcz"/>
    <x v="2"/>
    <x v="0"/>
    <x v="135"/>
  </r>
  <r>
    <s v="KOŁODZIEJCZYK Karol"/>
    <x v="1"/>
    <n v="2007"/>
    <s v="KS AZS AWF Kraków"/>
    <s v="Yes"/>
    <s v="Bydgoszcz"/>
    <x v="2"/>
    <x v="1"/>
    <x v="67"/>
  </r>
  <r>
    <s v="KOŁODZIEJCZYK Karol"/>
    <x v="1"/>
    <n v="2007"/>
    <s v="KS AZS AWF Kraków"/>
    <s v="Yes"/>
    <s v="Bydgoszcz"/>
    <x v="2"/>
    <x v="2"/>
    <x v="170"/>
  </r>
  <r>
    <s v="KOŁODZIEJCZYK Karol"/>
    <x v="1"/>
    <n v="2007"/>
    <s v="KS AZS AWF Kraków"/>
    <s v="Yes"/>
    <s v="Bydgoszcz"/>
    <x v="3"/>
    <x v="0"/>
    <x v="110"/>
  </r>
  <r>
    <s v="KOŁODZIEJCZYK Karol"/>
    <x v="1"/>
    <n v="2007"/>
    <s v="KS AZS AWF Kraków"/>
    <s v="Yes"/>
    <s v="Bydgoszcz"/>
    <x v="3"/>
    <x v="1"/>
    <x v="153"/>
  </r>
  <r>
    <s v="KOŁODZIEJCZYK Karol"/>
    <x v="1"/>
    <n v="2007"/>
    <s v="KS AZS AWF Kraków"/>
    <s v="Yes"/>
    <s v="Bydgoszcz"/>
    <x v="3"/>
    <x v="2"/>
    <x v="46"/>
  </r>
  <r>
    <s v="KOŁODZIEJCZYK Karol"/>
    <x v="1"/>
    <n v="2007"/>
    <s v="KS AZS AWF Kraków"/>
    <s v="Yes"/>
    <s v="Bydgoszcz"/>
    <x v="4"/>
    <x v="0"/>
    <x v="80"/>
  </r>
  <r>
    <s v="KOŁODZIEJCZYK Karol"/>
    <x v="1"/>
    <n v="2007"/>
    <s v="KS AZS AWF Kraków"/>
    <s v="Yes"/>
    <s v="Bydgoszcz"/>
    <x v="4"/>
    <x v="1"/>
    <x v="10"/>
  </r>
  <r>
    <s v="KOŁODZIEJCZYK Karol"/>
    <x v="1"/>
    <n v="2007"/>
    <s v="KS AZS AWF Kraków"/>
    <s v="Yes"/>
    <s v="Bydgoszcz"/>
    <x v="4"/>
    <x v="2"/>
    <x v="8"/>
  </r>
  <r>
    <s v="KOŁODZIEJCZYK Karol"/>
    <x v="1"/>
    <n v="2007"/>
    <s v="KS AZS AWF Kraków"/>
    <s v="Yes"/>
    <s v="Bydgoszcz"/>
    <x v="5"/>
    <x v="0"/>
    <x v="96"/>
  </r>
  <r>
    <s v="KOŁODZIEJCZYK Karol"/>
    <x v="1"/>
    <n v="2007"/>
    <s v="KS AZS AWF Kraków"/>
    <s v="Yes"/>
    <s v="Bydgoszcz"/>
    <x v="5"/>
    <x v="1"/>
    <x v="1"/>
  </r>
  <r>
    <s v="KOŁODZIEJCZYK Karol"/>
    <x v="1"/>
    <n v="2007"/>
    <s v="KS AZS AWF Kraków"/>
    <s v="Yes"/>
    <s v="Bydgoszcz"/>
    <x v="5"/>
    <x v="2"/>
    <x v="70"/>
  </r>
  <r>
    <s v="KOŁODZIEJCZYK Karol"/>
    <x v="1"/>
    <n v="2007"/>
    <s v="KS AZS AWF Kraków"/>
    <s v="Yes"/>
    <s v="Bydgoszcz"/>
    <x v="6"/>
    <x v="3"/>
    <x v="175"/>
  </r>
  <r>
    <s v="KOŁODZIEJCZYK Karol"/>
    <x v="1"/>
    <n v="2007"/>
    <s v="KS AZS AWF Kraków"/>
    <s v="Yes"/>
    <s v="Bydgoszcz"/>
    <x v="6"/>
    <x v="4"/>
    <x v="176"/>
  </r>
  <r>
    <s v="KOŁODZIEJCZYK Karol"/>
    <x v="1"/>
    <n v="2007"/>
    <s v="KS AZS AWF Kraków"/>
    <s v="Yes"/>
    <s v="Bydgoszcz"/>
    <x v="6"/>
    <x v="5"/>
    <x v="177"/>
  </r>
  <r>
    <s v="CZARNECKI Aleksander"/>
    <x v="1"/>
    <n v="2005"/>
    <s v="MKS Kusy Szczecin"/>
    <s v="Yes"/>
    <s v="Bydgoszcz"/>
    <x v="0"/>
    <x v="0"/>
    <x v="25"/>
  </r>
  <r>
    <s v="CZARNECKI Aleksander"/>
    <x v="1"/>
    <n v="2005"/>
    <s v="MKS Kusy Szczecin"/>
    <s v="Yes"/>
    <s v="Bydgoszcz"/>
    <x v="0"/>
    <x v="1"/>
    <x v="141"/>
  </r>
  <r>
    <s v="CZARNECKI Aleksander"/>
    <x v="1"/>
    <n v="2005"/>
    <s v="MKS Kusy Szczecin"/>
    <s v="Yes"/>
    <s v="Bydgoszcz"/>
    <x v="0"/>
    <x v="2"/>
    <x v="142"/>
  </r>
  <r>
    <s v="CZARNECKI Aleksander"/>
    <x v="1"/>
    <n v="2005"/>
    <s v="MKS Kusy Szczecin"/>
    <s v="Yes"/>
    <s v="Bydgoszcz"/>
    <x v="1"/>
    <x v="0"/>
    <x v="117"/>
  </r>
  <r>
    <s v="CZARNECKI Aleksander"/>
    <x v="1"/>
    <n v="2005"/>
    <s v="MKS Kusy Szczecin"/>
    <s v="Yes"/>
    <s v="Bydgoszcz"/>
    <x v="1"/>
    <x v="1"/>
    <x v="178"/>
  </r>
  <r>
    <s v="CZARNECKI Aleksander"/>
    <x v="1"/>
    <n v="2005"/>
    <s v="MKS Kusy Szczecin"/>
    <s v="Yes"/>
    <s v="Bydgoszcz"/>
    <x v="1"/>
    <x v="2"/>
    <x v="138"/>
  </r>
  <r>
    <s v="CZARNECKI Aleksander"/>
    <x v="1"/>
    <n v="2005"/>
    <s v="MKS Kusy Szczecin"/>
    <s v="Yes"/>
    <s v="Bydgoszcz"/>
    <x v="2"/>
    <x v="0"/>
    <x v="112"/>
  </r>
  <r>
    <s v="CZARNECKI Aleksander"/>
    <x v="1"/>
    <n v="2005"/>
    <s v="MKS Kusy Szczecin"/>
    <s v="Yes"/>
    <s v="Bydgoszcz"/>
    <x v="2"/>
    <x v="1"/>
    <x v="179"/>
  </r>
  <r>
    <s v="CZARNECKI Aleksander"/>
    <x v="1"/>
    <n v="2005"/>
    <s v="MKS Kusy Szczecin"/>
    <s v="Yes"/>
    <s v="Bydgoszcz"/>
    <x v="2"/>
    <x v="2"/>
    <x v="43"/>
  </r>
  <r>
    <s v="CZARNECKI Aleksander"/>
    <x v="1"/>
    <n v="2005"/>
    <s v="MKS Kusy Szczecin"/>
    <s v="Yes"/>
    <s v="Bydgoszcz"/>
    <x v="3"/>
    <x v="0"/>
    <x v="110"/>
  </r>
  <r>
    <s v="CZARNECKI Aleksander"/>
    <x v="1"/>
    <n v="2005"/>
    <s v="MKS Kusy Szczecin"/>
    <s v="Yes"/>
    <s v="Bydgoszcz"/>
    <x v="3"/>
    <x v="1"/>
    <x v="13"/>
  </r>
  <r>
    <s v="CZARNECKI Aleksander"/>
    <x v="1"/>
    <n v="2005"/>
    <s v="MKS Kusy Szczecin"/>
    <s v="Yes"/>
    <s v="Bydgoszcz"/>
    <x v="3"/>
    <x v="2"/>
    <x v="68"/>
  </r>
  <r>
    <s v="CZARNECKI Aleksander"/>
    <x v="1"/>
    <n v="2005"/>
    <s v="MKS Kusy Szczecin"/>
    <s v="Yes"/>
    <s v="Bydgoszcz"/>
    <x v="4"/>
    <x v="0"/>
    <x v="42"/>
  </r>
  <r>
    <s v="CZARNECKI Aleksander"/>
    <x v="1"/>
    <n v="2005"/>
    <s v="MKS Kusy Szczecin"/>
    <s v="Yes"/>
    <s v="Bydgoszcz"/>
    <x v="4"/>
    <x v="1"/>
    <x v="58"/>
  </r>
  <r>
    <s v="CZARNECKI Aleksander"/>
    <x v="1"/>
    <n v="2005"/>
    <s v="MKS Kusy Szczecin"/>
    <s v="Yes"/>
    <s v="Bydgoszcz"/>
    <x v="4"/>
    <x v="2"/>
    <x v="145"/>
  </r>
  <r>
    <s v="CZARNECKI Aleksander"/>
    <x v="1"/>
    <n v="2005"/>
    <s v="MKS Kusy Szczecin"/>
    <s v="Yes"/>
    <s v="Bydgoszcz"/>
    <x v="5"/>
    <x v="0"/>
    <x v="96"/>
  </r>
  <r>
    <s v="CZARNECKI Aleksander"/>
    <x v="1"/>
    <n v="2005"/>
    <s v="MKS Kusy Szczecin"/>
    <s v="Yes"/>
    <s v="Bydgoszcz"/>
    <x v="5"/>
    <x v="1"/>
    <x v="38"/>
  </r>
  <r>
    <s v="CZARNECKI Aleksander"/>
    <x v="1"/>
    <n v="2005"/>
    <s v="MKS Kusy Szczecin"/>
    <s v="Yes"/>
    <s v="Bydgoszcz"/>
    <x v="5"/>
    <x v="2"/>
    <x v="56"/>
  </r>
  <r>
    <s v="CZARNECKI Aleksander"/>
    <x v="1"/>
    <n v="2005"/>
    <s v="MKS Kusy Szczecin"/>
    <s v="Yes"/>
    <s v="Bydgoszcz"/>
    <x v="6"/>
    <x v="3"/>
    <x v="180"/>
  </r>
  <r>
    <s v="CZARNECKI Aleksander"/>
    <x v="1"/>
    <n v="2005"/>
    <s v="MKS Kusy Szczecin"/>
    <s v="Yes"/>
    <s v="Bydgoszcz"/>
    <x v="6"/>
    <x v="4"/>
    <x v="181"/>
  </r>
  <r>
    <s v="CZARNECKI Aleksander"/>
    <x v="1"/>
    <n v="2005"/>
    <s v="MKS Kusy Szczecin"/>
    <s v="Yes"/>
    <s v="Bydgoszcz"/>
    <x v="6"/>
    <x v="5"/>
    <x v="182"/>
  </r>
  <r>
    <s v="SZCZUBIAŁ Bartłomiej"/>
    <x v="1"/>
    <n v="2008"/>
    <s v="KS AZS AWF Kraków"/>
    <s v="Yes"/>
    <s v="Bydgoszcz"/>
    <x v="0"/>
    <x v="0"/>
    <x v="22"/>
  </r>
  <r>
    <s v="SZCZUBIAŁ Bartłomiej"/>
    <x v="1"/>
    <n v="2008"/>
    <s v="KS AZS AWF Kraków"/>
    <s v="Yes"/>
    <s v="Bydgoszcz"/>
    <x v="0"/>
    <x v="1"/>
    <x v="1"/>
  </r>
  <r>
    <s v="SZCZUBIAŁ Bartłomiej"/>
    <x v="1"/>
    <n v="2008"/>
    <s v="KS AZS AWF Kraków"/>
    <s v="Yes"/>
    <s v="Bydgoszcz"/>
    <x v="0"/>
    <x v="2"/>
    <x v="48"/>
  </r>
  <r>
    <s v="SZCZUBIAŁ Bartłomiej"/>
    <x v="1"/>
    <n v="2008"/>
    <s v="KS AZS AWF Kraków"/>
    <s v="Yes"/>
    <s v="Bydgoszcz"/>
    <x v="1"/>
    <x v="0"/>
    <x v="60"/>
  </r>
  <r>
    <s v="SZCZUBIAŁ Bartłomiej"/>
    <x v="1"/>
    <n v="2008"/>
    <s v="KS AZS AWF Kraków"/>
    <s v="Yes"/>
    <s v="Bydgoszcz"/>
    <x v="1"/>
    <x v="1"/>
    <x v="61"/>
  </r>
  <r>
    <s v="SZCZUBIAŁ Bartłomiej"/>
    <x v="1"/>
    <n v="2008"/>
    <s v="KS AZS AWF Kraków"/>
    <s v="Yes"/>
    <s v="Bydgoszcz"/>
    <x v="1"/>
    <x v="2"/>
    <x v="62"/>
  </r>
  <r>
    <s v="SZCZUBIAŁ Bartłomiej"/>
    <x v="1"/>
    <n v="2008"/>
    <s v="KS AZS AWF Kraków"/>
    <s v="Yes"/>
    <s v="Bydgoszcz"/>
    <x v="2"/>
    <x v="0"/>
    <x v="135"/>
  </r>
  <r>
    <s v="SZCZUBIAŁ Bartłomiej"/>
    <x v="1"/>
    <n v="2008"/>
    <s v="KS AZS AWF Kraków"/>
    <s v="Yes"/>
    <s v="Bydgoszcz"/>
    <x v="2"/>
    <x v="1"/>
    <x v="183"/>
  </r>
  <r>
    <s v="SZCZUBIAŁ Bartłomiej"/>
    <x v="1"/>
    <n v="2008"/>
    <s v="KS AZS AWF Kraków"/>
    <s v="Yes"/>
    <s v="Bydgoszcz"/>
    <x v="2"/>
    <x v="2"/>
    <x v="184"/>
  </r>
  <r>
    <s v="SZCZUBIAŁ Bartłomiej"/>
    <x v="1"/>
    <n v="2008"/>
    <s v="KS AZS AWF Kraków"/>
    <s v="Yes"/>
    <s v="Bydgoszcz"/>
    <x v="3"/>
    <x v="0"/>
    <x v="146"/>
  </r>
  <r>
    <s v="SZCZUBIAŁ Bartłomiej"/>
    <x v="1"/>
    <n v="2008"/>
    <s v="KS AZS AWF Kraków"/>
    <s v="Yes"/>
    <s v="Bydgoszcz"/>
    <x v="3"/>
    <x v="1"/>
    <x v="185"/>
  </r>
  <r>
    <s v="SZCZUBIAŁ Bartłomiej"/>
    <x v="1"/>
    <n v="2008"/>
    <s v="KS AZS AWF Kraków"/>
    <s v="Yes"/>
    <s v="Bydgoszcz"/>
    <x v="3"/>
    <x v="2"/>
    <x v="46"/>
  </r>
  <r>
    <s v="SZCZUBIAŁ Bartłomiej"/>
    <x v="1"/>
    <n v="2008"/>
    <s v="KS AZS AWF Kraków"/>
    <s v="Yes"/>
    <s v="Bydgoszcz"/>
    <x v="4"/>
    <x v="0"/>
    <x v="60"/>
  </r>
  <r>
    <s v="SZCZUBIAŁ Bartłomiej"/>
    <x v="1"/>
    <n v="2008"/>
    <s v="KS AZS AWF Kraków"/>
    <s v="Yes"/>
    <s v="Bydgoszcz"/>
    <x v="4"/>
    <x v="1"/>
    <x v="186"/>
  </r>
  <r>
    <s v="SZCZUBIAŁ Bartłomiej"/>
    <x v="1"/>
    <n v="2008"/>
    <s v="KS AZS AWF Kraków"/>
    <s v="Yes"/>
    <s v="Bydgoszcz"/>
    <x v="4"/>
    <x v="2"/>
    <x v="187"/>
  </r>
  <r>
    <s v="SZCZUBIAŁ Bartłomiej"/>
    <x v="1"/>
    <n v="2008"/>
    <s v="KS AZS AWF Kraków"/>
    <s v="Yes"/>
    <s v="Bydgoszcz"/>
    <x v="5"/>
    <x v="0"/>
    <x v="96"/>
  </r>
  <r>
    <s v="SZCZUBIAŁ Bartłomiej"/>
    <x v="1"/>
    <n v="2008"/>
    <s v="KS AZS AWF Kraków"/>
    <s v="Yes"/>
    <s v="Bydgoszcz"/>
    <x v="5"/>
    <x v="1"/>
    <x v="185"/>
  </r>
  <r>
    <s v="SZCZUBIAŁ Bartłomiej"/>
    <x v="1"/>
    <n v="2008"/>
    <s v="KS AZS AWF Kraków"/>
    <s v="Yes"/>
    <s v="Bydgoszcz"/>
    <x v="5"/>
    <x v="2"/>
    <x v="5"/>
  </r>
  <r>
    <s v="SZCZUBIAŁ Bartłomiej"/>
    <x v="1"/>
    <n v="2008"/>
    <s v="KS AZS AWF Kraków"/>
    <s v="Yes"/>
    <s v="Bydgoszcz"/>
    <x v="6"/>
    <x v="3"/>
    <x v="188"/>
  </r>
  <r>
    <s v="SZCZUBIAŁ Bartłomiej"/>
    <x v="1"/>
    <n v="2008"/>
    <s v="KS AZS AWF Kraków"/>
    <s v="Yes"/>
    <s v="Bydgoszcz"/>
    <x v="6"/>
    <x v="4"/>
    <x v="189"/>
  </r>
  <r>
    <s v="SZCZUBIAŁ Bartłomiej"/>
    <x v="1"/>
    <n v="2008"/>
    <s v="KS AZS AWF Kraków"/>
    <s v="Yes"/>
    <s v="Bydgoszcz"/>
    <x v="6"/>
    <x v="5"/>
    <x v="190"/>
  </r>
  <r>
    <s v="MOSKAL Błażej"/>
    <x v="1"/>
    <n v="2006"/>
    <s v="MKS Gdańsk"/>
    <s v="Yes"/>
    <s v="Bydgoszcz"/>
    <x v="0"/>
    <x v="0"/>
    <x v="57"/>
  </r>
  <r>
    <s v="MOSKAL Błażej"/>
    <x v="1"/>
    <n v="2006"/>
    <s v="MKS Gdańsk"/>
    <s v="Yes"/>
    <s v="Bydgoszcz"/>
    <x v="0"/>
    <x v="1"/>
    <x v="95"/>
  </r>
  <r>
    <s v="MOSKAL Błażej"/>
    <x v="1"/>
    <n v="2006"/>
    <s v="MKS Gdańsk"/>
    <s v="Yes"/>
    <s v="Bydgoszcz"/>
    <x v="0"/>
    <x v="2"/>
    <x v="88"/>
  </r>
  <r>
    <s v="MOSKAL Błażej"/>
    <x v="1"/>
    <n v="2006"/>
    <s v="MKS Gdańsk"/>
    <s v="Yes"/>
    <s v="Bydgoszcz"/>
    <x v="1"/>
    <x v="0"/>
    <x v="110"/>
  </r>
  <r>
    <s v="MOSKAL Błażej"/>
    <x v="1"/>
    <n v="2006"/>
    <s v="MKS Gdańsk"/>
    <s v="Yes"/>
    <s v="Bydgoszcz"/>
    <x v="1"/>
    <x v="1"/>
    <x v="25"/>
  </r>
  <r>
    <s v="MOSKAL Błażej"/>
    <x v="1"/>
    <n v="2006"/>
    <s v="MKS Gdańsk"/>
    <s v="Yes"/>
    <s v="Bydgoszcz"/>
    <x v="1"/>
    <x v="2"/>
    <x v="104"/>
  </r>
  <r>
    <s v="MOSKAL Błażej"/>
    <x v="1"/>
    <n v="2006"/>
    <s v="MKS Gdańsk"/>
    <s v="Yes"/>
    <s v="Bydgoszcz"/>
    <x v="2"/>
    <x v="0"/>
    <x v="96"/>
  </r>
  <r>
    <s v="MOSKAL Błażej"/>
    <x v="1"/>
    <n v="2006"/>
    <s v="MKS Gdańsk"/>
    <s v="Yes"/>
    <s v="Bydgoszcz"/>
    <x v="2"/>
    <x v="1"/>
    <x v="28"/>
  </r>
  <r>
    <s v="MOSKAL Błażej"/>
    <x v="1"/>
    <n v="2006"/>
    <s v="MKS Gdańsk"/>
    <s v="Yes"/>
    <s v="Bydgoszcz"/>
    <x v="2"/>
    <x v="2"/>
    <x v="138"/>
  </r>
  <r>
    <s v="MOSKAL Błażej"/>
    <x v="1"/>
    <n v="2006"/>
    <s v="MKS Gdańsk"/>
    <s v="Yes"/>
    <s v="Bydgoszcz"/>
    <x v="3"/>
    <x v="0"/>
    <x v="96"/>
  </r>
  <r>
    <s v="MOSKAL Błażej"/>
    <x v="1"/>
    <n v="2006"/>
    <s v="MKS Gdańsk"/>
    <s v="Yes"/>
    <s v="Bydgoszcz"/>
    <x v="3"/>
    <x v="1"/>
    <x v="1"/>
  </r>
  <r>
    <s v="MOSKAL Błażej"/>
    <x v="1"/>
    <n v="2006"/>
    <s v="MKS Gdańsk"/>
    <s v="Yes"/>
    <s v="Bydgoszcz"/>
    <x v="3"/>
    <x v="2"/>
    <x v="70"/>
  </r>
  <r>
    <s v="MOSKAL Błażej"/>
    <x v="1"/>
    <n v="2006"/>
    <s v="MKS Gdańsk"/>
    <s v="Yes"/>
    <s v="Bydgoszcz"/>
    <x v="4"/>
    <x v="0"/>
    <x v="80"/>
  </r>
  <r>
    <s v="MOSKAL Błażej"/>
    <x v="1"/>
    <n v="2006"/>
    <s v="MKS Gdańsk"/>
    <s v="Yes"/>
    <s v="Bydgoszcz"/>
    <x v="4"/>
    <x v="1"/>
    <x v="186"/>
  </r>
  <r>
    <s v="MOSKAL Błażej"/>
    <x v="1"/>
    <n v="2006"/>
    <s v="MKS Gdańsk"/>
    <s v="Yes"/>
    <s v="Bydgoszcz"/>
    <x v="4"/>
    <x v="2"/>
    <x v="53"/>
  </r>
  <r>
    <s v="MOSKAL Błażej"/>
    <x v="1"/>
    <n v="2006"/>
    <s v="MKS Gdańsk"/>
    <s v="Yes"/>
    <s v="Bydgoszcz"/>
    <x v="5"/>
    <x v="0"/>
    <x v="191"/>
  </r>
  <r>
    <s v="MOSKAL Błażej"/>
    <x v="1"/>
    <n v="2006"/>
    <s v="MKS Gdańsk"/>
    <s v="Yes"/>
    <s v="Bydgoszcz"/>
    <x v="5"/>
    <x v="1"/>
    <x v="15"/>
  </r>
  <r>
    <s v="MOSKAL Błażej"/>
    <x v="1"/>
    <n v="2006"/>
    <s v="MKS Gdańsk"/>
    <s v="Yes"/>
    <s v="Bydgoszcz"/>
    <x v="5"/>
    <x v="2"/>
    <x v="100"/>
  </r>
  <r>
    <s v="MOSKAL Błażej"/>
    <x v="1"/>
    <n v="2006"/>
    <s v="MKS Gdańsk"/>
    <s v="Yes"/>
    <s v="Bydgoszcz"/>
    <x v="6"/>
    <x v="3"/>
    <x v="192"/>
  </r>
  <r>
    <s v="MOSKAL Błażej"/>
    <x v="1"/>
    <n v="2006"/>
    <s v="MKS Gdańsk"/>
    <s v="Yes"/>
    <s v="Bydgoszcz"/>
    <x v="6"/>
    <x v="4"/>
    <x v="193"/>
  </r>
  <r>
    <s v="MOSKAL Błażej"/>
    <x v="1"/>
    <n v="2006"/>
    <s v="MKS Gdańsk"/>
    <s v="Yes"/>
    <s v="Bydgoszcz"/>
    <x v="6"/>
    <x v="5"/>
    <x v="194"/>
  </r>
  <r>
    <s v="MARCZEWSKI Stanisław"/>
    <x v="1"/>
    <n v="2007"/>
    <s v="MKS Gdańsk"/>
    <s v="Yes"/>
    <s v="Bydgoszcz"/>
    <x v="0"/>
    <x v="0"/>
    <x v="42"/>
  </r>
  <r>
    <s v="MARCZEWSKI Stanisław"/>
    <x v="1"/>
    <n v="2007"/>
    <s v="MKS Gdańsk"/>
    <s v="Yes"/>
    <s v="Bydgoszcz"/>
    <x v="0"/>
    <x v="1"/>
    <x v="67"/>
  </r>
  <r>
    <s v="MARCZEWSKI Stanisław"/>
    <x v="1"/>
    <n v="2007"/>
    <s v="MKS Gdańsk"/>
    <s v="Yes"/>
    <s v="Bydgoszcz"/>
    <x v="0"/>
    <x v="2"/>
    <x v="66"/>
  </r>
  <r>
    <s v="MARCZEWSKI Stanisław"/>
    <x v="1"/>
    <n v="2007"/>
    <s v="MKS Gdańsk"/>
    <s v="Yes"/>
    <s v="Bydgoszcz"/>
    <x v="1"/>
    <x v="0"/>
    <x v="112"/>
  </r>
  <r>
    <s v="MARCZEWSKI Stanisław"/>
    <x v="1"/>
    <n v="2007"/>
    <s v="MKS Gdańsk"/>
    <s v="Yes"/>
    <s v="Bydgoszcz"/>
    <x v="1"/>
    <x v="1"/>
    <x v="195"/>
  </r>
  <r>
    <s v="MARCZEWSKI Stanisław"/>
    <x v="1"/>
    <n v="2007"/>
    <s v="MKS Gdańsk"/>
    <s v="Yes"/>
    <s v="Bydgoszcz"/>
    <x v="1"/>
    <x v="2"/>
    <x v="13"/>
  </r>
  <r>
    <s v="MARCZEWSKI Stanisław"/>
    <x v="1"/>
    <n v="2007"/>
    <s v="MKS Gdańsk"/>
    <s v="Yes"/>
    <s v="Bydgoszcz"/>
    <x v="2"/>
    <x v="0"/>
    <x v="110"/>
  </r>
  <r>
    <s v="MARCZEWSKI Stanisław"/>
    <x v="1"/>
    <n v="2007"/>
    <s v="MKS Gdańsk"/>
    <s v="Yes"/>
    <s v="Bydgoszcz"/>
    <x v="2"/>
    <x v="1"/>
    <x v="75"/>
  </r>
  <r>
    <s v="MARCZEWSKI Stanisław"/>
    <x v="1"/>
    <n v="2007"/>
    <s v="MKS Gdańsk"/>
    <s v="Yes"/>
    <s v="Bydgoszcz"/>
    <x v="2"/>
    <x v="2"/>
    <x v="108"/>
  </r>
  <r>
    <s v="MARCZEWSKI Stanisław"/>
    <x v="1"/>
    <n v="2007"/>
    <s v="MKS Gdańsk"/>
    <s v="Yes"/>
    <s v="Bydgoszcz"/>
    <x v="3"/>
    <x v="0"/>
    <x v="159"/>
  </r>
  <r>
    <s v="MARCZEWSKI Stanisław"/>
    <x v="1"/>
    <n v="2007"/>
    <s v="MKS Gdańsk"/>
    <s v="Yes"/>
    <s v="Bydgoszcz"/>
    <x v="3"/>
    <x v="1"/>
    <x v="10"/>
  </r>
  <r>
    <s v="MARCZEWSKI Stanisław"/>
    <x v="1"/>
    <n v="2007"/>
    <s v="MKS Gdańsk"/>
    <s v="Yes"/>
    <s v="Bydgoszcz"/>
    <x v="3"/>
    <x v="2"/>
    <x v="56"/>
  </r>
  <r>
    <s v="MARCZEWSKI Stanisław"/>
    <x v="1"/>
    <n v="2007"/>
    <s v="MKS Gdańsk"/>
    <s v="Yes"/>
    <s v="Bydgoszcz"/>
    <x v="4"/>
    <x v="0"/>
    <x v="120"/>
  </r>
  <r>
    <s v="MARCZEWSKI Stanisław"/>
    <x v="1"/>
    <n v="2007"/>
    <s v="MKS Gdańsk"/>
    <s v="Yes"/>
    <s v="Bydgoszcz"/>
    <x v="4"/>
    <x v="1"/>
    <x v="196"/>
  </r>
  <r>
    <s v="MARCZEWSKI Stanisław"/>
    <x v="1"/>
    <n v="2007"/>
    <s v="MKS Gdańsk"/>
    <s v="Yes"/>
    <s v="Bydgoszcz"/>
    <x v="4"/>
    <x v="2"/>
    <x v="23"/>
  </r>
  <r>
    <s v="MARCZEWSKI Stanisław"/>
    <x v="1"/>
    <n v="2007"/>
    <s v="MKS Gdańsk"/>
    <s v="Yes"/>
    <s v="Bydgoszcz"/>
    <x v="5"/>
    <x v="0"/>
    <x v="191"/>
  </r>
  <r>
    <s v="MARCZEWSKI Stanisław"/>
    <x v="1"/>
    <n v="2007"/>
    <s v="MKS Gdańsk"/>
    <s v="Yes"/>
    <s v="Bydgoszcz"/>
    <x v="5"/>
    <x v="1"/>
    <x v="75"/>
  </r>
  <r>
    <s v="MARCZEWSKI Stanisław"/>
    <x v="1"/>
    <n v="2007"/>
    <s v="MKS Gdańsk"/>
    <s v="Yes"/>
    <s v="Bydgoszcz"/>
    <x v="5"/>
    <x v="2"/>
    <x v="122"/>
  </r>
  <r>
    <s v="MARCZEWSKI Stanisław"/>
    <x v="1"/>
    <n v="2007"/>
    <s v="MKS Gdańsk"/>
    <s v="Yes"/>
    <s v="Bydgoszcz"/>
    <x v="6"/>
    <x v="3"/>
    <x v="197"/>
  </r>
  <r>
    <s v="MARCZEWSKI Stanisław"/>
    <x v="1"/>
    <n v="2007"/>
    <s v="MKS Gdańsk"/>
    <s v="Yes"/>
    <s v="Bydgoszcz"/>
    <x v="6"/>
    <x v="4"/>
    <x v="198"/>
  </r>
  <r>
    <s v="MARCZEWSKI Stanisław"/>
    <x v="1"/>
    <n v="2007"/>
    <s v="MKS Gdańsk"/>
    <s v="Yes"/>
    <s v="Bydgoszcz"/>
    <x v="6"/>
    <x v="5"/>
    <x v="199"/>
  </r>
  <r>
    <s v="ĆWIEK Tymoteusz"/>
    <x v="1"/>
    <n v="2006"/>
    <s v="KS AZS AWF Kraków"/>
    <s v="No"/>
    <s v="Bydgoszcz"/>
    <x v="0"/>
    <x v="0"/>
    <x v="60"/>
  </r>
  <r>
    <s v="ĆWIEK Tymoteusz"/>
    <x v="1"/>
    <n v="2006"/>
    <s v="KS AZS AWF Kraków"/>
    <s v="No"/>
    <s v="Bydgoszcz"/>
    <x v="0"/>
    <x v="1"/>
    <x v="168"/>
  </r>
  <r>
    <s v="ĆWIEK Tymoteusz"/>
    <x v="1"/>
    <n v="2006"/>
    <s v="KS AZS AWF Kraków"/>
    <s v="No"/>
    <s v="Bydgoszcz"/>
    <x v="0"/>
    <x v="2"/>
    <x v="46"/>
  </r>
  <r>
    <s v="ĆWIEK Tymoteusz"/>
    <x v="1"/>
    <n v="2006"/>
    <s v="KS AZS AWF Kraków"/>
    <s v="No"/>
    <s v="Bydgoszcz"/>
    <x v="1"/>
    <x v="0"/>
    <x v="112"/>
  </r>
  <r>
    <s v="ĆWIEK Tymoteusz"/>
    <x v="1"/>
    <n v="2006"/>
    <s v="KS AZS AWF Kraków"/>
    <s v="No"/>
    <s v="Bydgoszcz"/>
    <x v="1"/>
    <x v="1"/>
    <x v="3"/>
  </r>
  <r>
    <s v="ĆWIEK Tymoteusz"/>
    <x v="1"/>
    <n v="2006"/>
    <s v="KS AZS AWF Kraków"/>
    <s v="No"/>
    <s v="Bydgoszcz"/>
    <x v="1"/>
    <x v="2"/>
    <x v="99"/>
  </r>
  <r>
    <s v="ĆWIEK Tymoteusz"/>
    <x v="1"/>
    <n v="2006"/>
    <s v="KS AZS AWF Kraków"/>
    <s v="No"/>
    <s v="Bydgoszcz"/>
    <x v="2"/>
    <x v="0"/>
    <x v="98"/>
  </r>
  <r>
    <s v="ĆWIEK Tymoteusz"/>
    <x v="1"/>
    <n v="2006"/>
    <s v="KS AZS AWF Kraków"/>
    <s v="No"/>
    <s v="Bydgoszcz"/>
    <x v="2"/>
    <x v="1"/>
    <x v="109"/>
  </r>
  <r>
    <s v="ĆWIEK Tymoteusz"/>
    <x v="1"/>
    <n v="2006"/>
    <s v="KS AZS AWF Kraków"/>
    <s v="No"/>
    <s v="Bydgoszcz"/>
    <x v="2"/>
    <x v="2"/>
    <x v="170"/>
  </r>
  <r>
    <s v="ĆWIEK Tymoteusz"/>
    <x v="1"/>
    <n v="2006"/>
    <s v="KS AZS AWF Kraków"/>
    <s v="No"/>
    <s v="Bydgoszcz"/>
    <x v="3"/>
    <x v="0"/>
    <x v="42"/>
  </r>
  <r>
    <s v="ĆWIEK Tymoteusz"/>
    <x v="1"/>
    <n v="2006"/>
    <s v="KS AZS AWF Kraków"/>
    <s v="No"/>
    <s v="Bydgoszcz"/>
    <x v="3"/>
    <x v="1"/>
    <x v="26"/>
  </r>
  <r>
    <s v="ĆWIEK Tymoteusz"/>
    <x v="1"/>
    <n v="2006"/>
    <s v="KS AZS AWF Kraków"/>
    <s v="No"/>
    <s v="Bydgoszcz"/>
    <x v="3"/>
    <x v="2"/>
    <x v="21"/>
  </r>
  <r>
    <s v="ĆWIEK Tymoteusz"/>
    <x v="1"/>
    <n v="2006"/>
    <s v="KS AZS AWF Kraków"/>
    <s v="No"/>
    <s v="Bydgoszcz"/>
    <x v="4"/>
    <x v="0"/>
    <x v="80"/>
  </r>
  <r>
    <s v="ĆWIEK Tymoteusz"/>
    <x v="1"/>
    <n v="2006"/>
    <s v="KS AZS AWF Kraków"/>
    <s v="No"/>
    <s v="Bydgoszcz"/>
    <x v="4"/>
    <x v="1"/>
    <x v="137"/>
  </r>
  <r>
    <s v="ĆWIEK Tymoteusz"/>
    <x v="1"/>
    <n v="2006"/>
    <s v="KS AZS AWF Kraków"/>
    <s v="No"/>
    <s v="Bydgoszcz"/>
    <x v="4"/>
    <x v="2"/>
    <x v="200"/>
  </r>
  <r>
    <s v="ĆWIEK Tymoteusz"/>
    <x v="1"/>
    <n v="2006"/>
    <s v="KS AZS AWF Kraków"/>
    <s v="No"/>
    <s v="Bydgoszcz"/>
    <x v="5"/>
    <x v="0"/>
    <x v="115"/>
  </r>
  <r>
    <s v="ĆWIEK Tymoteusz"/>
    <x v="1"/>
    <n v="2006"/>
    <s v="KS AZS AWF Kraków"/>
    <s v="No"/>
    <s v="Bydgoszcz"/>
    <x v="5"/>
    <x v="1"/>
    <x v="115"/>
  </r>
  <r>
    <s v="ĆWIEK Tymoteusz"/>
    <x v="1"/>
    <n v="2006"/>
    <s v="KS AZS AWF Kraków"/>
    <s v="No"/>
    <s v="Bydgoszcz"/>
    <x v="5"/>
    <x v="2"/>
    <x v="115"/>
  </r>
  <r>
    <s v="ĆWIEK Tymoteusz"/>
    <x v="1"/>
    <n v="2006"/>
    <s v="KS AZS AWF Kraków"/>
    <s v="No"/>
    <s v="Bydgoszcz"/>
    <x v="6"/>
    <x v="3"/>
    <x v="115"/>
  </r>
  <r>
    <s v="ĆWIEK Tymoteusz"/>
    <x v="1"/>
    <n v="2006"/>
    <s v="KS AZS AWF Kraków"/>
    <s v="No"/>
    <s v="Bydgoszcz"/>
    <x v="6"/>
    <x v="4"/>
    <x v="115"/>
  </r>
  <r>
    <s v="ĆWIEK Tymoteusz"/>
    <x v="1"/>
    <n v="2006"/>
    <s v="KS AZS AWF Kraków"/>
    <s v="No"/>
    <s v="Bydgoszcz"/>
    <x v="6"/>
    <x v="5"/>
    <x v="201"/>
  </r>
  <r>
    <s v="JANKOWSKI Dominik"/>
    <x v="1"/>
    <n v="2007"/>
    <s v="MKS Gdańsk"/>
    <s v="No"/>
    <s v="Bydgoszcz"/>
    <x v="0"/>
    <x v="0"/>
    <x v="25"/>
  </r>
  <r>
    <s v="JANKOWSKI Dominik"/>
    <x v="1"/>
    <n v="2007"/>
    <s v="MKS Gdańsk"/>
    <s v="No"/>
    <s v="Bydgoszcz"/>
    <x v="0"/>
    <x v="1"/>
    <x v="23"/>
  </r>
  <r>
    <s v="JANKOWSKI Dominik"/>
    <x v="1"/>
    <n v="2007"/>
    <s v="MKS Gdańsk"/>
    <s v="No"/>
    <s v="Bydgoszcz"/>
    <x v="0"/>
    <x v="2"/>
    <x v="21"/>
  </r>
  <r>
    <s v="JANKOWSKI Dominik"/>
    <x v="1"/>
    <n v="2007"/>
    <s v="MKS Gdańsk"/>
    <s v="No"/>
    <s v="Bydgoszcz"/>
    <x v="1"/>
    <x v="0"/>
    <x v="112"/>
  </r>
  <r>
    <s v="JANKOWSKI Dominik"/>
    <x v="1"/>
    <n v="2007"/>
    <s v="MKS Gdańsk"/>
    <s v="No"/>
    <s v="Bydgoszcz"/>
    <x v="1"/>
    <x v="1"/>
    <x v="77"/>
  </r>
  <r>
    <s v="JANKOWSKI Dominik"/>
    <x v="1"/>
    <n v="2007"/>
    <s v="MKS Gdańsk"/>
    <s v="No"/>
    <s v="Bydgoszcz"/>
    <x v="1"/>
    <x v="2"/>
    <x v="56"/>
  </r>
  <r>
    <s v="JANKOWSKI Dominik"/>
    <x v="1"/>
    <n v="2007"/>
    <s v="MKS Gdańsk"/>
    <s v="No"/>
    <s v="Bydgoszcz"/>
    <x v="2"/>
    <x v="0"/>
    <x v="96"/>
  </r>
  <r>
    <s v="JANKOWSKI Dominik"/>
    <x v="1"/>
    <n v="2007"/>
    <s v="MKS Gdańsk"/>
    <s v="No"/>
    <s v="Bydgoszcz"/>
    <x v="2"/>
    <x v="1"/>
    <x v="1"/>
  </r>
  <r>
    <s v="JANKOWSKI Dominik"/>
    <x v="1"/>
    <n v="2007"/>
    <s v="MKS Gdańsk"/>
    <s v="No"/>
    <s v="Bydgoszcz"/>
    <x v="2"/>
    <x v="2"/>
    <x v="70"/>
  </r>
  <r>
    <s v="JANKOWSKI Dominik"/>
    <x v="1"/>
    <n v="2007"/>
    <s v="MKS Gdańsk"/>
    <s v="No"/>
    <s v="Bydgoszcz"/>
    <x v="3"/>
    <x v="0"/>
    <x v="25"/>
  </r>
  <r>
    <s v="JANKOWSKI Dominik"/>
    <x v="1"/>
    <n v="2007"/>
    <s v="MKS Gdańsk"/>
    <s v="No"/>
    <s v="Bydgoszcz"/>
    <x v="3"/>
    <x v="1"/>
    <x v="38"/>
  </r>
  <r>
    <s v="JANKOWSKI Dominik"/>
    <x v="1"/>
    <n v="2007"/>
    <s v="MKS Gdańsk"/>
    <s v="No"/>
    <s v="Bydgoszcz"/>
    <x v="3"/>
    <x v="2"/>
    <x v="202"/>
  </r>
  <r>
    <s v="JANKOWSKI Dominik"/>
    <x v="1"/>
    <n v="2007"/>
    <s v="MKS Gdańsk"/>
    <s v="No"/>
    <s v="Bydgoszcz"/>
    <x v="4"/>
    <x v="0"/>
    <x v="115"/>
  </r>
  <r>
    <s v="JANKOWSKI Dominik"/>
    <x v="1"/>
    <n v="2007"/>
    <s v="MKS Gdańsk"/>
    <s v="No"/>
    <s v="Bydgoszcz"/>
    <x v="4"/>
    <x v="1"/>
    <x v="115"/>
  </r>
  <r>
    <s v="JANKOWSKI Dominik"/>
    <x v="1"/>
    <n v="2007"/>
    <s v="MKS Gdańsk"/>
    <s v="No"/>
    <s v="Bydgoszcz"/>
    <x v="4"/>
    <x v="2"/>
    <x v="115"/>
  </r>
  <r>
    <s v="JANKOWSKI Dominik"/>
    <x v="1"/>
    <n v="2007"/>
    <s v="MKS Gdańsk"/>
    <s v="No"/>
    <s v="Bydgoszcz"/>
    <x v="5"/>
    <x v="0"/>
    <x v="115"/>
  </r>
  <r>
    <s v="JANKOWSKI Dominik"/>
    <x v="1"/>
    <n v="2007"/>
    <s v="MKS Gdańsk"/>
    <s v="No"/>
    <s v="Bydgoszcz"/>
    <x v="5"/>
    <x v="1"/>
    <x v="115"/>
  </r>
  <r>
    <s v="JANKOWSKI Dominik"/>
    <x v="1"/>
    <n v="2007"/>
    <s v="MKS Gdańsk"/>
    <s v="No"/>
    <s v="Bydgoszcz"/>
    <x v="5"/>
    <x v="2"/>
    <x v="115"/>
  </r>
  <r>
    <s v="JANKOWSKI Dominik"/>
    <x v="1"/>
    <n v="2007"/>
    <s v="MKS Gdańsk"/>
    <s v="No"/>
    <s v="Bydgoszcz"/>
    <x v="6"/>
    <x v="3"/>
    <x v="115"/>
  </r>
  <r>
    <s v="JANKOWSKI Dominik"/>
    <x v="1"/>
    <n v="2007"/>
    <s v="MKS Gdańsk"/>
    <s v="No"/>
    <s v="Bydgoszcz"/>
    <x v="6"/>
    <x v="4"/>
    <x v="115"/>
  </r>
  <r>
    <s v="JANKOWSKI Dominik"/>
    <x v="1"/>
    <n v="2007"/>
    <s v="MKS Gdańsk"/>
    <s v="No"/>
    <s v="Bydgoszcz"/>
    <x v="6"/>
    <x v="5"/>
    <x v="203"/>
  </r>
  <r>
    <s v="KLIMCZUK Michal"/>
    <x v="1"/>
    <n v="2006"/>
    <s v="MKS Gdańsk"/>
    <s v="No"/>
    <s v="Bydgoszcz"/>
    <x v="0"/>
    <x v="0"/>
    <x v="115"/>
  </r>
  <r>
    <s v="KLIMCZUK Michal"/>
    <x v="1"/>
    <n v="2006"/>
    <s v="MKS Gdańsk"/>
    <s v="No"/>
    <s v="Bydgoszcz"/>
    <x v="0"/>
    <x v="1"/>
    <x v="115"/>
  </r>
  <r>
    <s v="KLIMCZUK Michal"/>
    <x v="1"/>
    <n v="2006"/>
    <s v="MKS Gdańsk"/>
    <s v="No"/>
    <s v="Bydgoszcz"/>
    <x v="0"/>
    <x v="2"/>
    <x v="115"/>
  </r>
  <r>
    <s v="KLIMCZUK Michal"/>
    <x v="1"/>
    <n v="2006"/>
    <s v="MKS Gdańsk"/>
    <s v="No"/>
    <s v="Bydgoszcz"/>
    <x v="1"/>
    <x v="0"/>
    <x v="112"/>
  </r>
  <r>
    <s v="KLIMCZUK Michal"/>
    <x v="1"/>
    <n v="2006"/>
    <s v="MKS Gdańsk"/>
    <s v="No"/>
    <s v="Bydgoszcz"/>
    <x v="1"/>
    <x v="1"/>
    <x v="204"/>
  </r>
  <r>
    <s v="KLIMCZUK Michal"/>
    <x v="1"/>
    <n v="2006"/>
    <s v="MKS Gdańsk"/>
    <s v="No"/>
    <s v="Bydgoszcz"/>
    <x v="1"/>
    <x v="2"/>
    <x v="87"/>
  </r>
  <r>
    <s v="KLIMCZUK Michal"/>
    <x v="1"/>
    <n v="2006"/>
    <s v="MKS Gdańsk"/>
    <s v="No"/>
    <s v="Bydgoszcz"/>
    <x v="2"/>
    <x v="0"/>
    <x v="115"/>
  </r>
  <r>
    <s v="KLIMCZUK Michal"/>
    <x v="1"/>
    <n v="2006"/>
    <s v="MKS Gdańsk"/>
    <s v="No"/>
    <s v="Bydgoszcz"/>
    <x v="2"/>
    <x v="1"/>
    <x v="115"/>
  </r>
  <r>
    <s v="KLIMCZUK Michal"/>
    <x v="1"/>
    <n v="2006"/>
    <s v="MKS Gdańsk"/>
    <s v="No"/>
    <s v="Bydgoszcz"/>
    <x v="2"/>
    <x v="2"/>
    <x v="115"/>
  </r>
  <r>
    <s v="KLIMCZUK Michal"/>
    <x v="1"/>
    <n v="2006"/>
    <s v="MKS Gdańsk"/>
    <s v="No"/>
    <s v="Bydgoszcz"/>
    <x v="3"/>
    <x v="0"/>
    <x v="96"/>
  </r>
  <r>
    <s v="KLIMCZUK Michal"/>
    <x v="1"/>
    <n v="2006"/>
    <s v="MKS Gdańsk"/>
    <s v="No"/>
    <s v="Bydgoszcz"/>
    <x v="3"/>
    <x v="1"/>
    <x v="121"/>
  </r>
  <r>
    <s v="KLIMCZUK Michal"/>
    <x v="1"/>
    <n v="2006"/>
    <s v="MKS Gdańsk"/>
    <s v="No"/>
    <s v="Bydgoszcz"/>
    <x v="3"/>
    <x v="2"/>
    <x v="155"/>
  </r>
  <r>
    <s v="KLIMCZUK Michal"/>
    <x v="1"/>
    <n v="2006"/>
    <s v="MKS Gdańsk"/>
    <s v="No"/>
    <s v="Bydgoszcz"/>
    <x v="4"/>
    <x v="0"/>
    <x v="96"/>
  </r>
  <r>
    <s v="KLIMCZUK Michal"/>
    <x v="1"/>
    <n v="2006"/>
    <s v="MKS Gdańsk"/>
    <s v="No"/>
    <s v="Bydgoszcz"/>
    <x v="4"/>
    <x v="1"/>
    <x v="75"/>
  </r>
  <r>
    <s v="KLIMCZUK Michal"/>
    <x v="1"/>
    <n v="2006"/>
    <s v="MKS Gdańsk"/>
    <s v="No"/>
    <s v="Bydgoszcz"/>
    <x v="4"/>
    <x v="2"/>
    <x v="66"/>
  </r>
  <r>
    <s v="KLIMCZUK Michal"/>
    <x v="1"/>
    <n v="2006"/>
    <s v="MKS Gdańsk"/>
    <s v="No"/>
    <s v="Bydgoszcz"/>
    <x v="5"/>
    <x v="0"/>
    <x v="205"/>
  </r>
  <r>
    <s v="KLIMCZUK Michal"/>
    <x v="1"/>
    <n v="2006"/>
    <s v="MKS Gdańsk"/>
    <s v="No"/>
    <s v="Bydgoszcz"/>
    <x v="5"/>
    <x v="1"/>
    <x v="15"/>
  </r>
  <r>
    <s v="KLIMCZUK Michal"/>
    <x v="1"/>
    <n v="2006"/>
    <s v="MKS Gdańsk"/>
    <s v="No"/>
    <s v="Bydgoszcz"/>
    <x v="5"/>
    <x v="2"/>
    <x v="206"/>
  </r>
  <r>
    <s v="KLIMCZUK Michal"/>
    <x v="1"/>
    <n v="2006"/>
    <s v="MKS Gdańsk"/>
    <s v="No"/>
    <s v="Bydgoszcz"/>
    <x v="6"/>
    <x v="3"/>
    <x v="115"/>
  </r>
  <r>
    <s v="KLIMCZUK Michal"/>
    <x v="1"/>
    <n v="2006"/>
    <s v="MKS Gdańsk"/>
    <s v="No"/>
    <s v="Bydgoszcz"/>
    <x v="6"/>
    <x v="4"/>
    <x v="115"/>
  </r>
  <r>
    <s v="KLIMCZUK Michal"/>
    <x v="1"/>
    <n v="2006"/>
    <s v="MKS Gdańsk"/>
    <s v="No"/>
    <s v="Bydgoszcz"/>
    <x v="6"/>
    <x v="5"/>
    <x v="207"/>
  </r>
  <r>
    <s v="KOLORZ Maks"/>
    <x v="1"/>
    <n v="2007"/>
    <s v="KG Radlin"/>
    <s v="Yes"/>
    <s v="Bydgoszcz"/>
    <x v="0"/>
    <x v="0"/>
    <x v="98"/>
  </r>
  <r>
    <s v="KOLORZ Maks"/>
    <x v="1"/>
    <n v="2007"/>
    <s v="KG Radlin"/>
    <s v="Yes"/>
    <s v="Bydgoszcz"/>
    <x v="0"/>
    <x v="1"/>
    <x v="1"/>
  </r>
  <r>
    <s v="KOLORZ Maks"/>
    <x v="1"/>
    <n v="2007"/>
    <s v="KG Radlin"/>
    <s v="Yes"/>
    <s v="Bydgoszcz"/>
    <x v="0"/>
    <x v="2"/>
    <x v="41"/>
  </r>
  <r>
    <s v="KOLORZ Maks"/>
    <x v="1"/>
    <n v="2007"/>
    <s v="KG Radlin"/>
    <s v="Yes"/>
    <s v="Bydgoszcz"/>
    <x v="1"/>
    <x v="0"/>
    <x v="208"/>
  </r>
  <r>
    <s v="KOLORZ Maks"/>
    <x v="1"/>
    <n v="2007"/>
    <s v="KG Radlin"/>
    <s v="Yes"/>
    <s v="Bydgoszcz"/>
    <x v="1"/>
    <x v="1"/>
    <x v="115"/>
  </r>
  <r>
    <s v="KOLORZ Maks"/>
    <x v="1"/>
    <n v="2007"/>
    <s v="KG Radlin"/>
    <s v="Yes"/>
    <s v="Bydgoszcz"/>
    <x v="1"/>
    <x v="2"/>
    <x v="208"/>
  </r>
  <r>
    <s v="KOLORZ Maks"/>
    <x v="1"/>
    <n v="2007"/>
    <s v="KG Radlin"/>
    <s v="Yes"/>
    <s v="Bydgoszcz"/>
    <x v="2"/>
    <x v="0"/>
    <x v="133"/>
  </r>
  <r>
    <s v="KOLORZ Maks"/>
    <x v="1"/>
    <n v="2007"/>
    <s v="KG Radlin"/>
    <s v="Yes"/>
    <s v="Bydgoszcz"/>
    <x v="2"/>
    <x v="1"/>
    <x v="209"/>
  </r>
  <r>
    <s v="KOLORZ Maks"/>
    <x v="1"/>
    <n v="2007"/>
    <s v="KG Radlin"/>
    <s v="Yes"/>
    <s v="Bydgoszcz"/>
    <x v="2"/>
    <x v="2"/>
    <x v="67"/>
  </r>
  <r>
    <s v="KOLORZ Maks"/>
    <x v="1"/>
    <n v="2007"/>
    <s v="KG Radlin"/>
    <s v="Yes"/>
    <s v="Bydgoszcz"/>
    <x v="3"/>
    <x v="0"/>
    <x v="96"/>
  </r>
  <r>
    <s v="KOLORZ Maks"/>
    <x v="1"/>
    <n v="2007"/>
    <s v="KG Radlin"/>
    <s v="Yes"/>
    <s v="Bydgoszcz"/>
    <x v="3"/>
    <x v="1"/>
    <x v="87"/>
  </r>
  <r>
    <s v="KOLORZ Maks"/>
    <x v="1"/>
    <n v="2007"/>
    <s v="KG Radlin"/>
    <s v="Yes"/>
    <s v="Bydgoszcz"/>
    <x v="3"/>
    <x v="2"/>
    <x v="100"/>
  </r>
  <r>
    <s v="KOLORZ Maks"/>
    <x v="1"/>
    <n v="2007"/>
    <s v="KG Radlin"/>
    <s v="Yes"/>
    <s v="Bydgoszcz"/>
    <x v="4"/>
    <x v="0"/>
    <x v="210"/>
  </r>
  <r>
    <s v="KOLORZ Maks"/>
    <x v="1"/>
    <n v="2007"/>
    <s v="KG Radlin"/>
    <s v="Yes"/>
    <s v="Bydgoszcz"/>
    <x v="4"/>
    <x v="1"/>
    <x v="211"/>
  </r>
  <r>
    <s v="KOLORZ Maks"/>
    <x v="1"/>
    <n v="2007"/>
    <s v="KG Radlin"/>
    <s v="Yes"/>
    <s v="Bydgoszcz"/>
    <x v="4"/>
    <x v="2"/>
    <x v="80"/>
  </r>
  <r>
    <s v="KOLORZ Maks"/>
    <x v="1"/>
    <n v="2007"/>
    <s v="KG Radlin"/>
    <s v="Yes"/>
    <s v="Bydgoszcz"/>
    <x v="5"/>
    <x v="0"/>
    <x v="212"/>
  </r>
  <r>
    <s v="KOLORZ Maks"/>
    <x v="1"/>
    <n v="2007"/>
    <s v="KG Radlin"/>
    <s v="Yes"/>
    <s v="Bydgoszcz"/>
    <x v="5"/>
    <x v="1"/>
    <x v="213"/>
  </r>
  <r>
    <s v="KOLORZ Maks"/>
    <x v="1"/>
    <n v="2007"/>
    <s v="KG Radlin"/>
    <s v="Yes"/>
    <s v="Bydgoszcz"/>
    <x v="5"/>
    <x v="2"/>
    <x v="214"/>
  </r>
  <r>
    <s v="KOLORZ Maks"/>
    <x v="1"/>
    <n v="2007"/>
    <s v="KG Radlin"/>
    <s v="Yes"/>
    <s v="Bydgoszcz"/>
    <x v="6"/>
    <x v="3"/>
    <x v="215"/>
  </r>
  <r>
    <s v="KOLORZ Maks"/>
    <x v="1"/>
    <n v="2007"/>
    <s v="KG Radlin"/>
    <s v="Yes"/>
    <s v="Bydgoszcz"/>
    <x v="6"/>
    <x v="4"/>
    <x v="216"/>
  </r>
  <r>
    <s v="KOLORZ Maks"/>
    <x v="1"/>
    <n v="2007"/>
    <s v="KG Radlin"/>
    <s v="Yes"/>
    <s v="Bydgoszcz"/>
    <x v="6"/>
    <x v="5"/>
    <x v="217"/>
  </r>
  <r>
    <s v="RUS Gracjan"/>
    <x v="1"/>
    <n v="2007"/>
    <s v="KG Radlin"/>
    <s v="Yes"/>
    <s v="Bydgoszcz"/>
    <x v="0"/>
    <x v="0"/>
    <x v="120"/>
  </r>
  <r>
    <s v="RUS Gracjan"/>
    <x v="1"/>
    <n v="2007"/>
    <s v="KG Radlin"/>
    <s v="Yes"/>
    <s v="Bydgoszcz"/>
    <x v="0"/>
    <x v="1"/>
    <x v="168"/>
  </r>
  <r>
    <s v="RUS Gracjan"/>
    <x v="1"/>
    <n v="2007"/>
    <s v="KG Radlin"/>
    <s v="Yes"/>
    <s v="Bydgoszcz"/>
    <x v="0"/>
    <x v="2"/>
    <x v="160"/>
  </r>
  <r>
    <s v="RUS Gracjan"/>
    <x v="1"/>
    <n v="2007"/>
    <s v="KG Radlin"/>
    <s v="Yes"/>
    <s v="Bydgoszcz"/>
    <x v="1"/>
    <x v="0"/>
    <x v="218"/>
  </r>
  <r>
    <s v="RUS Gracjan"/>
    <x v="1"/>
    <n v="2007"/>
    <s v="KG Radlin"/>
    <s v="Yes"/>
    <s v="Bydgoszcz"/>
    <x v="1"/>
    <x v="1"/>
    <x v="115"/>
  </r>
  <r>
    <s v="RUS Gracjan"/>
    <x v="1"/>
    <n v="2007"/>
    <s v="KG Radlin"/>
    <s v="Yes"/>
    <s v="Bydgoszcz"/>
    <x v="1"/>
    <x v="2"/>
    <x v="218"/>
  </r>
  <r>
    <s v="RUS Gracjan"/>
    <x v="1"/>
    <n v="2007"/>
    <s v="KG Radlin"/>
    <s v="Yes"/>
    <s v="Bydgoszcz"/>
    <x v="2"/>
    <x v="0"/>
    <x v="212"/>
  </r>
  <r>
    <s v="RUS Gracjan"/>
    <x v="1"/>
    <n v="2007"/>
    <s v="KG Radlin"/>
    <s v="Yes"/>
    <s v="Bydgoszcz"/>
    <x v="2"/>
    <x v="1"/>
    <x v="117"/>
  </r>
  <r>
    <s v="RUS Gracjan"/>
    <x v="1"/>
    <n v="2007"/>
    <s v="KG Radlin"/>
    <s v="Yes"/>
    <s v="Bydgoszcz"/>
    <x v="2"/>
    <x v="2"/>
    <x v="9"/>
  </r>
  <r>
    <s v="RUS Gracjan"/>
    <x v="1"/>
    <n v="2007"/>
    <s v="KG Radlin"/>
    <s v="Yes"/>
    <s v="Bydgoszcz"/>
    <x v="3"/>
    <x v="0"/>
    <x v="159"/>
  </r>
  <r>
    <s v="RUS Gracjan"/>
    <x v="1"/>
    <n v="2007"/>
    <s v="KG Radlin"/>
    <s v="Yes"/>
    <s v="Bydgoszcz"/>
    <x v="3"/>
    <x v="1"/>
    <x v="26"/>
  </r>
  <r>
    <s v="RUS Gracjan"/>
    <x v="1"/>
    <n v="2007"/>
    <s v="KG Radlin"/>
    <s v="Yes"/>
    <s v="Bydgoszcz"/>
    <x v="3"/>
    <x v="2"/>
    <x v="62"/>
  </r>
  <r>
    <s v="RUS Gracjan"/>
    <x v="1"/>
    <n v="2007"/>
    <s v="KG Radlin"/>
    <s v="Yes"/>
    <s v="Bydgoszcz"/>
    <x v="4"/>
    <x v="0"/>
    <x v="191"/>
  </r>
  <r>
    <s v="RUS Gracjan"/>
    <x v="1"/>
    <n v="2007"/>
    <s v="KG Radlin"/>
    <s v="Yes"/>
    <s v="Bydgoszcz"/>
    <x v="4"/>
    <x v="1"/>
    <x v="219"/>
  </r>
  <r>
    <s v="RUS Gracjan"/>
    <x v="1"/>
    <n v="2007"/>
    <s v="KG Radlin"/>
    <s v="Yes"/>
    <s v="Bydgoszcz"/>
    <x v="4"/>
    <x v="2"/>
    <x v="220"/>
  </r>
  <r>
    <s v="RUS Gracjan"/>
    <x v="1"/>
    <n v="2007"/>
    <s v="KG Radlin"/>
    <s v="Yes"/>
    <s v="Bydgoszcz"/>
    <x v="5"/>
    <x v="0"/>
    <x v="221"/>
  </r>
  <r>
    <s v="RUS Gracjan"/>
    <x v="1"/>
    <n v="2007"/>
    <s v="KG Radlin"/>
    <s v="Yes"/>
    <s v="Bydgoszcz"/>
    <x v="5"/>
    <x v="1"/>
    <x v="222"/>
  </r>
  <r>
    <s v="RUS Gracjan"/>
    <x v="1"/>
    <n v="2007"/>
    <s v="KG Radlin"/>
    <s v="Yes"/>
    <s v="Bydgoszcz"/>
    <x v="5"/>
    <x v="2"/>
    <x v="97"/>
  </r>
  <r>
    <s v="RUS Gracjan"/>
    <x v="1"/>
    <n v="2007"/>
    <s v="KG Radlin"/>
    <s v="Yes"/>
    <s v="Bydgoszcz"/>
    <x v="6"/>
    <x v="3"/>
    <x v="23"/>
  </r>
  <r>
    <s v="RUS Gracjan"/>
    <x v="1"/>
    <n v="2007"/>
    <s v="KG Radlin"/>
    <s v="Yes"/>
    <s v="Bydgoszcz"/>
    <x v="6"/>
    <x v="4"/>
    <x v="223"/>
  </r>
  <r>
    <s v="RUS Gracjan"/>
    <x v="1"/>
    <n v="2007"/>
    <s v="KG Radlin"/>
    <s v="Yes"/>
    <s v="Bydgoszcz"/>
    <x v="6"/>
    <x v="5"/>
    <x v="130"/>
  </r>
  <r>
    <s v="MYSZI Dominik"/>
    <x v="1"/>
    <n v="2008"/>
    <s v="KG Radlin"/>
    <s v="No"/>
    <s v="Bydgoszcz"/>
    <x v="0"/>
    <x v="0"/>
    <x v="60"/>
  </r>
  <r>
    <s v="MYSZI Dominik"/>
    <x v="1"/>
    <n v="2008"/>
    <s v="KG Radlin"/>
    <s v="No"/>
    <s v="Bydgoszcz"/>
    <x v="0"/>
    <x v="1"/>
    <x v="23"/>
  </r>
  <r>
    <s v="MYSZI Dominik"/>
    <x v="1"/>
    <n v="2008"/>
    <s v="KG Radlin"/>
    <s v="No"/>
    <s v="Bydgoszcz"/>
    <x v="0"/>
    <x v="2"/>
    <x v="155"/>
  </r>
  <r>
    <s v="MYSZI Dominik"/>
    <x v="1"/>
    <n v="2008"/>
    <s v="KG Radlin"/>
    <s v="No"/>
    <s v="Bydgoszcz"/>
    <x v="1"/>
    <x v="0"/>
    <x v="212"/>
  </r>
  <r>
    <s v="MYSZI Dominik"/>
    <x v="1"/>
    <n v="2008"/>
    <s v="KG Radlin"/>
    <s v="No"/>
    <s v="Bydgoszcz"/>
    <x v="1"/>
    <x v="1"/>
    <x v="115"/>
  </r>
  <r>
    <s v="MYSZI Dominik"/>
    <x v="1"/>
    <n v="2008"/>
    <s v="KG Radlin"/>
    <s v="No"/>
    <s v="Bydgoszcz"/>
    <x v="1"/>
    <x v="2"/>
    <x v="212"/>
  </r>
  <r>
    <s v="MYSZI Dominik"/>
    <x v="1"/>
    <n v="2008"/>
    <s v="KG Radlin"/>
    <s v="No"/>
    <s v="Bydgoszcz"/>
    <x v="2"/>
    <x v="0"/>
    <x v="133"/>
  </r>
  <r>
    <s v="MYSZI Dominik"/>
    <x v="1"/>
    <n v="2008"/>
    <s v="KG Radlin"/>
    <s v="No"/>
    <s v="Bydgoszcz"/>
    <x v="2"/>
    <x v="1"/>
    <x v="214"/>
  </r>
  <r>
    <s v="MYSZI Dominik"/>
    <x v="1"/>
    <n v="2008"/>
    <s v="KG Radlin"/>
    <s v="No"/>
    <s v="Bydgoszcz"/>
    <x v="2"/>
    <x v="2"/>
    <x v="13"/>
  </r>
  <r>
    <s v="MYSZI Dominik"/>
    <x v="1"/>
    <n v="2008"/>
    <s v="KG Radlin"/>
    <s v="No"/>
    <s v="Bydgoszcz"/>
    <x v="3"/>
    <x v="0"/>
    <x v="115"/>
  </r>
  <r>
    <s v="MYSZI Dominik"/>
    <x v="1"/>
    <n v="2008"/>
    <s v="KG Radlin"/>
    <s v="No"/>
    <s v="Bydgoszcz"/>
    <x v="3"/>
    <x v="1"/>
    <x v="115"/>
  </r>
  <r>
    <s v="MYSZI Dominik"/>
    <x v="1"/>
    <n v="2008"/>
    <s v="KG Radlin"/>
    <s v="No"/>
    <s v="Bydgoszcz"/>
    <x v="3"/>
    <x v="2"/>
    <x v="115"/>
  </r>
  <r>
    <s v="MYSZI Dominik"/>
    <x v="1"/>
    <n v="2008"/>
    <s v="KG Radlin"/>
    <s v="No"/>
    <s v="Bydgoszcz"/>
    <x v="4"/>
    <x v="0"/>
    <x v="136"/>
  </r>
  <r>
    <s v="MYSZI Dominik"/>
    <x v="1"/>
    <n v="2008"/>
    <s v="KG Radlin"/>
    <s v="No"/>
    <s v="Bydgoszcz"/>
    <x v="4"/>
    <x v="1"/>
    <x v="224"/>
  </r>
  <r>
    <s v="MYSZI Dominik"/>
    <x v="1"/>
    <n v="2008"/>
    <s v="KG Radlin"/>
    <s v="No"/>
    <s v="Bydgoszcz"/>
    <x v="4"/>
    <x v="2"/>
    <x v="225"/>
  </r>
  <r>
    <s v="MYSZI Dominik"/>
    <x v="1"/>
    <n v="2008"/>
    <s v="KG Radlin"/>
    <s v="No"/>
    <s v="Bydgoszcz"/>
    <x v="5"/>
    <x v="0"/>
    <x v="222"/>
  </r>
  <r>
    <s v="MYSZI Dominik"/>
    <x v="1"/>
    <n v="2008"/>
    <s v="KG Radlin"/>
    <s v="No"/>
    <s v="Bydgoszcz"/>
    <x v="5"/>
    <x v="1"/>
    <x v="80"/>
  </r>
  <r>
    <s v="MYSZI Dominik"/>
    <x v="1"/>
    <n v="2008"/>
    <s v="KG Radlin"/>
    <s v="No"/>
    <s v="Bydgoszcz"/>
    <x v="5"/>
    <x v="2"/>
    <x v="30"/>
  </r>
  <r>
    <s v="MYSZI Dominik"/>
    <x v="1"/>
    <n v="2008"/>
    <s v="KG Radlin"/>
    <s v="No"/>
    <s v="Bydgoszcz"/>
    <x v="6"/>
    <x v="3"/>
    <x v="115"/>
  </r>
  <r>
    <s v="MYSZI Dominik"/>
    <x v="1"/>
    <n v="2008"/>
    <s v="KG Radlin"/>
    <s v="No"/>
    <s v="Bydgoszcz"/>
    <x v="6"/>
    <x v="4"/>
    <x v="115"/>
  </r>
  <r>
    <s v="MYSZI Dominik"/>
    <x v="1"/>
    <n v="2008"/>
    <s v="KG Radlin"/>
    <s v="No"/>
    <s v="Bydgoszcz"/>
    <x v="6"/>
    <x v="5"/>
    <x v="226"/>
  </r>
  <r>
    <s v="KUBALA Kacper"/>
    <x v="1"/>
    <n v="2006"/>
    <s v="MKS Gdańsk"/>
    <s v="No"/>
    <s v="Bydgoszcz"/>
    <x v="0"/>
    <x v="0"/>
    <x v="115"/>
  </r>
  <r>
    <s v="KUBALA Kacper"/>
    <x v="1"/>
    <n v="2006"/>
    <s v="MKS Gdańsk"/>
    <s v="No"/>
    <s v="Bydgoszcz"/>
    <x v="0"/>
    <x v="1"/>
    <x v="115"/>
  </r>
  <r>
    <s v="KUBALA Kacper"/>
    <x v="1"/>
    <n v="2006"/>
    <s v="MKS Gdańsk"/>
    <s v="No"/>
    <s v="Bydgoszcz"/>
    <x v="0"/>
    <x v="2"/>
    <x v="115"/>
  </r>
  <r>
    <s v="KUBALA Kacper"/>
    <x v="1"/>
    <n v="2006"/>
    <s v="MKS Gdańsk"/>
    <s v="No"/>
    <s v="Bydgoszcz"/>
    <x v="1"/>
    <x v="0"/>
    <x v="133"/>
  </r>
  <r>
    <s v="KUBALA Kacper"/>
    <x v="1"/>
    <n v="2006"/>
    <s v="MKS Gdańsk"/>
    <s v="No"/>
    <s v="Bydgoszcz"/>
    <x v="1"/>
    <x v="1"/>
    <x v="36"/>
  </r>
  <r>
    <s v="KUBALA Kacper"/>
    <x v="1"/>
    <n v="2006"/>
    <s v="MKS Gdańsk"/>
    <s v="No"/>
    <s v="Bydgoszcz"/>
    <x v="1"/>
    <x v="2"/>
    <x v="227"/>
  </r>
  <r>
    <s v="KUBALA Kacper"/>
    <x v="1"/>
    <n v="2006"/>
    <s v="MKS Gdańsk"/>
    <s v="No"/>
    <s v="Bydgoszcz"/>
    <x v="2"/>
    <x v="0"/>
    <x v="115"/>
  </r>
  <r>
    <s v="KUBALA Kacper"/>
    <x v="1"/>
    <n v="2006"/>
    <s v="MKS Gdańsk"/>
    <s v="No"/>
    <s v="Bydgoszcz"/>
    <x v="2"/>
    <x v="1"/>
    <x v="115"/>
  </r>
  <r>
    <s v="KUBALA Kacper"/>
    <x v="1"/>
    <n v="2006"/>
    <s v="MKS Gdańsk"/>
    <s v="No"/>
    <s v="Bydgoszcz"/>
    <x v="2"/>
    <x v="2"/>
    <x v="115"/>
  </r>
  <r>
    <s v="KUBALA Kacper"/>
    <x v="1"/>
    <n v="2006"/>
    <s v="MKS Gdańsk"/>
    <s v="No"/>
    <s v="Bydgoszcz"/>
    <x v="3"/>
    <x v="0"/>
    <x v="96"/>
  </r>
  <r>
    <s v="KUBALA Kacper"/>
    <x v="1"/>
    <n v="2006"/>
    <s v="MKS Gdańsk"/>
    <s v="No"/>
    <s v="Bydgoszcz"/>
    <x v="3"/>
    <x v="1"/>
    <x v="77"/>
  </r>
  <r>
    <s v="KUBALA Kacper"/>
    <x v="1"/>
    <n v="2006"/>
    <s v="MKS Gdańsk"/>
    <s v="No"/>
    <s v="Bydgoszcz"/>
    <x v="3"/>
    <x v="2"/>
    <x v="228"/>
  </r>
  <r>
    <s v="KUBALA Kacper"/>
    <x v="1"/>
    <n v="2006"/>
    <s v="MKS Gdańsk"/>
    <s v="No"/>
    <s v="Bydgoszcz"/>
    <x v="4"/>
    <x v="0"/>
    <x v="80"/>
  </r>
  <r>
    <s v="KUBALA Kacper"/>
    <x v="1"/>
    <n v="2006"/>
    <s v="MKS Gdańsk"/>
    <s v="No"/>
    <s v="Bydgoszcz"/>
    <x v="4"/>
    <x v="1"/>
    <x v="229"/>
  </r>
  <r>
    <s v="KUBALA Kacper"/>
    <x v="1"/>
    <n v="2006"/>
    <s v="MKS Gdańsk"/>
    <s v="No"/>
    <s v="Bydgoszcz"/>
    <x v="4"/>
    <x v="2"/>
    <x v="85"/>
  </r>
  <r>
    <s v="KUBALA Kacper"/>
    <x v="1"/>
    <n v="2006"/>
    <s v="MKS Gdańsk"/>
    <s v="No"/>
    <s v="Bydgoszcz"/>
    <x v="5"/>
    <x v="0"/>
    <x v="115"/>
  </r>
  <r>
    <s v="KUBALA Kacper"/>
    <x v="1"/>
    <n v="2006"/>
    <s v="MKS Gdańsk"/>
    <s v="No"/>
    <s v="Bydgoszcz"/>
    <x v="5"/>
    <x v="1"/>
    <x v="115"/>
  </r>
  <r>
    <s v="KUBALA Kacper"/>
    <x v="1"/>
    <n v="2006"/>
    <s v="MKS Gdańsk"/>
    <s v="No"/>
    <s v="Bydgoszcz"/>
    <x v="5"/>
    <x v="2"/>
    <x v="115"/>
  </r>
  <r>
    <s v="KUBALA Kacper"/>
    <x v="1"/>
    <n v="2006"/>
    <s v="MKS Gdańsk"/>
    <s v="No"/>
    <s v="Bydgoszcz"/>
    <x v="6"/>
    <x v="3"/>
    <x v="115"/>
  </r>
  <r>
    <s v="KUBALA Kacper"/>
    <x v="1"/>
    <n v="2006"/>
    <s v="MKS Gdańsk"/>
    <s v="No"/>
    <s v="Bydgoszcz"/>
    <x v="6"/>
    <x v="4"/>
    <x v="115"/>
  </r>
  <r>
    <s v="KUBALA Kacper"/>
    <x v="1"/>
    <n v="2006"/>
    <s v="MKS Gdańsk"/>
    <s v="No"/>
    <s v="Bydgoszcz"/>
    <x v="6"/>
    <x v="5"/>
    <x v="230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777">
  <r>
    <s v="GARNCZAREK Kacper"/>
    <x v="0"/>
    <n v="2002"/>
    <s v="KS AZS AWF Katowice"/>
    <s v="Zabrze"/>
    <s v="Yes"/>
    <x v="0"/>
    <x v="0"/>
    <x v="0"/>
  </r>
  <r>
    <s v="GARNCZAREK Kacper"/>
    <x v="0"/>
    <n v="2002"/>
    <s v="KS AZS AWF Katowice"/>
    <s v="Zabrze"/>
    <s v="Yes"/>
    <x v="0"/>
    <x v="1"/>
    <x v="1"/>
  </r>
  <r>
    <s v="GARNCZAREK Kacper"/>
    <x v="0"/>
    <n v="2002"/>
    <s v="KS AZS AWF Katowice"/>
    <s v="Zabrze"/>
    <s v="Yes"/>
    <x v="0"/>
    <x v="2"/>
    <x v="2"/>
  </r>
  <r>
    <s v="GARNCZAREK Kacper"/>
    <x v="0"/>
    <n v="2002"/>
    <s v="KS AZS AWF Katowice"/>
    <s v="Zabrze"/>
    <s v="Yes"/>
    <x v="1"/>
    <x v="0"/>
    <x v="3"/>
  </r>
  <r>
    <s v="GARNCZAREK Kacper"/>
    <x v="0"/>
    <n v="2002"/>
    <s v="KS AZS AWF Katowice"/>
    <s v="Zabrze"/>
    <s v="Yes"/>
    <x v="1"/>
    <x v="1"/>
    <x v="4"/>
  </r>
  <r>
    <s v="GARNCZAREK Kacper"/>
    <x v="0"/>
    <n v="2002"/>
    <s v="KS AZS AWF Katowice"/>
    <s v="Zabrze"/>
    <s v="Yes"/>
    <x v="1"/>
    <x v="2"/>
    <x v="5"/>
  </r>
  <r>
    <s v="GARNCZAREK Kacper"/>
    <x v="0"/>
    <n v="2002"/>
    <s v="KS AZS AWF Katowice"/>
    <s v="Zabrze"/>
    <s v="Yes"/>
    <x v="2"/>
    <x v="0"/>
    <x v="6"/>
  </r>
  <r>
    <s v="GARNCZAREK Kacper"/>
    <x v="0"/>
    <n v="2002"/>
    <s v="KS AZS AWF Katowice"/>
    <s v="Zabrze"/>
    <s v="Yes"/>
    <x v="2"/>
    <x v="1"/>
    <x v="7"/>
  </r>
  <r>
    <s v="GARNCZAREK Kacper"/>
    <x v="0"/>
    <n v="2002"/>
    <s v="KS AZS AWF Katowice"/>
    <s v="Zabrze"/>
    <s v="Yes"/>
    <x v="2"/>
    <x v="2"/>
    <x v="8"/>
  </r>
  <r>
    <s v="GARNCZAREK Kacper"/>
    <x v="0"/>
    <n v="2002"/>
    <s v="KS AZS AWF Katowice"/>
    <s v="Zabrze"/>
    <s v="Yes"/>
    <x v="3"/>
    <x v="0"/>
    <x v="9"/>
  </r>
  <r>
    <s v="GARNCZAREK Kacper"/>
    <x v="0"/>
    <n v="2002"/>
    <s v="KS AZS AWF Katowice"/>
    <s v="Zabrze"/>
    <s v="Yes"/>
    <x v="3"/>
    <x v="1"/>
    <x v="10"/>
  </r>
  <r>
    <s v="GARNCZAREK Kacper"/>
    <x v="0"/>
    <n v="2002"/>
    <s v="KS AZS AWF Katowice"/>
    <s v="Zabrze"/>
    <s v="Yes"/>
    <x v="3"/>
    <x v="2"/>
    <x v="11"/>
  </r>
  <r>
    <s v="GARNCZAREK Kacper"/>
    <x v="0"/>
    <n v="2002"/>
    <s v="KS AZS AWF Katowice"/>
    <s v="Zabrze"/>
    <s v="Yes"/>
    <x v="4"/>
    <x v="0"/>
    <x v="12"/>
  </r>
  <r>
    <s v="GARNCZAREK Kacper"/>
    <x v="0"/>
    <n v="2002"/>
    <s v="KS AZS AWF Katowice"/>
    <s v="Zabrze"/>
    <s v="Yes"/>
    <x v="4"/>
    <x v="1"/>
    <x v="13"/>
  </r>
  <r>
    <s v="GARNCZAREK Kacper"/>
    <x v="0"/>
    <n v="2002"/>
    <s v="KS AZS AWF Katowice"/>
    <s v="Zabrze"/>
    <s v="Yes"/>
    <x v="4"/>
    <x v="2"/>
    <x v="8"/>
  </r>
  <r>
    <s v="GARNCZAREK Kacper"/>
    <x v="0"/>
    <n v="2002"/>
    <s v="KS AZS AWF Katowice"/>
    <s v="Zabrze"/>
    <s v="Yes"/>
    <x v="5"/>
    <x v="0"/>
    <x v="14"/>
  </r>
  <r>
    <s v="GARNCZAREK Kacper"/>
    <x v="0"/>
    <n v="2002"/>
    <s v="KS AZS AWF Katowice"/>
    <s v="Zabrze"/>
    <s v="Yes"/>
    <x v="5"/>
    <x v="1"/>
    <x v="4"/>
  </r>
  <r>
    <s v="GARNCZAREK Kacper"/>
    <x v="0"/>
    <n v="2002"/>
    <s v="KS AZS AWF Katowice"/>
    <s v="Zabrze"/>
    <s v="Yes"/>
    <x v="5"/>
    <x v="2"/>
    <x v="15"/>
  </r>
  <r>
    <s v="GARNCZAREK Kacper"/>
    <x v="0"/>
    <n v="2002"/>
    <s v="KS AZS AWF Katowice"/>
    <s v="Zabrze"/>
    <s v="Yes"/>
    <x v="6"/>
    <x v="3"/>
    <x v="16"/>
  </r>
  <r>
    <s v="GARNCZAREK Kacper"/>
    <x v="0"/>
    <n v="2002"/>
    <s v="KS AZS AWF Katowice"/>
    <s v="Zabrze"/>
    <s v="Yes"/>
    <x v="6"/>
    <x v="4"/>
    <x v="17"/>
  </r>
  <r>
    <s v="GARNCZAREK Kacper"/>
    <x v="0"/>
    <n v="2002"/>
    <s v="KS AZS AWF Katowice"/>
    <s v="Zabrze"/>
    <s v="Yes"/>
    <x v="6"/>
    <x v="5"/>
    <x v="18"/>
  </r>
  <r>
    <s v="SASNAL Filip"/>
    <x v="0"/>
    <n v="1997"/>
    <s v="KS AZS AWF Kraków"/>
    <s v="Zabrze"/>
    <s v="Yes"/>
    <x v="0"/>
    <x v="0"/>
    <x v="19"/>
  </r>
  <r>
    <s v="SASNAL Filip"/>
    <x v="0"/>
    <n v="1997"/>
    <s v="KS AZS AWF Kraków"/>
    <s v="Zabrze"/>
    <s v="Yes"/>
    <x v="0"/>
    <x v="1"/>
    <x v="20"/>
  </r>
  <r>
    <s v="SASNAL Filip"/>
    <x v="0"/>
    <n v="1997"/>
    <s v="KS AZS AWF Kraków"/>
    <s v="Zabrze"/>
    <s v="Yes"/>
    <x v="0"/>
    <x v="2"/>
    <x v="21"/>
  </r>
  <r>
    <s v="SASNAL Filip"/>
    <x v="0"/>
    <n v="1997"/>
    <s v="KS AZS AWF Kraków"/>
    <s v="Zabrze"/>
    <s v="Yes"/>
    <x v="1"/>
    <x v="0"/>
    <x v="14"/>
  </r>
  <r>
    <s v="SASNAL Filip"/>
    <x v="0"/>
    <n v="1997"/>
    <s v="KS AZS AWF Kraków"/>
    <s v="Zabrze"/>
    <s v="Yes"/>
    <x v="1"/>
    <x v="1"/>
    <x v="22"/>
  </r>
  <r>
    <s v="SASNAL Filip"/>
    <x v="0"/>
    <n v="1997"/>
    <s v="KS AZS AWF Kraków"/>
    <s v="Zabrze"/>
    <s v="Yes"/>
    <x v="1"/>
    <x v="2"/>
    <x v="23"/>
  </r>
  <r>
    <s v="SASNAL Filip"/>
    <x v="0"/>
    <n v="1997"/>
    <s v="KS AZS AWF Kraków"/>
    <s v="Zabrze"/>
    <s v="Yes"/>
    <x v="2"/>
    <x v="0"/>
    <x v="24"/>
  </r>
  <r>
    <s v="SASNAL Filip"/>
    <x v="0"/>
    <n v="1997"/>
    <s v="KS AZS AWF Kraków"/>
    <s v="Zabrze"/>
    <s v="Yes"/>
    <x v="2"/>
    <x v="1"/>
    <x v="25"/>
  </r>
  <r>
    <s v="SASNAL Filip"/>
    <x v="0"/>
    <n v="1997"/>
    <s v="KS AZS AWF Kraków"/>
    <s v="Zabrze"/>
    <s v="Yes"/>
    <x v="2"/>
    <x v="2"/>
    <x v="15"/>
  </r>
  <r>
    <s v="SASNAL Filip"/>
    <x v="0"/>
    <n v="1997"/>
    <s v="KS AZS AWF Kraków"/>
    <s v="Zabrze"/>
    <s v="Yes"/>
    <x v="3"/>
    <x v="0"/>
    <x v="26"/>
  </r>
  <r>
    <s v="SASNAL Filip"/>
    <x v="0"/>
    <n v="1997"/>
    <s v="KS AZS AWF Kraków"/>
    <s v="Zabrze"/>
    <s v="Yes"/>
    <x v="3"/>
    <x v="1"/>
    <x v="27"/>
  </r>
  <r>
    <s v="SASNAL Filip"/>
    <x v="0"/>
    <n v="1997"/>
    <s v="KS AZS AWF Kraków"/>
    <s v="Zabrze"/>
    <s v="Yes"/>
    <x v="3"/>
    <x v="2"/>
    <x v="28"/>
  </r>
  <r>
    <s v="SASNAL Filip"/>
    <x v="0"/>
    <n v="1997"/>
    <s v="KS AZS AWF Kraków"/>
    <s v="Zabrze"/>
    <s v="Yes"/>
    <x v="4"/>
    <x v="0"/>
    <x v="29"/>
  </r>
  <r>
    <s v="SASNAL Filip"/>
    <x v="0"/>
    <n v="1997"/>
    <s v="KS AZS AWF Kraków"/>
    <s v="Zabrze"/>
    <s v="Yes"/>
    <x v="4"/>
    <x v="1"/>
    <x v="30"/>
  </r>
  <r>
    <s v="SASNAL Filip"/>
    <x v="0"/>
    <n v="1997"/>
    <s v="KS AZS AWF Kraków"/>
    <s v="Zabrze"/>
    <s v="Yes"/>
    <x v="4"/>
    <x v="2"/>
    <x v="31"/>
  </r>
  <r>
    <s v="SASNAL Filip"/>
    <x v="0"/>
    <n v="1997"/>
    <s v="KS AZS AWF Kraków"/>
    <s v="Zabrze"/>
    <s v="Yes"/>
    <x v="5"/>
    <x v="0"/>
    <x v="9"/>
  </r>
  <r>
    <s v="SASNAL Filip"/>
    <x v="0"/>
    <n v="1997"/>
    <s v="KS AZS AWF Kraków"/>
    <s v="Zabrze"/>
    <s v="Yes"/>
    <x v="5"/>
    <x v="1"/>
    <x v="32"/>
  </r>
  <r>
    <s v="SASNAL Filip"/>
    <x v="0"/>
    <n v="1997"/>
    <s v="KS AZS AWF Kraków"/>
    <s v="Zabrze"/>
    <s v="Yes"/>
    <x v="5"/>
    <x v="2"/>
    <x v="33"/>
  </r>
  <r>
    <s v="SASNAL Filip"/>
    <x v="0"/>
    <n v="1997"/>
    <s v="KS AZS AWF Kraków"/>
    <s v="Zabrze"/>
    <s v="Yes"/>
    <x v="6"/>
    <x v="3"/>
    <x v="16"/>
  </r>
  <r>
    <s v="SASNAL Filip"/>
    <x v="0"/>
    <n v="1997"/>
    <s v="KS AZS AWF Kraków"/>
    <s v="Zabrze"/>
    <s v="Yes"/>
    <x v="6"/>
    <x v="4"/>
    <x v="34"/>
  </r>
  <r>
    <s v="SASNAL Filip"/>
    <x v="0"/>
    <n v="1997"/>
    <s v="KS AZS AWF Kraków"/>
    <s v="Zabrze"/>
    <s v="Yes"/>
    <x v="6"/>
    <x v="5"/>
    <x v="35"/>
  </r>
  <r>
    <s v="WROŃSKI Filip"/>
    <x v="0"/>
    <n v="2001"/>
    <s v="NTG Nysa"/>
    <s v="Zabrze"/>
    <s v="Yes"/>
    <x v="0"/>
    <x v="0"/>
    <x v="36"/>
  </r>
  <r>
    <s v="WROŃSKI Filip"/>
    <x v="0"/>
    <n v="2001"/>
    <s v="NTG Nysa"/>
    <s v="Zabrze"/>
    <s v="Yes"/>
    <x v="0"/>
    <x v="1"/>
    <x v="37"/>
  </r>
  <r>
    <s v="WROŃSKI Filip"/>
    <x v="0"/>
    <n v="2001"/>
    <s v="NTG Nysa"/>
    <s v="Zabrze"/>
    <s v="Yes"/>
    <x v="0"/>
    <x v="2"/>
    <x v="38"/>
  </r>
  <r>
    <s v="WROŃSKI Filip"/>
    <x v="0"/>
    <n v="2001"/>
    <s v="NTG Nysa"/>
    <s v="Zabrze"/>
    <s v="Yes"/>
    <x v="1"/>
    <x v="0"/>
    <x v="39"/>
  </r>
  <r>
    <s v="WROŃSKI Filip"/>
    <x v="0"/>
    <n v="2001"/>
    <s v="NTG Nysa"/>
    <s v="Zabrze"/>
    <s v="Yes"/>
    <x v="1"/>
    <x v="1"/>
    <x v="37"/>
  </r>
  <r>
    <s v="WROŃSKI Filip"/>
    <x v="0"/>
    <n v="2001"/>
    <s v="NTG Nysa"/>
    <s v="Zabrze"/>
    <s v="Yes"/>
    <x v="1"/>
    <x v="2"/>
    <x v="40"/>
  </r>
  <r>
    <s v="WROŃSKI Filip"/>
    <x v="0"/>
    <n v="2001"/>
    <s v="NTG Nysa"/>
    <s v="Zabrze"/>
    <s v="Yes"/>
    <x v="2"/>
    <x v="0"/>
    <x v="24"/>
  </r>
  <r>
    <s v="WROŃSKI Filip"/>
    <x v="0"/>
    <n v="2001"/>
    <s v="NTG Nysa"/>
    <s v="Zabrze"/>
    <s v="Yes"/>
    <x v="2"/>
    <x v="1"/>
    <x v="37"/>
  </r>
  <r>
    <s v="WROŃSKI Filip"/>
    <x v="0"/>
    <n v="2001"/>
    <s v="NTG Nysa"/>
    <s v="Zabrze"/>
    <s v="Yes"/>
    <x v="2"/>
    <x v="2"/>
    <x v="5"/>
  </r>
  <r>
    <s v="WROŃSKI Filip"/>
    <x v="0"/>
    <n v="2001"/>
    <s v="NTG Nysa"/>
    <s v="Zabrze"/>
    <s v="Yes"/>
    <x v="3"/>
    <x v="0"/>
    <x v="41"/>
  </r>
  <r>
    <s v="WROŃSKI Filip"/>
    <x v="0"/>
    <n v="2001"/>
    <s v="NTG Nysa"/>
    <s v="Zabrze"/>
    <s v="Yes"/>
    <x v="3"/>
    <x v="1"/>
    <x v="10"/>
  </r>
  <r>
    <s v="WROŃSKI Filip"/>
    <x v="0"/>
    <n v="2001"/>
    <s v="NTG Nysa"/>
    <s v="Zabrze"/>
    <s v="Yes"/>
    <x v="3"/>
    <x v="2"/>
    <x v="42"/>
  </r>
  <r>
    <s v="WROŃSKI Filip"/>
    <x v="0"/>
    <n v="2001"/>
    <s v="NTG Nysa"/>
    <s v="Zabrze"/>
    <s v="Yes"/>
    <x v="4"/>
    <x v="0"/>
    <x v="39"/>
  </r>
  <r>
    <s v="WROŃSKI Filip"/>
    <x v="0"/>
    <n v="2001"/>
    <s v="NTG Nysa"/>
    <s v="Zabrze"/>
    <s v="Yes"/>
    <x v="4"/>
    <x v="1"/>
    <x v="43"/>
  </r>
  <r>
    <s v="WROŃSKI Filip"/>
    <x v="0"/>
    <n v="2001"/>
    <s v="NTG Nysa"/>
    <s v="Zabrze"/>
    <s v="Yes"/>
    <x v="4"/>
    <x v="2"/>
    <x v="44"/>
  </r>
  <r>
    <s v="WROŃSKI Filip"/>
    <x v="0"/>
    <n v="2001"/>
    <s v="NTG Nysa"/>
    <s v="Zabrze"/>
    <s v="Yes"/>
    <x v="5"/>
    <x v="0"/>
    <x v="45"/>
  </r>
  <r>
    <s v="WROŃSKI Filip"/>
    <x v="0"/>
    <n v="2001"/>
    <s v="NTG Nysa"/>
    <s v="Zabrze"/>
    <s v="Yes"/>
    <x v="5"/>
    <x v="1"/>
    <x v="46"/>
  </r>
  <r>
    <s v="WROŃSKI Filip"/>
    <x v="0"/>
    <n v="2001"/>
    <s v="NTG Nysa"/>
    <s v="Zabrze"/>
    <s v="Yes"/>
    <x v="5"/>
    <x v="2"/>
    <x v="47"/>
  </r>
  <r>
    <s v="WROŃSKI Filip"/>
    <x v="0"/>
    <n v="2001"/>
    <s v="NTG Nysa"/>
    <s v="Zabrze"/>
    <s v="Yes"/>
    <x v="6"/>
    <x v="3"/>
    <x v="48"/>
  </r>
  <r>
    <s v="WROŃSKI Filip"/>
    <x v="0"/>
    <n v="2001"/>
    <s v="NTG Nysa"/>
    <s v="Zabrze"/>
    <s v="Yes"/>
    <x v="6"/>
    <x v="4"/>
    <x v="49"/>
  </r>
  <r>
    <s v="WROŃSKI Filip"/>
    <x v="0"/>
    <n v="2001"/>
    <s v="NTG Nysa"/>
    <s v="Zabrze"/>
    <s v="Yes"/>
    <x v="6"/>
    <x v="5"/>
    <x v="50"/>
  </r>
  <r>
    <s v="KUROWSKI Jakub"/>
    <x v="0"/>
    <n v="2004"/>
    <s v="MKS Kusy Szczecin"/>
    <s v="Zabrze"/>
    <s v="Yes"/>
    <x v="0"/>
    <x v="0"/>
    <x v="29"/>
  </r>
  <r>
    <s v="KUROWSKI Jakub"/>
    <x v="0"/>
    <n v="2004"/>
    <s v="MKS Kusy Szczecin"/>
    <s v="Zabrze"/>
    <s v="Yes"/>
    <x v="0"/>
    <x v="1"/>
    <x v="7"/>
  </r>
  <r>
    <s v="KUROWSKI Jakub"/>
    <x v="0"/>
    <n v="2004"/>
    <s v="MKS Kusy Szczecin"/>
    <s v="Zabrze"/>
    <s v="Yes"/>
    <x v="0"/>
    <x v="2"/>
    <x v="51"/>
  </r>
  <r>
    <s v="KUROWSKI Jakub"/>
    <x v="0"/>
    <n v="2004"/>
    <s v="MKS Kusy Szczecin"/>
    <s v="Zabrze"/>
    <s v="Yes"/>
    <x v="1"/>
    <x v="0"/>
    <x v="36"/>
  </r>
  <r>
    <s v="KUROWSKI Jakub"/>
    <x v="0"/>
    <n v="2004"/>
    <s v="MKS Kusy Szczecin"/>
    <s v="Zabrze"/>
    <s v="Yes"/>
    <x v="1"/>
    <x v="1"/>
    <x v="52"/>
  </r>
  <r>
    <s v="KUROWSKI Jakub"/>
    <x v="0"/>
    <n v="2004"/>
    <s v="MKS Kusy Szczecin"/>
    <s v="Zabrze"/>
    <s v="Yes"/>
    <x v="1"/>
    <x v="2"/>
    <x v="53"/>
  </r>
  <r>
    <s v="KUROWSKI Jakub"/>
    <x v="0"/>
    <n v="2004"/>
    <s v="MKS Kusy Szczecin"/>
    <s v="Zabrze"/>
    <s v="Yes"/>
    <x v="2"/>
    <x v="0"/>
    <x v="36"/>
  </r>
  <r>
    <s v="KUROWSKI Jakub"/>
    <x v="0"/>
    <n v="2004"/>
    <s v="MKS Kusy Szczecin"/>
    <s v="Zabrze"/>
    <s v="Yes"/>
    <x v="2"/>
    <x v="1"/>
    <x v="54"/>
  </r>
  <r>
    <s v="KUROWSKI Jakub"/>
    <x v="0"/>
    <n v="2004"/>
    <s v="MKS Kusy Szczecin"/>
    <s v="Zabrze"/>
    <s v="Yes"/>
    <x v="2"/>
    <x v="2"/>
    <x v="55"/>
  </r>
  <r>
    <s v="KUROWSKI Jakub"/>
    <x v="0"/>
    <n v="2004"/>
    <s v="MKS Kusy Szczecin"/>
    <s v="Zabrze"/>
    <s v="Yes"/>
    <x v="3"/>
    <x v="0"/>
    <x v="41"/>
  </r>
  <r>
    <s v="KUROWSKI Jakub"/>
    <x v="0"/>
    <n v="2004"/>
    <s v="MKS Kusy Szczecin"/>
    <s v="Zabrze"/>
    <s v="Yes"/>
    <x v="3"/>
    <x v="1"/>
    <x v="27"/>
  </r>
  <r>
    <s v="KUROWSKI Jakub"/>
    <x v="0"/>
    <n v="2004"/>
    <s v="MKS Kusy Szczecin"/>
    <s v="Zabrze"/>
    <s v="Yes"/>
    <x v="3"/>
    <x v="2"/>
    <x v="56"/>
  </r>
  <r>
    <s v="KUROWSKI Jakub"/>
    <x v="0"/>
    <n v="2004"/>
    <s v="MKS Kusy Szczecin"/>
    <s v="Zabrze"/>
    <s v="Yes"/>
    <x v="4"/>
    <x v="0"/>
    <x v="57"/>
  </r>
  <r>
    <s v="KUROWSKI Jakub"/>
    <x v="0"/>
    <n v="2004"/>
    <s v="MKS Kusy Szczecin"/>
    <s v="Zabrze"/>
    <s v="Yes"/>
    <x v="4"/>
    <x v="1"/>
    <x v="58"/>
  </r>
  <r>
    <s v="KUROWSKI Jakub"/>
    <x v="0"/>
    <n v="2004"/>
    <s v="MKS Kusy Szczecin"/>
    <s v="Zabrze"/>
    <s v="Yes"/>
    <x v="4"/>
    <x v="2"/>
    <x v="38"/>
  </r>
  <r>
    <s v="KUROWSKI Jakub"/>
    <x v="0"/>
    <n v="2004"/>
    <s v="MKS Kusy Szczecin"/>
    <s v="Zabrze"/>
    <s v="Yes"/>
    <x v="5"/>
    <x v="0"/>
    <x v="59"/>
  </r>
  <r>
    <s v="KUROWSKI Jakub"/>
    <x v="0"/>
    <n v="2004"/>
    <s v="MKS Kusy Szczecin"/>
    <s v="Zabrze"/>
    <s v="Yes"/>
    <x v="5"/>
    <x v="1"/>
    <x v="60"/>
  </r>
  <r>
    <s v="KUROWSKI Jakub"/>
    <x v="0"/>
    <n v="2004"/>
    <s v="MKS Kusy Szczecin"/>
    <s v="Zabrze"/>
    <s v="Yes"/>
    <x v="5"/>
    <x v="2"/>
    <x v="61"/>
  </r>
  <r>
    <s v="KUROWSKI Jakub"/>
    <x v="0"/>
    <n v="2004"/>
    <s v="MKS Kusy Szczecin"/>
    <s v="Zabrze"/>
    <s v="Yes"/>
    <x v="6"/>
    <x v="3"/>
    <x v="62"/>
  </r>
  <r>
    <s v="KUROWSKI Jakub"/>
    <x v="0"/>
    <n v="2004"/>
    <s v="MKS Kusy Szczecin"/>
    <s v="Zabrze"/>
    <s v="Yes"/>
    <x v="6"/>
    <x v="4"/>
    <x v="63"/>
  </r>
  <r>
    <s v="KUROWSKI Jakub"/>
    <x v="0"/>
    <n v="2004"/>
    <s v="MKS Kusy Szczecin"/>
    <s v="Zabrze"/>
    <s v="Yes"/>
    <x v="6"/>
    <x v="5"/>
    <x v="64"/>
  </r>
  <r>
    <s v="KORNIICHUK Yehor"/>
    <x v="0"/>
    <n v="2001"/>
    <s v="KS AZS AWFiS Gdańsk"/>
    <s v="Zabrze"/>
    <s v="Yes"/>
    <x v="0"/>
    <x v="0"/>
    <x v="12"/>
  </r>
  <r>
    <s v="KORNIICHUK Yehor"/>
    <x v="0"/>
    <n v="2001"/>
    <s v="KS AZS AWFiS Gdańsk"/>
    <s v="Zabrze"/>
    <s v="Yes"/>
    <x v="0"/>
    <x v="1"/>
    <x v="32"/>
  </r>
  <r>
    <s v="KORNIICHUK Yehor"/>
    <x v="0"/>
    <n v="2001"/>
    <s v="KS AZS AWFiS Gdańsk"/>
    <s v="Zabrze"/>
    <s v="Yes"/>
    <x v="0"/>
    <x v="2"/>
    <x v="65"/>
  </r>
  <r>
    <s v="KORNIICHUK Yehor"/>
    <x v="0"/>
    <n v="2001"/>
    <s v="KS AZS AWFiS Gdańsk"/>
    <s v="Zabrze"/>
    <s v="Yes"/>
    <x v="1"/>
    <x v="0"/>
    <x v="66"/>
  </r>
  <r>
    <s v="KORNIICHUK Yehor"/>
    <x v="0"/>
    <n v="2001"/>
    <s v="KS AZS AWFiS Gdańsk"/>
    <s v="Zabrze"/>
    <s v="Yes"/>
    <x v="1"/>
    <x v="1"/>
    <x v="19"/>
  </r>
  <r>
    <s v="KORNIICHUK Yehor"/>
    <x v="0"/>
    <n v="2001"/>
    <s v="KS AZS AWFiS Gdańsk"/>
    <s v="Zabrze"/>
    <s v="Yes"/>
    <x v="1"/>
    <x v="2"/>
    <x v="67"/>
  </r>
  <r>
    <s v="KORNIICHUK Yehor"/>
    <x v="0"/>
    <n v="2001"/>
    <s v="KS AZS AWFiS Gdańsk"/>
    <s v="Zabrze"/>
    <s v="Yes"/>
    <x v="2"/>
    <x v="0"/>
    <x v="6"/>
  </r>
  <r>
    <s v="KORNIICHUK Yehor"/>
    <x v="0"/>
    <n v="2001"/>
    <s v="KS AZS AWFiS Gdańsk"/>
    <s v="Zabrze"/>
    <s v="Yes"/>
    <x v="2"/>
    <x v="1"/>
    <x v="68"/>
  </r>
  <r>
    <s v="KORNIICHUK Yehor"/>
    <x v="0"/>
    <n v="2001"/>
    <s v="KS AZS AWFiS Gdańsk"/>
    <s v="Zabrze"/>
    <s v="Yes"/>
    <x v="2"/>
    <x v="2"/>
    <x v="69"/>
  </r>
  <r>
    <s v="KORNIICHUK Yehor"/>
    <x v="0"/>
    <n v="2001"/>
    <s v="KS AZS AWFiS Gdańsk"/>
    <s v="Zabrze"/>
    <s v="Yes"/>
    <x v="3"/>
    <x v="0"/>
    <x v="26"/>
  </r>
  <r>
    <s v="KORNIICHUK Yehor"/>
    <x v="0"/>
    <n v="2001"/>
    <s v="KS AZS AWFiS Gdańsk"/>
    <s v="Zabrze"/>
    <s v="Yes"/>
    <x v="3"/>
    <x v="1"/>
    <x v="70"/>
  </r>
  <r>
    <s v="KORNIICHUK Yehor"/>
    <x v="0"/>
    <n v="2001"/>
    <s v="KS AZS AWFiS Gdańsk"/>
    <s v="Zabrze"/>
    <s v="Yes"/>
    <x v="3"/>
    <x v="2"/>
    <x v="2"/>
  </r>
  <r>
    <s v="KORNIICHUK Yehor"/>
    <x v="0"/>
    <n v="2001"/>
    <s v="KS AZS AWFiS Gdańsk"/>
    <s v="Zabrze"/>
    <s v="Yes"/>
    <x v="4"/>
    <x v="0"/>
    <x v="71"/>
  </r>
  <r>
    <s v="KORNIICHUK Yehor"/>
    <x v="0"/>
    <n v="2001"/>
    <s v="KS AZS AWFiS Gdańsk"/>
    <s v="Zabrze"/>
    <s v="Yes"/>
    <x v="4"/>
    <x v="1"/>
    <x v="30"/>
  </r>
  <r>
    <s v="KORNIICHUK Yehor"/>
    <x v="0"/>
    <n v="2001"/>
    <s v="KS AZS AWFiS Gdańsk"/>
    <s v="Zabrze"/>
    <s v="Yes"/>
    <x v="4"/>
    <x v="2"/>
    <x v="72"/>
  </r>
  <r>
    <s v="KORNIICHUK Yehor"/>
    <x v="0"/>
    <n v="2001"/>
    <s v="KS AZS AWFiS Gdańsk"/>
    <s v="Zabrze"/>
    <s v="Yes"/>
    <x v="5"/>
    <x v="0"/>
    <x v="73"/>
  </r>
  <r>
    <s v="KORNIICHUK Yehor"/>
    <x v="0"/>
    <n v="2001"/>
    <s v="KS AZS AWFiS Gdańsk"/>
    <s v="Zabrze"/>
    <s v="Yes"/>
    <x v="5"/>
    <x v="1"/>
    <x v="74"/>
  </r>
  <r>
    <s v="KORNIICHUK Yehor"/>
    <x v="0"/>
    <n v="2001"/>
    <s v="KS AZS AWFiS Gdańsk"/>
    <s v="Zabrze"/>
    <s v="Yes"/>
    <x v="5"/>
    <x v="2"/>
    <x v="75"/>
  </r>
  <r>
    <s v="KORNIICHUK Yehor"/>
    <x v="0"/>
    <n v="2001"/>
    <s v="KS AZS AWFiS Gdańsk"/>
    <s v="Zabrze"/>
    <s v="Yes"/>
    <x v="6"/>
    <x v="3"/>
    <x v="76"/>
  </r>
  <r>
    <s v="KORNIICHUK Yehor"/>
    <x v="0"/>
    <n v="2001"/>
    <s v="KS AZS AWFiS Gdańsk"/>
    <s v="Zabrze"/>
    <s v="Yes"/>
    <x v="6"/>
    <x v="4"/>
    <x v="77"/>
  </r>
  <r>
    <s v="KORNIICHUK Yehor"/>
    <x v="0"/>
    <n v="2001"/>
    <s v="KS AZS AWFiS Gdańsk"/>
    <s v="Zabrze"/>
    <s v="Yes"/>
    <x v="6"/>
    <x v="5"/>
    <x v="78"/>
  </r>
  <r>
    <s v="LUDYNIA Marceli"/>
    <x v="0"/>
    <n v="2001"/>
    <s v="KS AZS AWF Katowice"/>
    <s v="Zabrze"/>
    <s v="Yes"/>
    <x v="0"/>
    <x v="0"/>
    <x v="79"/>
  </r>
  <r>
    <s v="LUDYNIA Marceli"/>
    <x v="0"/>
    <n v="2001"/>
    <s v="KS AZS AWF Katowice"/>
    <s v="Zabrze"/>
    <s v="Yes"/>
    <x v="0"/>
    <x v="1"/>
    <x v="58"/>
  </r>
  <r>
    <s v="LUDYNIA Marceli"/>
    <x v="0"/>
    <n v="2001"/>
    <s v="KS AZS AWF Katowice"/>
    <s v="Zabrze"/>
    <s v="Yes"/>
    <x v="0"/>
    <x v="2"/>
    <x v="80"/>
  </r>
  <r>
    <s v="LUDYNIA Marceli"/>
    <x v="0"/>
    <n v="2001"/>
    <s v="KS AZS AWF Katowice"/>
    <s v="Zabrze"/>
    <s v="Yes"/>
    <x v="1"/>
    <x v="0"/>
    <x v="39"/>
  </r>
  <r>
    <s v="LUDYNIA Marceli"/>
    <x v="0"/>
    <n v="2001"/>
    <s v="KS AZS AWF Katowice"/>
    <s v="Zabrze"/>
    <s v="Yes"/>
    <x v="1"/>
    <x v="1"/>
    <x v="81"/>
  </r>
  <r>
    <s v="LUDYNIA Marceli"/>
    <x v="0"/>
    <n v="2001"/>
    <s v="KS AZS AWF Katowice"/>
    <s v="Zabrze"/>
    <s v="Yes"/>
    <x v="1"/>
    <x v="2"/>
    <x v="82"/>
  </r>
  <r>
    <s v="LUDYNIA Marceli"/>
    <x v="0"/>
    <n v="2001"/>
    <s v="KS AZS AWF Katowice"/>
    <s v="Zabrze"/>
    <s v="Yes"/>
    <x v="2"/>
    <x v="0"/>
    <x v="83"/>
  </r>
  <r>
    <s v="LUDYNIA Marceli"/>
    <x v="0"/>
    <n v="2001"/>
    <s v="KS AZS AWF Katowice"/>
    <s v="Zabrze"/>
    <s v="Yes"/>
    <x v="2"/>
    <x v="1"/>
    <x v="1"/>
  </r>
  <r>
    <s v="LUDYNIA Marceli"/>
    <x v="0"/>
    <n v="2001"/>
    <s v="KS AZS AWF Katowice"/>
    <s v="Zabrze"/>
    <s v="Yes"/>
    <x v="2"/>
    <x v="2"/>
    <x v="84"/>
  </r>
  <r>
    <s v="LUDYNIA Marceli"/>
    <x v="0"/>
    <n v="2001"/>
    <s v="KS AZS AWF Katowice"/>
    <s v="Zabrze"/>
    <s v="Yes"/>
    <x v="3"/>
    <x v="0"/>
    <x v="41"/>
  </r>
  <r>
    <s v="LUDYNIA Marceli"/>
    <x v="0"/>
    <n v="2001"/>
    <s v="KS AZS AWF Katowice"/>
    <s v="Zabrze"/>
    <s v="Yes"/>
    <x v="3"/>
    <x v="1"/>
    <x v="10"/>
  </r>
  <r>
    <s v="LUDYNIA Marceli"/>
    <x v="0"/>
    <n v="2001"/>
    <s v="KS AZS AWF Katowice"/>
    <s v="Zabrze"/>
    <s v="Yes"/>
    <x v="3"/>
    <x v="2"/>
    <x v="42"/>
  </r>
  <r>
    <s v="LUDYNIA Marceli"/>
    <x v="0"/>
    <n v="2001"/>
    <s v="KS AZS AWF Katowice"/>
    <s v="Zabrze"/>
    <s v="Yes"/>
    <x v="4"/>
    <x v="0"/>
    <x v="6"/>
  </r>
  <r>
    <s v="LUDYNIA Marceli"/>
    <x v="0"/>
    <n v="2001"/>
    <s v="KS AZS AWF Katowice"/>
    <s v="Zabrze"/>
    <s v="Yes"/>
    <x v="4"/>
    <x v="1"/>
    <x v="85"/>
  </r>
  <r>
    <s v="LUDYNIA Marceli"/>
    <x v="0"/>
    <n v="2001"/>
    <s v="KS AZS AWF Katowice"/>
    <s v="Zabrze"/>
    <s v="Yes"/>
    <x v="4"/>
    <x v="2"/>
    <x v="15"/>
  </r>
  <r>
    <s v="LUDYNIA Marceli"/>
    <x v="0"/>
    <n v="2001"/>
    <s v="KS AZS AWF Katowice"/>
    <s v="Zabrze"/>
    <s v="Yes"/>
    <x v="5"/>
    <x v="0"/>
    <x v="86"/>
  </r>
  <r>
    <s v="LUDYNIA Marceli"/>
    <x v="0"/>
    <n v="2001"/>
    <s v="KS AZS AWF Katowice"/>
    <s v="Zabrze"/>
    <s v="Yes"/>
    <x v="5"/>
    <x v="1"/>
    <x v="87"/>
  </r>
  <r>
    <s v="LUDYNIA Marceli"/>
    <x v="0"/>
    <n v="2001"/>
    <s v="KS AZS AWF Katowice"/>
    <s v="Zabrze"/>
    <s v="Yes"/>
    <x v="5"/>
    <x v="2"/>
    <x v="88"/>
  </r>
  <r>
    <s v="LUDYNIA Marceli"/>
    <x v="0"/>
    <n v="2001"/>
    <s v="KS AZS AWF Katowice"/>
    <s v="Zabrze"/>
    <s v="Yes"/>
    <x v="6"/>
    <x v="3"/>
    <x v="89"/>
  </r>
  <r>
    <s v="LUDYNIA Marceli"/>
    <x v="0"/>
    <n v="2001"/>
    <s v="KS AZS AWF Katowice"/>
    <s v="Zabrze"/>
    <s v="Yes"/>
    <x v="6"/>
    <x v="4"/>
    <x v="90"/>
  </r>
  <r>
    <s v="LUDYNIA Marceli"/>
    <x v="0"/>
    <n v="2001"/>
    <s v="KS AZS AWF Katowice"/>
    <s v="Zabrze"/>
    <s v="Yes"/>
    <x v="6"/>
    <x v="5"/>
    <x v="91"/>
  </r>
  <r>
    <s v="LAKHIN Yaroslav"/>
    <x v="0"/>
    <n v="2003"/>
    <s v="CWZS Zawisza KG Bydgoszcz"/>
    <s v="Zabrze"/>
    <s v="Yes"/>
    <x v="0"/>
    <x v="0"/>
    <x v="36"/>
  </r>
  <r>
    <s v="LAKHIN Yaroslav"/>
    <x v="0"/>
    <n v="2003"/>
    <s v="CWZS Zawisza KG Bydgoszcz"/>
    <s v="Zabrze"/>
    <s v="Yes"/>
    <x v="0"/>
    <x v="1"/>
    <x v="92"/>
  </r>
  <r>
    <s v="LAKHIN Yaroslav"/>
    <x v="0"/>
    <n v="2003"/>
    <s v="CWZS Zawisza KG Bydgoszcz"/>
    <s v="Zabrze"/>
    <s v="Yes"/>
    <x v="0"/>
    <x v="2"/>
    <x v="93"/>
  </r>
  <r>
    <s v="LAKHIN Yaroslav"/>
    <x v="0"/>
    <n v="2003"/>
    <s v="CWZS Zawisza KG Bydgoszcz"/>
    <s v="Zabrze"/>
    <s v="Yes"/>
    <x v="1"/>
    <x v="0"/>
    <x v="29"/>
  </r>
  <r>
    <s v="LAKHIN Yaroslav"/>
    <x v="0"/>
    <n v="2003"/>
    <s v="CWZS Zawisza KG Bydgoszcz"/>
    <s v="Zabrze"/>
    <s v="Yes"/>
    <x v="1"/>
    <x v="1"/>
    <x v="70"/>
  </r>
  <r>
    <s v="LAKHIN Yaroslav"/>
    <x v="0"/>
    <n v="2003"/>
    <s v="CWZS Zawisza KG Bydgoszcz"/>
    <s v="Zabrze"/>
    <s v="Yes"/>
    <x v="1"/>
    <x v="2"/>
    <x v="8"/>
  </r>
  <r>
    <s v="LAKHIN Yaroslav"/>
    <x v="0"/>
    <n v="2003"/>
    <s v="CWZS Zawisza KG Bydgoszcz"/>
    <s v="Zabrze"/>
    <s v="Yes"/>
    <x v="2"/>
    <x v="0"/>
    <x v="36"/>
  </r>
  <r>
    <s v="LAKHIN Yaroslav"/>
    <x v="0"/>
    <n v="2003"/>
    <s v="CWZS Zawisza KG Bydgoszcz"/>
    <s v="Zabrze"/>
    <s v="Yes"/>
    <x v="2"/>
    <x v="1"/>
    <x v="94"/>
  </r>
  <r>
    <s v="LAKHIN Yaroslav"/>
    <x v="0"/>
    <n v="2003"/>
    <s v="CWZS Zawisza KG Bydgoszcz"/>
    <s v="Zabrze"/>
    <s v="Yes"/>
    <x v="2"/>
    <x v="2"/>
    <x v="95"/>
  </r>
  <r>
    <s v="LAKHIN Yaroslav"/>
    <x v="0"/>
    <n v="2003"/>
    <s v="CWZS Zawisza KG Bydgoszcz"/>
    <s v="Zabrze"/>
    <s v="Yes"/>
    <x v="3"/>
    <x v="0"/>
    <x v="96"/>
  </r>
  <r>
    <s v="LAKHIN Yaroslav"/>
    <x v="0"/>
    <n v="2003"/>
    <s v="CWZS Zawisza KG Bydgoszcz"/>
    <s v="Zabrze"/>
    <s v="Yes"/>
    <x v="3"/>
    <x v="1"/>
    <x v="97"/>
  </r>
  <r>
    <s v="LAKHIN Yaroslav"/>
    <x v="0"/>
    <n v="2003"/>
    <s v="CWZS Zawisza KG Bydgoszcz"/>
    <s v="Zabrze"/>
    <s v="Yes"/>
    <x v="3"/>
    <x v="2"/>
    <x v="98"/>
  </r>
  <r>
    <s v="LAKHIN Yaroslav"/>
    <x v="0"/>
    <n v="2003"/>
    <s v="CWZS Zawisza KG Bydgoszcz"/>
    <s v="Zabrze"/>
    <s v="Yes"/>
    <x v="4"/>
    <x v="0"/>
    <x v="57"/>
  </r>
  <r>
    <s v="LAKHIN Yaroslav"/>
    <x v="0"/>
    <n v="2003"/>
    <s v="CWZS Zawisza KG Bydgoszcz"/>
    <s v="Zabrze"/>
    <s v="Yes"/>
    <x v="4"/>
    <x v="1"/>
    <x v="99"/>
  </r>
  <r>
    <s v="LAKHIN Yaroslav"/>
    <x v="0"/>
    <n v="2003"/>
    <s v="CWZS Zawisza KG Bydgoszcz"/>
    <s v="Zabrze"/>
    <s v="Yes"/>
    <x v="4"/>
    <x v="2"/>
    <x v="53"/>
  </r>
  <r>
    <s v="LAKHIN Yaroslav"/>
    <x v="0"/>
    <n v="2003"/>
    <s v="CWZS Zawisza KG Bydgoszcz"/>
    <s v="Zabrze"/>
    <s v="Yes"/>
    <x v="5"/>
    <x v="0"/>
    <x v="59"/>
  </r>
  <r>
    <s v="LAKHIN Yaroslav"/>
    <x v="0"/>
    <n v="2003"/>
    <s v="CWZS Zawisza KG Bydgoszcz"/>
    <s v="Zabrze"/>
    <s v="Yes"/>
    <x v="5"/>
    <x v="1"/>
    <x v="25"/>
  </r>
  <r>
    <s v="LAKHIN Yaroslav"/>
    <x v="0"/>
    <n v="2003"/>
    <s v="CWZS Zawisza KG Bydgoszcz"/>
    <s v="Zabrze"/>
    <s v="Yes"/>
    <x v="5"/>
    <x v="2"/>
    <x v="100"/>
  </r>
  <r>
    <s v="LAKHIN Yaroslav"/>
    <x v="0"/>
    <n v="2003"/>
    <s v="CWZS Zawisza KG Bydgoszcz"/>
    <s v="Zabrze"/>
    <s v="Yes"/>
    <x v="6"/>
    <x v="3"/>
    <x v="101"/>
  </r>
  <r>
    <s v="LAKHIN Yaroslav"/>
    <x v="0"/>
    <n v="2003"/>
    <s v="CWZS Zawisza KG Bydgoszcz"/>
    <s v="Zabrze"/>
    <s v="Yes"/>
    <x v="6"/>
    <x v="4"/>
    <x v="102"/>
  </r>
  <r>
    <s v="LAKHIN Yaroslav"/>
    <x v="0"/>
    <n v="2003"/>
    <s v="CWZS Zawisza KG Bydgoszcz"/>
    <s v="Zabrze"/>
    <s v="Yes"/>
    <x v="6"/>
    <x v="5"/>
    <x v="103"/>
  </r>
  <r>
    <s v="BOBER Michał"/>
    <x v="0"/>
    <n v="2002"/>
    <s v="UKS SP7 Łódź"/>
    <s v="Zabrze"/>
    <s v="Yes"/>
    <x v="0"/>
    <x v="0"/>
    <x v="24"/>
  </r>
  <r>
    <s v="BOBER Michał"/>
    <x v="0"/>
    <n v="2002"/>
    <s v="UKS SP7 Łódź"/>
    <s v="Zabrze"/>
    <s v="Yes"/>
    <x v="0"/>
    <x v="1"/>
    <x v="60"/>
  </r>
  <r>
    <s v="BOBER Michał"/>
    <x v="0"/>
    <n v="2002"/>
    <s v="UKS SP7 Łódź"/>
    <s v="Zabrze"/>
    <s v="Yes"/>
    <x v="0"/>
    <x v="2"/>
    <x v="104"/>
  </r>
  <r>
    <s v="BOBER Michał"/>
    <x v="0"/>
    <n v="2002"/>
    <s v="UKS SP7 Łódź"/>
    <s v="Zabrze"/>
    <s v="Yes"/>
    <x v="1"/>
    <x v="0"/>
    <x v="36"/>
  </r>
  <r>
    <s v="BOBER Michał"/>
    <x v="0"/>
    <n v="2002"/>
    <s v="UKS SP7 Łódź"/>
    <s v="Zabrze"/>
    <s v="Yes"/>
    <x v="1"/>
    <x v="1"/>
    <x v="105"/>
  </r>
  <r>
    <s v="BOBER Michał"/>
    <x v="0"/>
    <n v="2002"/>
    <s v="UKS SP7 Łódź"/>
    <s v="Zabrze"/>
    <s v="Yes"/>
    <x v="1"/>
    <x v="2"/>
    <x v="106"/>
  </r>
  <r>
    <s v="BOBER Michał"/>
    <x v="0"/>
    <n v="2002"/>
    <s v="UKS SP7 Łódź"/>
    <s v="Zabrze"/>
    <s v="Yes"/>
    <x v="2"/>
    <x v="0"/>
    <x v="36"/>
  </r>
  <r>
    <s v="BOBER Michał"/>
    <x v="0"/>
    <n v="2002"/>
    <s v="UKS SP7 Łódź"/>
    <s v="Zabrze"/>
    <s v="Yes"/>
    <x v="2"/>
    <x v="1"/>
    <x v="37"/>
  </r>
  <r>
    <s v="BOBER Michał"/>
    <x v="0"/>
    <n v="2002"/>
    <s v="UKS SP7 Łódź"/>
    <s v="Zabrze"/>
    <s v="Yes"/>
    <x v="2"/>
    <x v="2"/>
    <x v="38"/>
  </r>
  <r>
    <s v="BOBER Michał"/>
    <x v="0"/>
    <n v="2002"/>
    <s v="UKS SP7 Łódź"/>
    <s v="Zabrze"/>
    <s v="Yes"/>
    <x v="3"/>
    <x v="0"/>
    <x v="96"/>
  </r>
  <r>
    <s v="BOBER Michał"/>
    <x v="0"/>
    <n v="2002"/>
    <s v="UKS SP7 Łódź"/>
    <s v="Zabrze"/>
    <s v="Yes"/>
    <x v="3"/>
    <x v="1"/>
    <x v="107"/>
  </r>
  <r>
    <s v="BOBER Michał"/>
    <x v="0"/>
    <n v="2002"/>
    <s v="UKS SP7 Łódź"/>
    <s v="Zabrze"/>
    <s v="Yes"/>
    <x v="3"/>
    <x v="2"/>
    <x v="44"/>
  </r>
  <r>
    <s v="BOBER Michał"/>
    <x v="0"/>
    <n v="2002"/>
    <s v="UKS SP7 Łódź"/>
    <s v="Zabrze"/>
    <s v="Yes"/>
    <x v="4"/>
    <x v="0"/>
    <x v="36"/>
  </r>
  <r>
    <s v="BOBER Michał"/>
    <x v="0"/>
    <n v="2002"/>
    <s v="UKS SP7 Łódź"/>
    <s v="Zabrze"/>
    <s v="Yes"/>
    <x v="4"/>
    <x v="1"/>
    <x v="108"/>
  </r>
  <r>
    <s v="BOBER Michał"/>
    <x v="0"/>
    <n v="2002"/>
    <s v="UKS SP7 Łódź"/>
    <s v="Zabrze"/>
    <s v="Yes"/>
    <x v="4"/>
    <x v="2"/>
    <x v="51"/>
  </r>
  <r>
    <s v="BOBER Michał"/>
    <x v="0"/>
    <n v="2002"/>
    <s v="UKS SP7 Łódź"/>
    <s v="Zabrze"/>
    <s v="Yes"/>
    <x v="5"/>
    <x v="0"/>
    <x v="109"/>
  </r>
  <r>
    <s v="BOBER Michał"/>
    <x v="0"/>
    <n v="2002"/>
    <s v="UKS SP7 Łódź"/>
    <s v="Zabrze"/>
    <s v="Yes"/>
    <x v="5"/>
    <x v="1"/>
    <x v="81"/>
  </r>
  <r>
    <s v="BOBER Michał"/>
    <x v="0"/>
    <n v="2002"/>
    <s v="UKS SP7 Łódź"/>
    <s v="Zabrze"/>
    <s v="Yes"/>
    <x v="5"/>
    <x v="2"/>
    <x v="110"/>
  </r>
  <r>
    <s v="BOBER Michał"/>
    <x v="0"/>
    <n v="2002"/>
    <s v="UKS SP7 Łódź"/>
    <s v="Zabrze"/>
    <s v="Yes"/>
    <x v="6"/>
    <x v="3"/>
    <x v="111"/>
  </r>
  <r>
    <s v="BOBER Michał"/>
    <x v="0"/>
    <n v="2002"/>
    <s v="UKS SP7 Łódź"/>
    <s v="Zabrze"/>
    <s v="Yes"/>
    <x v="6"/>
    <x v="4"/>
    <x v="17"/>
  </r>
  <r>
    <s v="BOBER Michał"/>
    <x v="0"/>
    <n v="2002"/>
    <s v="UKS SP7 Łódź"/>
    <s v="Zabrze"/>
    <s v="Yes"/>
    <x v="6"/>
    <x v="5"/>
    <x v="112"/>
  </r>
  <r>
    <s v="BRACKI Borys"/>
    <x v="0"/>
    <n v="2004"/>
    <s v="KS AZS AWF Katowice"/>
    <s v="Zabrze"/>
    <s v="Yes"/>
    <x v="0"/>
    <x v="0"/>
    <x v="113"/>
  </r>
  <r>
    <s v="BRACKI Borys"/>
    <x v="0"/>
    <n v="2004"/>
    <s v="KS AZS AWF Katowice"/>
    <s v="Zabrze"/>
    <s v="Yes"/>
    <x v="0"/>
    <x v="1"/>
    <x v="58"/>
  </r>
  <r>
    <s v="BRACKI Borys"/>
    <x v="0"/>
    <n v="2004"/>
    <s v="KS AZS AWF Katowice"/>
    <s v="Zabrze"/>
    <s v="Yes"/>
    <x v="0"/>
    <x v="2"/>
    <x v="114"/>
  </r>
  <r>
    <s v="BRACKI Borys"/>
    <x v="0"/>
    <n v="2004"/>
    <s v="KS AZS AWF Katowice"/>
    <s v="Zabrze"/>
    <s v="Yes"/>
    <x v="1"/>
    <x v="0"/>
    <x v="6"/>
  </r>
  <r>
    <s v="BRACKI Borys"/>
    <x v="0"/>
    <n v="2004"/>
    <s v="KS AZS AWF Katowice"/>
    <s v="Zabrze"/>
    <s v="Yes"/>
    <x v="1"/>
    <x v="1"/>
    <x v="115"/>
  </r>
  <r>
    <s v="BRACKI Borys"/>
    <x v="0"/>
    <n v="2004"/>
    <s v="KS AZS AWF Katowice"/>
    <s v="Zabrze"/>
    <s v="Yes"/>
    <x v="1"/>
    <x v="2"/>
    <x v="116"/>
  </r>
  <r>
    <s v="BRACKI Borys"/>
    <x v="0"/>
    <n v="2004"/>
    <s v="KS AZS AWF Katowice"/>
    <s v="Zabrze"/>
    <s v="Yes"/>
    <x v="2"/>
    <x v="0"/>
    <x v="73"/>
  </r>
  <r>
    <s v="BRACKI Borys"/>
    <x v="0"/>
    <n v="2004"/>
    <s v="KS AZS AWF Katowice"/>
    <s v="Zabrze"/>
    <s v="Yes"/>
    <x v="2"/>
    <x v="1"/>
    <x v="85"/>
  </r>
  <r>
    <s v="BRACKI Borys"/>
    <x v="0"/>
    <n v="2004"/>
    <s v="KS AZS AWF Katowice"/>
    <s v="Zabrze"/>
    <s v="Yes"/>
    <x v="2"/>
    <x v="2"/>
    <x v="95"/>
  </r>
  <r>
    <s v="BRACKI Borys"/>
    <x v="0"/>
    <n v="2004"/>
    <s v="KS AZS AWF Katowice"/>
    <s v="Zabrze"/>
    <s v="Yes"/>
    <x v="3"/>
    <x v="0"/>
    <x v="45"/>
  </r>
  <r>
    <s v="BRACKI Borys"/>
    <x v="0"/>
    <n v="2004"/>
    <s v="KS AZS AWF Katowice"/>
    <s v="Zabrze"/>
    <s v="Yes"/>
    <x v="3"/>
    <x v="1"/>
    <x v="1"/>
  </r>
  <r>
    <s v="BRACKI Borys"/>
    <x v="0"/>
    <n v="2004"/>
    <s v="KS AZS AWF Katowice"/>
    <s v="Zabrze"/>
    <s v="Yes"/>
    <x v="3"/>
    <x v="2"/>
    <x v="104"/>
  </r>
  <r>
    <s v="BRACKI Borys"/>
    <x v="0"/>
    <n v="2004"/>
    <s v="KS AZS AWF Katowice"/>
    <s v="Zabrze"/>
    <s v="Yes"/>
    <x v="4"/>
    <x v="0"/>
    <x v="45"/>
  </r>
  <r>
    <s v="BRACKI Borys"/>
    <x v="0"/>
    <n v="2004"/>
    <s v="KS AZS AWF Katowice"/>
    <s v="Zabrze"/>
    <s v="Yes"/>
    <x v="4"/>
    <x v="1"/>
    <x v="117"/>
  </r>
  <r>
    <s v="BRACKI Borys"/>
    <x v="0"/>
    <n v="2004"/>
    <s v="KS AZS AWF Katowice"/>
    <s v="Zabrze"/>
    <s v="Yes"/>
    <x v="4"/>
    <x v="2"/>
    <x v="118"/>
  </r>
  <r>
    <s v="BRACKI Borys"/>
    <x v="0"/>
    <n v="2004"/>
    <s v="KS AZS AWF Katowice"/>
    <s v="Zabrze"/>
    <s v="Yes"/>
    <x v="5"/>
    <x v="0"/>
    <x v="83"/>
  </r>
  <r>
    <s v="BRACKI Borys"/>
    <x v="0"/>
    <n v="2004"/>
    <s v="KS AZS AWF Katowice"/>
    <s v="Zabrze"/>
    <s v="Yes"/>
    <x v="5"/>
    <x v="1"/>
    <x v="85"/>
  </r>
  <r>
    <s v="BRACKI Borys"/>
    <x v="0"/>
    <n v="2004"/>
    <s v="KS AZS AWF Katowice"/>
    <s v="Zabrze"/>
    <s v="Yes"/>
    <x v="5"/>
    <x v="2"/>
    <x v="119"/>
  </r>
  <r>
    <s v="BRACKI Borys"/>
    <x v="0"/>
    <n v="2004"/>
    <s v="KS AZS AWF Katowice"/>
    <s v="Zabrze"/>
    <s v="Yes"/>
    <x v="6"/>
    <x v="3"/>
    <x v="120"/>
  </r>
  <r>
    <s v="BRACKI Borys"/>
    <x v="0"/>
    <n v="2004"/>
    <s v="KS AZS AWF Katowice"/>
    <s v="Zabrze"/>
    <s v="Yes"/>
    <x v="6"/>
    <x v="4"/>
    <x v="121"/>
  </r>
  <r>
    <s v="BRACKI Borys"/>
    <x v="0"/>
    <n v="2004"/>
    <s v="KS AZS AWF Katowice"/>
    <s v="Zabrze"/>
    <s v="Yes"/>
    <x v="6"/>
    <x v="5"/>
    <x v="122"/>
  </r>
  <r>
    <s v="WIERZBA Kacper"/>
    <x v="0"/>
    <n v="2003"/>
    <s v="MKS Gdańsk"/>
    <s v="Zabrze"/>
    <s v="Yes"/>
    <x v="0"/>
    <x v="0"/>
    <x v="9"/>
  </r>
  <r>
    <s v="WIERZBA Kacper"/>
    <x v="0"/>
    <n v="2003"/>
    <s v="MKS Gdańsk"/>
    <s v="Zabrze"/>
    <s v="Yes"/>
    <x v="0"/>
    <x v="1"/>
    <x v="25"/>
  </r>
  <r>
    <s v="WIERZBA Kacper"/>
    <x v="0"/>
    <n v="2003"/>
    <s v="MKS Gdańsk"/>
    <s v="Zabrze"/>
    <s v="Yes"/>
    <x v="0"/>
    <x v="2"/>
    <x v="72"/>
  </r>
  <r>
    <s v="WIERZBA Kacper"/>
    <x v="0"/>
    <n v="2003"/>
    <s v="MKS Gdańsk"/>
    <s v="Zabrze"/>
    <s v="Yes"/>
    <x v="1"/>
    <x v="0"/>
    <x v="113"/>
  </r>
  <r>
    <s v="WIERZBA Kacper"/>
    <x v="0"/>
    <n v="2003"/>
    <s v="MKS Gdańsk"/>
    <s v="Zabrze"/>
    <s v="Yes"/>
    <x v="1"/>
    <x v="1"/>
    <x v="123"/>
  </r>
  <r>
    <s v="WIERZBA Kacper"/>
    <x v="0"/>
    <n v="2003"/>
    <s v="MKS Gdańsk"/>
    <s v="Zabrze"/>
    <s v="Yes"/>
    <x v="1"/>
    <x v="2"/>
    <x v="124"/>
  </r>
  <r>
    <s v="WIERZBA Kacper"/>
    <x v="0"/>
    <n v="2003"/>
    <s v="MKS Gdańsk"/>
    <s v="Zabrze"/>
    <s v="Yes"/>
    <x v="2"/>
    <x v="0"/>
    <x v="36"/>
  </r>
  <r>
    <s v="WIERZBA Kacper"/>
    <x v="0"/>
    <n v="2003"/>
    <s v="MKS Gdańsk"/>
    <s v="Zabrze"/>
    <s v="Yes"/>
    <x v="2"/>
    <x v="1"/>
    <x v="81"/>
  </r>
  <r>
    <s v="WIERZBA Kacper"/>
    <x v="0"/>
    <n v="2003"/>
    <s v="MKS Gdańsk"/>
    <s v="Zabrze"/>
    <s v="Yes"/>
    <x v="2"/>
    <x v="2"/>
    <x v="125"/>
  </r>
  <r>
    <s v="WIERZBA Kacper"/>
    <x v="0"/>
    <n v="2003"/>
    <s v="MKS Gdańsk"/>
    <s v="Zabrze"/>
    <s v="Yes"/>
    <x v="3"/>
    <x v="0"/>
    <x v="41"/>
  </r>
  <r>
    <s v="WIERZBA Kacper"/>
    <x v="0"/>
    <n v="2003"/>
    <s v="MKS Gdańsk"/>
    <s v="Zabrze"/>
    <s v="Yes"/>
    <x v="3"/>
    <x v="1"/>
    <x v="67"/>
  </r>
  <r>
    <s v="WIERZBA Kacper"/>
    <x v="0"/>
    <n v="2003"/>
    <s v="MKS Gdańsk"/>
    <s v="Zabrze"/>
    <s v="Yes"/>
    <x v="3"/>
    <x v="2"/>
    <x v="126"/>
  </r>
  <r>
    <s v="WIERZBA Kacper"/>
    <x v="0"/>
    <n v="2003"/>
    <s v="MKS Gdańsk"/>
    <s v="Zabrze"/>
    <s v="Yes"/>
    <x v="4"/>
    <x v="0"/>
    <x v="39"/>
  </r>
  <r>
    <s v="WIERZBA Kacper"/>
    <x v="0"/>
    <n v="2003"/>
    <s v="MKS Gdańsk"/>
    <s v="Zabrze"/>
    <s v="Yes"/>
    <x v="4"/>
    <x v="1"/>
    <x v="108"/>
  </r>
  <r>
    <s v="WIERZBA Kacper"/>
    <x v="0"/>
    <n v="2003"/>
    <s v="MKS Gdańsk"/>
    <s v="Zabrze"/>
    <s v="Yes"/>
    <x v="4"/>
    <x v="2"/>
    <x v="104"/>
  </r>
  <r>
    <s v="WIERZBA Kacper"/>
    <x v="0"/>
    <n v="2003"/>
    <s v="MKS Gdańsk"/>
    <s v="Zabrze"/>
    <s v="Yes"/>
    <x v="5"/>
    <x v="0"/>
    <x v="66"/>
  </r>
  <r>
    <s v="WIERZBA Kacper"/>
    <x v="0"/>
    <n v="2003"/>
    <s v="MKS Gdańsk"/>
    <s v="Zabrze"/>
    <s v="Yes"/>
    <x v="5"/>
    <x v="1"/>
    <x v="94"/>
  </r>
  <r>
    <s v="WIERZBA Kacper"/>
    <x v="0"/>
    <n v="2003"/>
    <s v="MKS Gdańsk"/>
    <s v="Zabrze"/>
    <s v="Yes"/>
    <x v="5"/>
    <x v="2"/>
    <x v="93"/>
  </r>
  <r>
    <s v="WIERZBA Kacper"/>
    <x v="0"/>
    <n v="2003"/>
    <s v="MKS Gdańsk"/>
    <s v="Zabrze"/>
    <s v="Yes"/>
    <x v="6"/>
    <x v="3"/>
    <x v="127"/>
  </r>
  <r>
    <s v="WIERZBA Kacper"/>
    <x v="0"/>
    <n v="2003"/>
    <s v="MKS Gdańsk"/>
    <s v="Zabrze"/>
    <s v="Yes"/>
    <x v="6"/>
    <x v="4"/>
    <x v="128"/>
  </r>
  <r>
    <s v="WIERZBA Kacper"/>
    <x v="0"/>
    <n v="2003"/>
    <s v="MKS Gdańsk"/>
    <s v="Zabrze"/>
    <s v="Yes"/>
    <x v="6"/>
    <x v="5"/>
    <x v="129"/>
  </r>
  <r>
    <s v="CHRUŚCIEL Szymon"/>
    <x v="0"/>
    <n v="2004"/>
    <s v="KS AZS AWF Kraków"/>
    <s v="Zabrze"/>
    <s v="Yes"/>
    <x v="0"/>
    <x v="0"/>
    <x v="6"/>
  </r>
  <r>
    <s v="CHRUŚCIEL Szymon"/>
    <x v="0"/>
    <n v="2004"/>
    <s v="KS AZS AWF Kraków"/>
    <s v="Zabrze"/>
    <s v="Yes"/>
    <x v="0"/>
    <x v="1"/>
    <x v="130"/>
  </r>
  <r>
    <s v="CHRUŚCIEL Szymon"/>
    <x v="0"/>
    <n v="2004"/>
    <s v="KS AZS AWF Kraków"/>
    <s v="Zabrze"/>
    <s v="Yes"/>
    <x v="0"/>
    <x v="2"/>
    <x v="131"/>
  </r>
  <r>
    <s v="CHRUŚCIEL Szymon"/>
    <x v="0"/>
    <n v="2004"/>
    <s v="KS AZS AWF Kraków"/>
    <s v="Zabrze"/>
    <s v="Yes"/>
    <x v="1"/>
    <x v="0"/>
    <x v="96"/>
  </r>
  <r>
    <s v="CHRUŚCIEL Szymon"/>
    <x v="0"/>
    <n v="2004"/>
    <s v="KS AZS AWF Kraków"/>
    <s v="Zabrze"/>
    <s v="Yes"/>
    <x v="1"/>
    <x v="1"/>
    <x v="132"/>
  </r>
  <r>
    <s v="CHRUŚCIEL Szymon"/>
    <x v="0"/>
    <n v="2004"/>
    <s v="KS AZS AWF Kraków"/>
    <s v="Zabrze"/>
    <s v="Yes"/>
    <x v="1"/>
    <x v="2"/>
    <x v="74"/>
  </r>
  <r>
    <s v="CHRUŚCIEL Szymon"/>
    <x v="0"/>
    <n v="2004"/>
    <s v="KS AZS AWF Kraków"/>
    <s v="Zabrze"/>
    <s v="Yes"/>
    <x v="2"/>
    <x v="0"/>
    <x v="113"/>
  </r>
  <r>
    <s v="CHRUŚCIEL Szymon"/>
    <x v="0"/>
    <n v="2004"/>
    <s v="KS AZS AWF Kraków"/>
    <s v="Zabrze"/>
    <s v="Yes"/>
    <x v="2"/>
    <x v="1"/>
    <x v="92"/>
  </r>
  <r>
    <s v="CHRUŚCIEL Szymon"/>
    <x v="0"/>
    <n v="2004"/>
    <s v="KS AZS AWF Kraków"/>
    <s v="Zabrze"/>
    <s v="Yes"/>
    <x v="2"/>
    <x v="2"/>
    <x v="47"/>
  </r>
  <r>
    <s v="CHRUŚCIEL Szymon"/>
    <x v="0"/>
    <n v="2004"/>
    <s v="KS AZS AWF Kraków"/>
    <s v="Zabrze"/>
    <s v="Yes"/>
    <x v="3"/>
    <x v="0"/>
    <x v="96"/>
  </r>
  <r>
    <s v="CHRUŚCIEL Szymon"/>
    <x v="0"/>
    <n v="2004"/>
    <s v="KS AZS AWF Kraków"/>
    <s v="Zabrze"/>
    <s v="Yes"/>
    <x v="3"/>
    <x v="1"/>
    <x v="133"/>
  </r>
  <r>
    <s v="CHRUŚCIEL Szymon"/>
    <x v="0"/>
    <n v="2004"/>
    <s v="KS AZS AWF Kraków"/>
    <s v="Zabrze"/>
    <s v="Yes"/>
    <x v="3"/>
    <x v="2"/>
    <x v="8"/>
  </r>
  <r>
    <s v="CHRUŚCIEL Szymon"/>
    <x v="0"/>
    <n v="2004"/>
    <s v="KS AZS AWF Kraków"/>
    <s v="Zabrze"/>
    <s v="Yes"/>
    <x v="4"/>
    <x v="0"/>
    <x v="29"/>
  </r>
  <r>
    <s v="CHRUŚCIEL Szymon"/>
    <x v="0"/>
    <n v="2004"/>
    <s v="KS AZS AWF Kraków"/>
    <s v="Zabrze"/>
    <s v="Yes"/>
    <x v="4"/>
    <x v="1"/>
    <x v="81"/>
  </r>
  <r>
    <s v="CHRUŚCIEL Szymon"/>
    <x v="0"/>
    <n v="2004"/>
    <s v="KS AZS AWF Kraków"/>
    <s v="Zabrze"/>
    <s v="Yes"/>
    <x v="4"/>
    <x v="2"/>
    <x v="69"/>
  </r>
  <r>
    <s v="CHRUŚCIEL Szymon"/>
    <x v="0"/>
    <n v="2004"/>
    <s v="KS AZS AWF Kraków"/>
    <s v="Zabrze"/>
    <s v="Yes"/>
    <x v="5"/>
    <x v="0"/>
    <x v="134"/>
  </r>
  <r>
    <s v="CHRUŚCIEL Szymon"/>
    <x v="0"/>
    <n v="2004"/>
    <s v="KS AZS AWF Kraków"/>
    <s v="Zabrze"/>
    <s v="Yes"/>
    <x v="5"/>
    <x v="1"/>
    <x v="135"/>
  </r>
  <r>
    <s v="CHRUŚCIEL Szymon"/>
    <x v="0"/>
    <n v="2004"/>
    <s v="KS AZS AWF Kraków"/>
    <s v="Zabrze"/>
    <s v="Yes"/>
    <x v="5"/>
    <x v="2"/>
    <x v="116"/>
  </r>
  <r>
    <s v="CHRUŚCIEL Szymon"/>
    <x v="0"/>
    <n v="2004"/>
    <s v="KS AZS AWF Kraków"/>
    <s v="Zabrze"/>
    <s v="Yes"/>
    <x v="6"/>
    <x v="3"/>
    <x v="120"/>
  </r>
  <r>
    <s v="CHRUŚCIEL Szymon"/>
    <x v="0"/>
    <n v="2004"/>
    <s v="KS AZS AWF Kraków"/>
    <s v="Zabrze"/>
    <s v="Yes"/>
    <x v="6"/>
    <x v="4"/>
    <x v="136"/>
  </r>
  <r>
    <s v="CHRUŚCIEL Szymon"/>
    <x v="0"/>
    <n v="2004"/>
    <s v="KS AZS AWF Kraków"/>
    <s v="Zabrze"/>
    <s v="Yes"/>
    <x v="6"/>
    <x v="5"/>
    <x v="137"/>
  </r>
  <r>
    <s v="JAKUBOWSKI Jakub"/>
    <x v="0"/>
    <n v="2003"/>
    <s v="KS AZS AWFiS Gdańsk"/>
    <s v="Zabrze"/>
    <s v="No"/>
    <x v="0"/>
    <x v="0"/>
    <x v="24"/>
  </r>
  <r>
    <s v="JAKUBOWSKI Jakub"/>
    <x v="0"/>
    <n v="2003"/>
    <s v="KS AZS AWFiS Gdańsk"/>
    <s v="Zabrze"/>
    <s v="No"/>
    <x v="0"/>
    <x v="1"/>
    <x v="135"/>
  </r>
  <r>
    <s v="JAKUBOWSKI Jakub"/>
    <x v="0"/>
    <n v="2003"/>
    <s v="KS AZS AWFiS Gdańsk"/>
    <s v="Zabrze"/>
    <s v="No"/>
    <x v="0"/>
    <x v="2"/>
    <x v="138"/>
  </r>
  <r>
    <s v="JAKUBOWSKI Jakub"/>
    <x v="0"/>
    <n v="2003"/>
    <s v="KS AZS AWFiS Gdańsk"/>
    <s v="Zabrze"/>
    <s v="No"/>
    <x v="1"/>
    <x v="0"/>
    <x v="41"/>
  </r>
  <r>
    <s v="JAKUBOWSKI Jakub"/>
    <x v="0"/>
    <n v="2003"/>
    <s v="KS AZS AWFiS Gdańsk"/>
    <s v="Zabrze"/>
    <s v="No"/>
    <x v="1"/>
    <x v="1"/>
    <x v="94"/>
  </r>
  <r>
    <s v="JAKUBOWSKI Jakub"/>
    <x v="0"/>
    <n v="2003"/>
    <s v="KS AZS AWFiS Gdańsk"/>
    <s v="Zabrze"/>
    <s v="No"/>
    <x v="1"/>
    <x v="2"/>
    <x v="65"/>
  </r>
  <r>
    <s v="JAKUBOWSKI Jakub"/>
    <x v="0"/>
    <n v="2003"/>
    <s v="KS AZS AWFiS Gdańsk"/>
    <s v="Zabrze"/>
    <s v="No"/>
    <x v="2"/>
    <x v="0"/>
    <x v="109"/>
  </r>
  <r>
    <s v="JAKUBOWSKI Jakub"/>
    <x v="0"/>
    <n v="2003"/>
    <s v="KS AZS AWFiS Gdańsk"/>
    <s v="Zabrze"/>
    <s v="No"/>
    <x v="2"/>
    <x v="1"/>
    <x v="39"/>
  </r>
  <r>
    <s v="JAKUBOWSKI Jakub"/>
    <x v="0"/>
    <n v="2003"/>
    <s v="KS AZS AWFiS Gdańsk"/>
    <s v="Zabrze"/>
    <s v="No"/>
    <x v="2"/>
    <x v="2"/>
    <x v="139"/>
  </r>
  <r>
    <s v="JAKUBOWSKI Jakub"/>
    <x v="0"/>
    <n v="2003"/>
    <s v="KS AZS AWFiS Gdańsk"/>
    <s v="Zabrze"/>
    <s v="No"/>
    <x v="3"/>
    <x v="0"/>
    <x v="140"/>
  </r>
  <r>
    <s v="JAKUBOWSKI Jakub"/>
    <x v="0"/>
    <n v="2003"/>
    <s v="KS AZS AWFiS Gdańsk"/>
    <s v="Zabrze"/>
    <s v="No"/>
    <x v="3"/>
    <x v="1"/>
    <x v="140"/>
  </r>
  <r>
    <s v="JAKUBOWSKI Jakub"/>
    <x v="0"/>
    <n v="2003"/>
    <s v="KS AZS AWFiS Gdańsk"/>
    <s v="Zabrze"/>
    <s v="No"/>
    <x v="3"/>
    <x v="2"/>
    <x v="140"/>
  </r>
  <r>
    <s v="JAKUBOWSKI Jakub"/>
    <x v="0"/>
    <n v="2003"/>
    <s v="KS AZS AWFiS Gdańsk"/>
    <s v="Zabrze"/>
    <s v="No"/>
    <x v="4"/>
    <x v="0"/>
    <x v="134"/>
  </r>
  <r>
    <s v="JAKUBOWSKI Jakub"/>
    <x v="0"/>
    <n v="2003"/>
    <s v="KS AZS AWFiS Gdańsk"/>
    <s v="Zabrze"/>
    <s v="No"/>
    <x v="4"/>
    <x v="1"/>
    <x v="81"/>
  </r>
  <r>
    <s v="JAKUBOWSKI Jakub"/>
    <x v="0"/>
    <n v="2003"/>
    <s v="KS AZS AWFiS Gdańsk"/>
    <s v="Zabrze"/>
    <s v="No"/>
    <x v="4"/>
    <x v="2"/>
    <x v="100"/>
  </r>
  <r>
    <s v="JAKUBOWSKI Jakub"/>
    <x v="0"/>
    <n v="2003"/>
    <s v="KS AZS AWFiS Gdańsk"/>
    <s v="Zabrze"/>
    <s v="No"/>
    <x v="5"/>
    <x v="0"/>
    <x v="140"/>
  </r>
  <r>
    <s v="JAKUBOWSKI Jakub"/>
    <x v="0"/>
    <n v="2003"/>
    <s v="KS AZS AWFiS Gdańsk"/>
    <s v="Zabrze"/>
    <s v="No"/>
    <x v="5"/>
    <x v="1"/>
    <x v="140"/>
  </r>
  <r>
    <s v="JAKUBOWSKI Jakub"/>
    <x v="0"/>
    <n v="2003"/>
    <s v="KS AZS AWFiS Gdańsk"/>
    <s v="Zabrze"/>
    <s v="No"/>
    <x v="5"/>
    <x v="2"/>
    <x v="140"/>
  </r>
  <r>
    <s v="JAKUBOWSKI Jakub"/>
    <x v="0"/>
    <n v="2003"/>
    <s v="KS AZS AWFiS Gdańsk"/>
    <s v="Zabrze"/>
    <s v="No"/>
    <x v="6"/>
    <x v="3"/>
    <x v="140"/>
  </r>
  <r>
    <s v="JAKUBOWSKI Jakub"/>
    <x v="0"/>
    <n v="2003"/>
    <s v="KS AZS AWFiS Gdańsk"/>
    <s v="Zabrze"/>
    <s v="No"/>
    <x v="6"/>
    <x v="4"/>
    <x v="140"/>
  </r>
  <r>
    <s v="JAKUBOWSKI Jakub"/>
    <x v="0"/>
    <n v="2003"/>
    <s v="KS AZS AWFiS Gdańsk"/>
    <s v="Zabrze"/>
    <s v="No"/>
    <x v="6"/>
    <x v="5"/>
    <x v="141"/>
  </r>
  <r>
    <s v="KUZDRA Konrad"/>
    <x v="0"/>
    <n v="2003"/>
    <s v="MKS Gdańsk"/>
    <s v="Zabrze"/>
    <s v="No"/>
    <x v="0"/>
    <x v="0"/>
    <x v="140"/>
  </r>
  <r>
    <s v="KUZDRA Konrad"/>
    <x v="0"/>
    <n v="2003"/>
    <s v="MKS Gdańsk"/>
    <s v="Zabrze"/>
    <s v="No"/>
    <x v="0"/>
    <x v="1"/>
    <x v="140"/>
  </r>
  <r>
    <s v="KUZDRA Konrad"/>
    <x v="0"/>
    <n v="2003"/>
    <s v="MKS Gdańsk"/>
    <s v="Zabrze"/>
    <s v="No"/>
    <x v="0"/>
    <x v="2"/>
    <x v="140"/>
  </r>
  <r>
    <s v="KUZDRA Konrad"/>
    <x v="0"/>
    <n v="2003"/>
    <s v="MKS Gdańsk"/>
    <s v="Zabrze"/>
    <s v="No"/>
    <x v="1"/>
    <x v="0"/>
    <x v="86"/>
  </r>
  <r>
    <s v="KUZDRA Konrad"/>
    <x v="0"/>
    <n v="2003"/>
    <s v="MKS Gdańsk"/>
    <s v="Zabrze"/>
    <s v="No"/>
    <x v="1"/>
    <x v="1"/>
    <x v="142"/>
  </r>
  <r>
    <s v="KUZDRA Konrad"/>
    <x v="0"/>
    <n v="2003"/>
    <s v="MKS Gdańsk"/>
    <s v="Zabrze"/>
    <s v="No"/>
    <x v="1"/>
    <x v="2"/>
    <x v="143"/>
  </r>
  <r>
    <s v="KUZDRA Konrad"/>
    <x v="0"/>
    <n v="2003"/>
    <s v="MKS Gdańsk"/>
    <s v="Zabrze"/>
    <s v="No"/>
    <x v="2"/>
    <x v="0"/>
    <x v="83"/>
  </r>
  <r>
    <s v="KUZDRA Konrad"/>
    <x v="0"/>
    <n v="2003"/>
    <s v="MKS Gdańsk"/>
    <s v="Zabrze"/>
    <s v="No"/>
    <x v="2"/>
    <x v="1"/>
    <x v="144"/>
  </r>
  <r>
    <s v="KUZDRA Konrad"/>
    <x v="0"/>
    <n v="2003"/>
    <s v="MKS Gdańsk"/>
    <s v="Zabrze"/>
    <s v="No"/>
    <x v="2"/>
    <x v="2"/>
    <x v="143"/>
  </r>
  <r>
    <s v="KUZDRA Konrad"/>
    <x v="0"/>
    <n v="2003"/>
    <s v="MKS Gdańsk"/>
    <s v="Zabrze"/>
    <s v="No"/>
    <x v="3"/>
    <x v="0"/>
    <x v="140"/>
  </r>
  <r>
    <s v="KUZDRA Konrad"/>
    <x v="0"/>
    <n v="2003"/>
    <s v="MKS Gdańsk"/>
    <s v="Zabrze"/>
    <s v="No"/>
    <x v="3"/>
    <x v="1"/>
    <x v="140"/>
  </r>
  <r>
    <s v="KUZDRA Konrad"/>
    <x v="0"/>
    <n v="2003"/>
    <s v="MKS Gdańsk"/>
    <s v="Zabrze"/>
    <s v="No"/>
    <x v="3"/>
    <x v="2"/>
    <x v="140"/>
  </r>
  <r>
    <s v="KUZDRA Konrad"/>
    <x v="0"/>
    <n v="2003"/>
    <s v="MKS Gdańsk"/>
    <s v="Zabrze"/>
    <s v="No"/>
    <x v="4"/>
    <x v="0"/>
    <x v="134"/>
  </r>
  <r>
    <s v="KUZDRA Konrad"/>
    <x v="0"/>
    <n v="2003"/>
    <s v="MKS Gdańsk"/>
    <s v="Zabrze"/>
    <s v="No"/>
    <x v="4"/>
    <x v="1"/>
    <x v="4"/>
  </r>
  <r>
    <s v="KUZDRA Konrad"/>
    <x v="0"/>
    <n v="2003"/>
    <s v="MKS Gdańsk"/>
    <s v="Zabrze"/>
    <s v="No"/>
    <x v="4"/>
    <x v="2"/>
    <x v="145"/>
  </r>
  <r>
    <s v="KUZDRA Konrad"/>
    <x v="0"/>
    <n v="2003"/>
    <s v="MKS Gdańsk"/>
    <s v="Zabrze"/>
    <s v="No"/>
    <x v="5"/>
    <x v="0"/>
    <x v="146"/>
  </r>
  <r>
    <s v="KUZDRA Konrad"/>
    <x v="0"/>
    <n v="2003"/>
    <s v="MKS Gdańsk"/>
    <s v="Zabrze"/>
    <s v="No"/>
    <x v="5"/>
    <x v="1"/>
    <x v="147"/>
  </r>
  <r>
    <s v="KUZDRA Konrad"/>
    <x v="0"/>
    <n v="2003"/>
    <s v="MKS Gdańsk"/>
    <s v="Zabrze"/>
    <s v="No"/>
    <x v="5"/>
    <x v="2"/>
    <x v="148"/>
  </r>
  <r>
    <s v="KUZDRA Konrad"/>
    <x v="0"/>
    <n v="2003"/>
    <s v="MKS Gdańsk"/>
    <s v="Zabrze"/>
    <s v="No"/>
    <x v="6"/>
    <x v="3"/>
    <x v="140"/>
  </r>
  <r>
    <s v="KUZDRA Konrad"/>
    <x v="0"/>
    <n v="2003"/>
    <s v="MKS Gdańsk"/>
    <s v="Zabrze"/>
    <s v="No"/>
    <x v="6"/>
    <x v="4"/>
    <x v="140"/>
  </r>
  <r>
    <s v="KUZDRA Konrad"/>
    <x v="0"/>
    <n v="2003"/>
    <s v="MKS Gdańsk"/>
    <s v="Zabrze"/>
    <s v="No"/>
    <x v="6"/>
    <x v="5"/>
    <x v="149"/>
  </r>
  <r>
    <s v="PAWŁOWSKI Jakub"/>
    <x v="0"/>
    <n v="2004"/>
    <s v="MKS Gdańsk"/>
    <s v="Zabrze"/>
    <s v="No"/>
    <x v="0"/>
    <x v="0"/>
    <x v="41"/>
  </r>
  <r>
    <s v="PAWŁOWSKI Jakub"/>
    <x v="0"/>
    <n v="2004"/>
    <s v="MKS Gdańsk"/>
    <s v="Zabrze"/>
    <s v="No"/>
    <x v="0"/>
    <x v="1"/>
    <x v="60"/>
  </r>
  <r>
    <s v="PAWŁOWSKI Jakub"/>
    <x v="0"/>
    <n v="2004"/>
    <s v="MKS Gdańsk"/>
    <s v="Zabrze"/>
    <s v="No"/>
    <x v="0"/>
    <x v="2"/>
    <x v="150"/>
  </r>
  <r>
    <s v="PAWŁOWSKI Jakub"/>
    <x v="0"/>
    <n v="2004"/>
    <s v="MKS Gdańsk"/>
    <s v="Zabrze"/>
    <s v="No"/>
    <x v="1"/>
    <x v="0"/>
    <x v="109"/>
  </r>
  <r>
    <s v="PAWŁOWSKI Jakub"/>
    <x v="0"/>
    <n v="2004"/>
    <s v="MKS Gdańsk"/>
    <s v="Zabrze"/>
    <s v="No"/>
    <x v="1"/>
    <x v="1"/>
    <x v="140"/>
  </r>
  <r>
    <s v="PAWŁOWSKI Jakub"/>
    <x v="0"/>
    <n v="2004"/>
    <s v="MKS Gdańsk"/>
    <s v="Zabrze"/>
    <s v="No"/>
    <x v="1"/>
    <x v="2"/>
    <x v="109"/>
  </r>
  <r>
    <s v="PAWŁOWSKI Jakub"/>
    <x v="0"/>
    <n v="2004"/>
    <s v="MKS Gdańsk"/>
    <s v="Zabrze"/>
    <s v="No"/>
    <x v="2"/>
    <x v="0"/>
    <x v="36"/>
  </r>
  <r>
    <s v="PAWŁOWSKI Jakub"/>
    <x v="0"/>
    <n v="2004"/>
    <s v="MKS Gdańsk"/>
    <s v="Zabrze"/>
    <s v="No"/>
    <x v="2"/>
    <x v="1"/>
    <x v="142"/>
  </r>
  <r>
    <s v="PAWŁOWSKI Jakub"/>
    <x v="0"/>
    <n v="2004"/>
    <s v="MKS Gdańsk"/>
    <s v="Zabrze"/>
    <s v="No"/>
    <x v="2"/>
    <x v="2"/>
    <x v="116"/>
  </r>
  <r>
    <s v="PAWŁOWSKI Jakub"/>
    <x v="0"/>
    <n v="2004"/>
    <s v="MKS Gdańsk"/>
    <s v="Zabrze"/>
    <s v="No"/>
    <x v="3"/>
    <x v="0"/>
    <x v="41"/>
  </r>
  <r>
    <s v="PAWŁOWSKI Jakub"/>
    <x v="0"/>
    <n v="2004"/>
    <s v="MKS Gdańsk"/>
    <s v="Zabrze"/>
    <s v="No"/>
    <x v="3"/>
    <x v="1"/>
    <x v="37"/>
  </r>
  <r>
    <s v="PAWŁOWSKI Jakub"/>
    <x v="0"/>
    <n v="2004"/>
    <s v="MKS Gdańsk"/>
    <s v="Zabrze"/>
    <s v="No"/>
    <x v="3"/>
    <x v="2"/>
    <x v="31"/>
  </r>
  <r>
    <s v="PAWŁOWSKI Jakub"/>
    <x v="0"/>
    <n v="2004"/>
    <s v="MKS Gdańsk"/>
    <s v="Zabrze"/>
    <s v="No"/>
    <x v="4"/>
    <x v="0"/>
    <x v="140"/>
  </r>
  <r>
    <s v="PAWŁOWSKI Jakub"/>
    <x v="0"/>
    <n v="2004"/>
    <s v="MKS Gdańsk"/>
    <s v="Zabrze"/>
    <s v="No"/>
    <x v="4"/>
    <x v="1"/>
    <x v="140"/>
  </r>
  <r>
    <s v="PAWŁOWSKI Jakub"/>
    <x v="0"/>
    <n v="2004"/>
    <s v="MKS Gdańsk"/>
    <s v="Zabrze"/>
    <s v="No"/>
    <x v="4"/>
    <x v="2"/>
    <x v="140"/>
  </r>
  <r>
    <s v="PAWŁOWSKI Jakub"/>
    <x v="0"/>
    <n v="2004"/>
    <s v="MKS Gdańsk"/>
    <s v="Zabrze"/>
    <s v="No"/>
    <x v="5"/>
    <x v="0"/>
    <x v="140"/>
  </r>
  <r>
    <s v="PAWŁOWSKI Jakub"/>
    <x v="0"/>
    <n v="2004"/>
    <s v="MKS Gdańsk"/>
    <s v="Zabrze"/>
    <s v="No"/>
    <x v="5"/>
    <x v="1"/>
    <x v="140"/>
  </r>
  <r>
    <s v="PAWŁOWSKI Jakub"/>
    <x v="0"/>
    <n v="2004"/>
    <s v="MKS Gdańsk"/>
    <s v="Zabrze"/>
    <s v="No"/>
    <x v="5"/>
    <x v="2"/>
    <x v="140"/>
  </r>
  <r>
    <s v="PAWŁOWSKI Jakub"/>
    <x v="0"/>
    <n v="2004"/>
    <s v="MKS Gdańsk"/>
    <s v="Zabrze"/>
    <s v="No"/>
    <x v="6"/>
    <x v="3"/>
    <x v="140"/>
  </r>
  <r>
    <s v="PAWŁOWSKI Jakub"/>
    <x v="0"/>
    <n v="2004"/>
    <s v="MKS Gdańsk"/>
    <s v="Zabrze"/>
    <s v="No"/>
    <x v="6"/>
    <x v="4"/>
    <x v="140"/>
  </r>
  <r>
    <s v="PAWŁOWSKI Jakub"/>
    <x v="0"/>
    <n v="2004"/>
    <s v="MKS Gdańsk"/>
    <s v="Zabrze"/>
    <s v="No"/>
    <x v="6"/>
    <x v="5"/>
    <x v="151"/>
  </r>
  <r>
    <s v="SZYMCZYK Radosław"/>
    <x v="0"/>
    <n v="2004"/>
    <s v="KS AZS AWF Kraków"/>
    <s v="Zabrze"/>
    <s v="No"/>
    <x v="0"/>
    <x v="0"/>
    <x v="73"/>
  </r>
  <r>
    <s v="SZYMCZYK Radosław"/>
    <x v="0"/>
    <n v="2004"/>
    <s v="KS AZS AWF Kraków"/>
    <s v="Zabrze"/>
    <s v="No"/>
    <x v="0"/>
    <x v="1"/>
    <x v="74"/>
  </r>
  <r>
    <s v="SZYMCZYK Radosław"/>
    <x v="0"/>
    <n v="2004"/>
    <s v="KS AZS AWF Kraków"/>
    <s v="Zabrze"/>
    <s v="No"/>
    <x v="0"/>
    <x v="2"/>
    <x v="75"/>
  </r>
  <r>
    <s v="SZYMCZYK Radosław"/>
    <x v="0"/>
    <n v="2004"/>
    <s v="KS AZS AWF Kraków"/>
    <s v="Zabrze"/>
    <s v="No"/>
    <x v="1"/>
    <x v="0"/>
    <x v="73"/>
  </r>
  <r>
    <s v="SZYMCZYK Radosław"/>
    <x v="0"/>
    <n v="2004"/>
    <s v="KS AZS AWF Kraków"/>
    <s v="Zabrze"/>
    <s v="No"/>
    <x v="1"/>
    <x v="1"/>
    <x v="152"/>
  </r>
  <r>
    <s v="SZYMCZYK Radosław"/>
    <x v="0"/>
    <n v="2004"/>
    <s v="KS AZS AWF Kraków"/>
    <s v="Zabrze"/>
    <s v="No"/>
    <x v="1"/>
    <x v="2"/>
    <x v="5"/>
  </r>
  <r>
    <s v="SZYMCZYK Radosław"/>
    <x v="0"/>
    <n v="2004"/>
    <s v="KS AZS AWF Kraków"/>
    <s v="Zabrze"/>
    <s v="No"/>
    <x v="2"/>
    <x v="0"/>
    <x v="140"/>
  </r>
  <r>
    <s v="SZYMCZYK Radosław"/>
    <x v="0"/>
    <n v="2004"/>
    <s v="KS AZS AWF Kraków"/>
    <s v="Zabrze"/>
    <s v="No"/>
    <x v="2"/>
    <x v="1"/>
    <x v="140"/>
  </r>
  <r>
    <s v="SZYMCZYK Radosław"/>
    <x v="0"/>
    <n v="2004"/>
    <s v="KS AZS AWF Kraków"/>
    <s v="Zabrze"/>
    <s v="No"/>
    <x v="2"/>
    <x v="2"/>
    <x v="140"/>
  </r>
  <r>
    <s v="SZYMCZYK Radosław"/>
    <x v="0"/>
    <n v="2004"/>
    <s v="KS AZS AWF Kraków"/>
    <s v="Zabrze"/>
    <s v="No"/>
    <x v="3"/>
    <x v="0"/>
    <x v="41"/>
  </r>
  <r>
    <s v="SZYMCZYK Radosław"/>
    <x v="0"/>
    <n v="2004"/>
    <s v="KS AZS AWF Kraków"/>
    <s v="Zabrze"/>
    <s v="No"/>
    <x v="3"/>
    <x v="1"/>
    <x v="124"/>
  </r>
  <r>
    <s v="SZYMCZYK Radosław"/>
    <x v="0"/>
    <n v="2004"/>
    <s v="KS AZS AWF Kraków"/>
    <s v="Zabrze"/>
    <s v="No"/>
    <x v="3"/>
    <x v="2"/>
    <x v="153"/>
  </r>
  <r>
    <s v="SZYMCZYK Radosław"/>
    <x v="0"/>
    <n v="2004"/>
    <s v="KS AZS AWF Kraków"/>
    <s v="Zabrze"/>
    <s v="No"/>
    <x v="4"/>
    <x v="0"/>
    <x v="140"/>
  </r>
  <r>
    <s v="SZYMCZYK Radosław"/>
    <x v="0"/>
    <n v="2004"/>
    <s v="KS AZS AWF Kraków"/>
    <s v="Zabrze"/>
    <s v="No"/>
    <x v="4"/>
    <x v="1"/>
    <x v="140"/>
  </r>
  <r>
    <s v="SZYMCZYK Radosław"/>
    <x v="0"/>
    <n v="2004"/>
    <s v="KS AZS AWF Kraków"/>
    <s v="Zabrze"/>
    <s v="No"/>
    <x v="4"/>
    <x v="2"/>
    <x v="140"/>
  </r>
  <r>
    <s v="SZYMCZYK Radosław"/>
    <x v="0"/>
    <n v="2004"/>
    <s v="KS AZS AWF Kraków"/>
    <s v="Zabrze"/>
    <s v="No"/>
    <x v="5"/>
    <x v="0"/>
    <x v="140"/>
  </r>
  <r>
    <s v="SZYMCZYK Radosław"/>
    <x v="0"/>
    <n v="2004"/>
    <s v="KS AZS AWF Kraków"/>
    <s v="Zabrze"/>
    <s v="No"/>
    <x v="5"/>
    <x v="1"/>
    <x v="140"/>
  </r>
  <r>
    <s v="SZYMCZYK Radosław"/>
    <x v="0"/>
    <n v="2004"/>
    <s v="KS AZS AWF Kraków"/>
    <s v="Zabrze"/>
    <s v="No"/>
    <x v="5"/>
    <x v="2"/>
    <x v="140"/>
  </r>
  <r>
    <s v="SZYMCZYK Radosław"/>
    <x v="0"/>
    <n v="2004"/>
    <s v="KS AZS AWF Kraków"/>
    <s v="Zabrze"/>
    <s v="No"/>
    <x v="6"/>
    <x v="3"/>
    <x v="140"/>
  </r>
  <r>
    <s v="SZYMCZYK Radosław"/>
    <x v="0"/>
    <n v="2004"/>
    <s v="KS AZS AWF Kraków"/>
    <s v="Zabrze"/>
    <s v="No"/>
    <x v="6"/>
    <x v="4"/>
    <x v="140"/>
  </r>
  <r>
    <s v="SZYMCZYK Radosław"/>
    <x v="0"/>
    <n v="2004"/>
    <s v="KS AZS AWF Kraków"/>
    <s v="Zabrze"/>
    <s v="No"/>
    <x v="6"/>
    <x v="5"/>
    <x v="154"/>
  </r>
  <r>
    <s v="FRONT Filip"/>
    <x v="0"/>
    <n v="2002"/>
    <s v="KS AZS AWFiS Gdańsk"/>
    <s v="Zabrze"/>
    <s v="No"/>
    <x v="0"/>
    <x v="0"/>
    <x v="140"/>
  </r>
  <r>
    <s v="FRONT Filip"/>
    <x v="0"/>
    <n v="2002"/>
    <s v="KS AZS AWFiS Gdańsk"/>
    <s v="Zabrze"/>
    <s v="No"/>
    <x v="0"/>
    <x v="1"/>
    <x v="140"/>
  </r>
  <r>
    <s v="FRONT Filip"/>
    <x v="0"/>
    <n v="2002"/>
    <s v="KS AZS AWFiS Gdańsk"/>
    <s v="Zabrze"/>
    <s v="No"/>
    <x v="0"/>
    <x v="2"/>
    <x v="140"/>
  </r>
  <r>
    <s v="FRONT Filip"/>
    <x v="0"/>
    <n v="2002"/>
    <s v="KS AZS AWFiS Gdańsk"/>
    <s v="Zabrze"/>
    <s v="No"/>
    <x v="1"/>
    <x v="0"/>
    <x v="140"/>
  </r>
  <r>
    <s v="FRONT Filip"/>
    <x v="0"/>
    <n v="2002"/>
    <s v="KS AZS AWFiS Gdańsk"/>
    <s v="Zabrze"/>
    <s v="No"/>
    <x v="1"/>
    <x v="1"/>
    <x v="140"/>
  </r>
  <r>
    <s v="FRONT Filip"/>
    <x v="0"/>
    <n v="2002"/>
    <s v="KS AZS AWFiS Gdańsk"/>
    <s v="Zabrze"/>
    <s v="No"/>
    <x v="1"/>
    <x v="2"/>
    <x v="140"/>
  </r>
  <r>
    <s v="FRONT Filip"/>
    <x v="0"/>
    <n v="2002"/>
    <s v="KS AZS AWFiS Gdańsk"/>
    <s v="Zabrze"/>
    <s v="No"/>
    <x v="2"/>
    <x v="0"/>
    <x v="41"/>
  </r>
  <r>
    <s v="FRONT Filip"/>
    <x v="0"/>
    <n v="2002"/>
    <s v="KS AZS AWFiS Gdańsk"/>
    <s v="Zabrze"/>
    <s v="No"/>
    <x v="2"/>
    <x v="1"/>
    <x v="37"/>
  </r>
  <r>
    <s v="FRONT Filip"/>
    <x v="0"/>
    <n v="2002"/>
    <s v="KS AZS AWFiS Gdańsk"/>
    <s v="Zabrze"/>
    <s v="No"/>
    <x v="2"/>
    <x v="2"/>
    <x v="31"/>
  </r>
  <r>
    <s v="FRONT Filip"/>
    <x v="0"/>
    <n v="2002"/>
    <s v="KS AZS AWFiS Gdańsk"/>
    <s v="Zabrze"/>
    <s v="No"/>
    <x v="3"/>
    <x v="0"/>
    <x v="134"/>
  </r>
  <r>
    <s v="FRONT Filip"/>
    <x v="0"/>
    <n v="2002"/>
    <s v="KS AZS AWFiS Gdańsk"/>
    <s v="Zabrze"/>
    <s v="No"/>
    <x v="3"/>
    <x v="1"/>
    <x v="155"/>
  </r>
  <r>
    <s v="FRONT Filip"/>
    <x v="0"/>
    <n v="2002"/>
    <s v="KS AZS AWFiS Gdańsk"/>
    <s v="Zabrze"/>
    <s v="No"/>
    <x v="3"/>
    <x v="2"/>
    <x v="38"/>
  </r>
  <r>
    <s v="FRONT Filip"/>
    <x v="0"/>
    <n v="2002"/>
    <s v="KS AZS AWFiS Gdańsk"/>
    <s v="Zabrze"/>
    <s v="No"/>
    <x v="4"/>
    <x v="0"/>
    <x v="156"/>
  </r>
  <r>
    <s v="FRONT Filip"/>
    <x v="0"/>
    <n v="2002"/>
    <s v="KS AZS AWFiS Gdańsk"/>
    <s v="Zabrze"/>
    <s v="No"/>
    <x v="4"/>
    <x v="1"/>
    <x v="157"/>
  </r>
  <r>
    <s v="FRONT Filip"/>
    <x v="0"/>
    <n v="2002"/>
    <s v="KS AZS AWFiS Gdańsk"/>
    <s v="Zabrze"/>
    <s v="No"/>
    <x v="4"/>
    <x v="2"/>
    <x v="158"/>
  </r>
  <r>
    <s v="FRONT Filip"/>
    <x v="0"/>
    <n v="2002"/>
    <s v="KS AZS AWFiS Gdańsk"/>
    <s v="Zabrze"/>
    <s v="No"/>
    <x v="5"/>
    <x v="0"/>
    <x v="140"/>
  </r>
  <r>
    <s v="FRONT Filip"/>
    <x v="0"/>
    <n v="2002"/>
    <s v="KS AZS AWFiS Gdańsk"/>
    <s v="Zabrze"/>
    <s v="No"/>
    <x v="5"/>
    <x v="1"/>
    <x v="140"/>
  </r>
  <r>
    <s v="FRONT Filip"/>
    <x v="0"/>
    <n v="2002"/>
    <s v="KS AZS AWFiS Gdańsk"/>
    <s v="Zabrze"/>
    <s v="No"/>
    <x v="5"/>
    <x v="2"/>
    <x v="140"/>
  </r>
  <r>
    <s v="FRONT Filip"/>
    <x v="0"/>
    <n v="2002"/>
    <s v="KS AZS AWFiS Gdańsk"/>
    <s v="Zabrze"/>
    <s v="No"/>
    <x v="6"/>
    <x v="3"/>
    <x v="140"/>
  </r>
  <r>
    <s v="FRONT Filip"/>
    <x v="0"/>
    <n v="2002"/>
    <s v="KS AZS AWFiS Gdańsk"/>
    <s v="Zabrze"/>
    <s v="No"/>
    <x v="6"/>
    <x v="4"/>
    <x v="140"/>
  </r>
  <r>
    <s v="FRONT Filip"/>
    <x v="0"/>
    <n v="2002"/>
    <s v="KS AZS AWFiS Gdańsk"/>
    <s v="Zabrze"/>
    <s v="No"/>
    <x v="6"/>
    <x v="5"/>
    <x v="159"/>
  </r>
  <r>
    <s v="IAREMCHUK Vladyslav"/>
    <x v="0"/>
    <n v="2002"/>
    <s v="KS AZS AWF Katowice"/>
    <s v="Zabrze"/>
    <s v="No"/>
    <x v="0"/>
    <x v="0"/>
    <x v="140"/>
  </r>
  <r>
    <s v="IAREMCHUK Vladyslav"/>
    <x v="0"/>
    <n v="2002"/>
    <s v="KS AZS AWF Katowice"/>
    <s v="Zabrze"/>
    <s v="No"/>
    <x v="0"/>
    <x v="1"/>
    <x v="140"/>
  </r>
  <r>
    <s v="IAREMCHUK Vladyslav"/>
    <x v="0"/>
    <n v="2002"/>
    <s v="KS AZS AWF Katowice"/>
    <s v="Zabrze"/>
    <s v="No"/>
    <x v="0"/>
    <x v="2"/>
    <x v="140"/>
  </r>
  <r>
    <s v="IAREMCHUK Vladyslav"/>
    <x v="0"/>
    <n v="2002"/>
    <s v="KS AZS AWF Katowice"/>
    <s v="Zabrze"/>
    <s v="No"/>
    <x v="1"/>
    <x v="0"/>
    <x v="160"/>
  </r>
  <r>
    <s v="IAREMCHUK Vladyslav"/>
    <x v="0"/>
    <n v="2002"/>
    <s v="KS AZS AWF Katowice"/>
    <s v="Zabrze"/>
    <s v="No"/>
    <x v="1"/>
    <x v="1"/>
    <x v="92"/>
  </r>
  <r>
    <s v="IAREMCHUK Vladyslav"/>
    <x v="0"/>
    <n v="2002"/>
    <s v="KS AZS AWF Katowice"/>
    <s v="Zabrze"/>
    <s v="No"/>
    <x v="1"/>
    <x v="2"/>
    <x v="65"/>
  </r>
  <r>
    <s v="IAREMCHUK Vladyslav"/>
    <x v="0"/>
    <n v="2002"/>
    <s v="KS AZS AWF Katowice"/>
    <s v="Zabrze"/>
    <s v="No"/>
    <x v="2"/>
    <x v="0"/>
    <x v="14"/>
  </r>
  <r>
    <s v="IAREMCHUK Vladyslav"/>
    <x v="0"/>
    <n v="2002"/>
    <s v="KS AZS AWF Katowice"/>
    <s v="Zabrze"/>
    <s v="No"/>
    <x v="2"/>
    <x v="1"/>
    <x v="25"/>
  </r>
  <r>
    <s v="IAREMCHUK Vladyslav"/>
    <x v="0"/>
    <n v="2002"/>
    <s v="KS AZS AWF Katowice"/>
    <s v="Zabrze"/>
    <s v="No"/>
    <x v="2"/>
    <x v="2"/>
    <x v="161"/>
  </r>
  <r>
    <s v="IAREMCHUK Vladyslav"/>
    <x v="0"/>
    <n v="2002"/>
    <s v="KS AZS AWF Katowice"/>
    <s v="Zabrze"/>
    <s v="No"/>
    <x v="3"/>
    <x v="0"/>
    <x v="140"/>
  </r>
  <r>
    <s v="IAREMCHUK Vladyslav"/>
    <x v="0"/>
    <n v="2002"/>
    <s v="KS AZS AWF Katowice"/>
    <s v="Zabrze"/>
    <s v="No"/>
    <x v="3"/>
    <x v="1"/>
    <x v="140"/>
  </r>
  <r>
    <s v="IAREMCHUK Vladyslav"/>
    <x v="0"/>
    <n v="2002"/>
    <s v="KS AZS AWF Katowice"/>
    <s v="Zabrze"/>
    <s v="No"/>
    <x v="3"/>
    <x v="2"/>
    <x v="140"/>
  </r>
  <r>
    <s v="IAREMCHUK Vladyslav"/>
    <x v="0"/>
    <n v="2002"/>
    <s v="KS AZS AWF Katowice"/>
    <s v="Zabrze"/>
    <s v="No"/>
    <x v="4"/>
    <x v="0"/>
    <x v="41"/>
  </r>
  <r>
    <s v="IAREMCHUK Vladyslav"/>
    <x v="0"/>
    <n v="2002"/>
    <s v="KS AZS AWF Katowice"/>
    <s v="Zabrze"/>
    <s v="No"/>
    <x v="4"/>
    <x v="1"/>
    <x v="20"/>
  </r>
  <r>
    <s v="IAREMCHUK Vladyslav"/>
    <x v="0"/>
    <n v="2002"/>
    <s v="KS AZS AWF Katowice"/>
    <s v="Zabrze"/>
    <s v="No"/>
    <x v="4"/>
    <x v="2"/>
    <x v="162"/>
  </r>
  <r>
    <s v="IAREMCHUK Vladyslav"/>
    <x v="0"/>
    <n v="2002"/>
    <s v="KS AZS AWF Katowice"/>
    <s v="Zabrze"/>
    <s v="No"/>
    <x v="5"/>
    <x v="0"/>
    <x v="140"/>
  </r>
  <r>
    <s v="IAREMCHUK Vladyslav"/>
    <x v="0"/>
    <n v="2002"/>
    <s v="KS AZS AWF Katowice"/>
    <s v="Zabrze"/>
    <s v="No"/>
    <x v="5"/>
    <x v="1"/>
    <x v="140"/>
  </r>
  <r>
    <s v="IAREMCHUK Vladyslav"/>
    <x v="0"/>
    <n v="2002"/>
    <s v="KS AZS AWF Katowice"/>
    <s v="Zabrze"/>
    <s v="No"/>
    <x v="5"/>
    <x v="2"/>
    <x v="140"/>
  </r>
  <r>
    <s v="IAREMCHUK Vladyslav"/>
    <x v="0"/>
    <n v="2002"/>
    <s v="KS AZS AWF Katowice"/>
    <s v="Zabrze"/>
    <s v="No"/>
    <x v="6"/>
    <x v="3"/>
    <x v="140"/>
  </r>
  <r>
    <s v="IAREMCHUK Vladyslav"/>
    <x v="0"/>
    <n v="2002"/>
    <s v="KS AZS AWF Katowice"/>
    <s v="Zabrze"/>
    <s v="No"/>
    <x v="6"/>
    <x v="4"/>
    <x v="140"/>
  </r>
  <r>
    <s v="IAREMCHUK Vladyslav"/>
    <x v="0"/>
    <n v="2002"/>
    <s v="KS AZS AWF Katowice"/>
    <s v="Zabrze"/>
    <s v="No"/>
    <x v="6"/>
    <x v="5"/>
    <x v="163"/>
  </r>
  <r>
    <s v="HERASYMOV Mykyta"/>
    <x v="0"/>
    <n v="2003"/>
    <s v="KS AZS AWFiS Gdańsk"/>
    <s v="Zabrze"/>
    <s v="No"/>
    <x v="0"/>
    <x v="0"/>
    <x v="140"/>
  </r>
  <r>
    <s v="HERASYMOV Mykyta"/>
    <x v="0"/>
    <n v="2003"/>
    <s v="KS AZS AWFiS Gdańsk"/>
    <s v="Zabrze"/>
    <s v="No"/>
    <x v="0"/>
    <x v="1"/>
    <x v="140"/>
  </r>
  <r>
    <s v="HERASYMOV Mykyta"/>
    <x v="0"/>
    <n v="2003"/>
    <s v="KS AZS AWFiS Gdańsk"/>
    <s v="Zabrze"/>
    <s v="No"/>
    <x v="0"/>
    <x v="2"/>
    <x v="140"/>
  </r>
  <r>
    <s v="HERASYMOV Mykyta"/>
    <x v="0"/>
    <n v="2003"/>
    <s v="KS AZS AWFiS Gdańsk"/>
    <s v="Zabrze"/>
    <s v="No"/>
    <x v="1"/>
    <x v="0"/>
    <x v="113"/>
  </r>
  <r>
    <s v="HERASYMOV Mykyta"/>
    <x v="0"/>
    <n v="2003"/>
    <s v="KS AZS AWFiS Gdańsk"/>
    <s v="Zabrze"/>
    <s v="No"/>
    <x v="1"/>
    <x v="1"/>
    <x v="142"/>
  </r>
  <r>
    <s v="HERASYMOV Mykyta"/>
    <x v="0"/>
    <n v="2003"/>
    <s v="KS AZS AWFiS Gdańsk"/>
    <s v="Zabrze"/>
    <s v="No"/>
    <x v="1"/>
    <x v="2"/>
    <x v="119"/>
  </r>
  <r>
    <s v="HERASYMOV Mykyta"/>
    <x v="0"/>
    <n v="2003"/>
    <s v="KS AZS AWFiS Gdańsk"/>
    <s v="Zabrze"/>
    <s v="No"/>
    <x v="2"/>
    <x v="0"/>
    <x v="164"/>
  </r>
  <r>
    <s v="HERASYMOV Mykyta"/>
    <x v="0"/>
    <n v="2003"/>
    <s v="KS AZS AWFiS Gdańsk"/>
    <s v="Zabrze"/>
    <s v="No"/>
    <x v="2"/>
    <x v="1"/>
    <x v="115"/>
  </r>
  <r>
    <s v="HERASYMOV Mykyta"/>
    <x v="0"/>
    <n v="2003"/>
    <s v="KS AZS AWFiS Gdańsk"/>
    <s v="Zabrze"/>
    <s v="No"/>
    <x v="2"/>
    <x v="2"/>
    <x v="27"/>
  </r>
  <r>
    <s v="HERASYMOV Mykyta"/>
    <x v="0"/>
    <n v="2003"/>
    <s v="KS AZS AWFiS Gdańsk"/>
    <s v="Zabrze"/>
    <s v="No"/>
    <x v="3"/>
    <x v="0"/>
    <x v="140"/>
  </r>
  <r>
    <s v="HERASYMOV Mykyta"/>
    <x v="0"/>
    <n v="2003"/>
    <s v="KS AZS AWFiS Gdańsk"/>
    <s v="Zabrze"/>
    <s v="No"/>
    <x v="3"/>
    <x v="1"/>
    <x v="140"/>
  </r>
  <r>
    <s v="HERASYMOV Mykyta"/>
    <x v="0"/>
    <n v="2003"/>
    <s v="KS AZS AWFiS Gdańsk"/>
    <s v="Zabrze"/>
    <s v="No"/>
    <x v="3"/>
    <x v="2"/>
    <x v="140"/>
  </r>
  <r>
    <s v="HERASYMOV Mykyta"/>
    <x v="0"/>
    <n v="2003"/>
    <s v="KS AZS AWFiS Gdańsk"/>
    <s v="Zabrze"/>
    <s v="No"/>
    <x v="4"/>
    <x v="0"/>
    <x v="165"/>
  </r>
  <r>
    <s v="HERASYMOV Mykyta"/>
    <x v="0"/>
    <n v="2003"/>
    <s v="KS AZS AWFiS Gdańsk"/>
    <s v="Zabrze"/>
    <s v="No"/>
    <x v="4"/>
    <x v="1"/>
    <x v="152"/>
  </r>
  <r>
    <s v="HERASYMOV Mykyta"/>
    <x v="0"/>
    <n v="2003"/>
    <s v="KS AZS AWFiS Gdańsk"/>
    <s v="Zabrze"/>
    <s v="No"/>
    <x v="4"/>
    <x v="2"/>
    <x v="23"/>
  </r>
  <r>
    <s v="HERASYMOV Mykyta"/>
    <x v="0"/>
    <n v="2003"/>
    <s v="KS AZS AWFiS Gdańsk"/>
    <s v="Zabrze"/>
    <s v="No"/>
    <x v="5"/>
    <x v="0"/>
    <x v="140"/>
  </r>
  <r>
    <s v="HERASYMOV Mykyta"/>
    <x v="0"/>
    <n v="2003"/>
    <s v="KS AZS AWFiS Gdańsk"/>
    <s v="Zabrze"/>
    <s v="No"/>
    <x v="5"/>
    <x v="1"/>
    <x v="140"/>
  </r>
  <r>
    <s v="HERASYMOV Mykyta"/>
    <x v="0"/>
    <n v="2003"/>
    <s v="KS AZS AWFiS Gdańsk"/>
    <s v="Zabrze"/>
    <s v="No"/>
    <x v="5"/>
    <x v="2"/>
    <x v="140"/>
  </r>
  <r>
    <s v="HERASYMOV Mykyta"/>
    <x v="0"/>
    <n v="2003"/>
    <s v="KS AZS AWFiS Gdańsk"/>
    <s v="Zabrze"/>
    <s v="No"/>
    <x v="6"/>
    <x v="3"/>
    <x v="140"/>
  </r>
  <r>
    <s v="HERASYMOV Mykyta"/>
    <x v="0"/>
    <n v="2003"/>
    <s v="KS AZS AWFiS Gdańsk"/>
    <s v="Zabrze"/>
    <s v="No"/>
    <x v="6"/>
    <x v="4"/>
    <x v="140"/>
  </r>
  <r>
    <s v="HERASYMOV Mykyta"/>
    <x v="0"/>
    <n v="2003"/>
    <s v="KS AZS AWFiS Gdańsk"/>
    <s v="Zabrze"/>
    <s v="No"/>
    <x v="6"/>
    <x v="5"/>
    <x v="166"/>
  </r>
  <r>
    <s v="SIEDZIAKO Igor"/>
    <x v="0"/>
    <n v="2004"/>
    <s v="MKS Kusy Szczecin"/>
    <s v="Zabrze"/>
    <s v="No"/>
    <x v="0"/>
    <x v="0"/>
    <x v="29"/>
  </r>
  <r>
    <s v="SIEDZIAKO Igor"/>
    <x v="0"/>
    <n v="2004"/>
    <s v="MKS Kusy Szczecin"/>
    <s v="Zabrze"/>
    <s v="No"/>
    <x v="0"/>
    <x v="1"/>
    <x v="92"/>
  </r>
  <r>
    <s v="SIEDZIAKO Igor"/>
    <x v="0"/>
    <n v="2004"/>
    <s v="MKS Kusy Szczecin"/>
    <s v="Zabrze"/>
    <s v="No"/>
    <x v="0"/>
    <x v="2"/>
    <x v="55"/>
  </r>
  <r>
    <s v="SIEDZIAKO Igor"/>
    <x v="0"/>
    <n v="2004"/>
    <s v="MKS Kusy Szczecin"/>
    <s v="Zabrze"/>
    <s v="No"/>
    <x v="1"/>
    <x v="0"/>
    <x v="140"/>
  </r>
  <r>
    <s v="SIEDZIAKO Igor"/>
    <x v="0"/>
    <n v="2004"/>
    <s v="MKS Kusy Szczecin"/>
    <s v="Zabrze"/>
    <s v="No"/>
    <x v="1"/>
    <x v="1"/>
    <x v="140"/>
  </r>
  <r>
    <s v="SIEDZIAKO Igor"/>
    <x v="0"/>
    <n v="2004"/>
    <s v="MKS Kusy Szczecin"/>
    <s v="Zabrze"/>
    <s v="No"/>
    <x v="1"/>
    <x v="2"/>
    <x v="140"/>
  </r>
  <r>
    <s v="SIEDZIAKO Igor"/>
    <x v="0"/>
    <n v="2004"/>
    <s v="MKS Kusy Szczecin"/>
    <s v="Zabrze"/>
    <s v="No"/>
    <x v="2"/>
    <x v="0"/>
    <x v="140"/>
  </r>
  <r>
    <s v="SIEDZIAKO Igor"/>
    <x v="0"/>
    <n v="2004"/>
    <s v="MKS Kusy Szczecin"/>
    <s v="Zabrze"/>
    <s v="No"/>
    <x v="2"/>
    <x v="1"/>
    <x v="140"/>
  </r>
  <r>
    <s v="SIEDZIAKO Igor"/>
    <x v="0"/>
    <n v="2004"/>
    <s v="MKS Kusy Szczecin"/>
    <s v="Zabrze"/>
    <s v="No"/>
    <x v="2"/>
    <x v="2"/>
    <x v="140"/>
  </r>
  <r>
    <s v="SIEDZIAKO Igor"/>
    <x v="0"/>
    <n v="2004"/>
    <s v="MKS Kusy Szczecin"/>
    <s v="Zabrze"/>
    <s v="No"/>
    <x v="3"/>
    <x v="0"/>
    <x v="140"/>
  </r>
  <r>
    <s v="SIEDZIAKO Igor"/>
    <x v="0"/>
    <n v="2004"/>
    <s v="MKS Kusy Szczecin"/>
    <s v="Zabrze"/>
    <s v="No"/>
    <x v="3"/>
    <x v="1"/>
    <x v="140"/>
  </r>
  <r>
    <s v="SIEDZIAKO Igor"/>
    <x v="0"/>
    <n v="2004"/>
    <s v="MKS Kusy Szczecin"/>
    <s v="Zabrze"/>
    <s v="No"/>
    <x v="3"/>
    <x v="2"/>
    <x v="140"/>
  </r>
  <r>
    <s v="SIEDZIAKO Igor"/>
    <x v="0"/>
    <n v="2004"/>
    <s v="MKS Kusy Szczecin"/>
    <s v="Zabrze"/>
    <s v="No"/>
    <x v="4"/>
    <x v="0"/>
    <x v="165"/>
  </r>
  <r>
    <s v="SIEDZIAKO Igor"/>
    <x v="0"/>
    <n v="2004"/>
    <s v="MKS Kusy Szczecin"/>
    <s v="Zabrze"/>
    <s v="No"/>
    <x v="4"/>
    <x v="1"/>
    <x v="99"/>
  </r>
  <r>
    <s v="SIEDZIAKO Igor"/>
    <x v="0"/>
    <n v="2004"/>
    <s v="MKS Kusy Szczecin"/>
    <s v="Zabrze"/>
    <s v="No"/>
    <x v="4"/>
    <x v="2"/>
    <x v="167"/>
  </r>
  <r>
    <s v="SIEDZIAKO Igor"/>
    <x v="0"/>
    <n v="2004"/>
    <s v="MKS Kusy Szczecin"/>
    <s v="Zabrze"/>
    <s v="No"/>
    <x v="5"/>
    <x v="0"/>
    <x v="168"/>
  </r>
  <r>
    <s v="SIEDZIAKO Igor"/>
    <x v="0"/>
    <n v="2004"/>
    <s v="MKS Kusy Szczecin"/>
    <s v="Zabrze"/>
    <s v="No"/>
    <x v="5"/>
    <x v="1"/>
    <x v="26"/>
  </r>
  <r>
    <s v="SIEDZIAKO Igor"/>
    <x v="0"/>
    <n v="2004"/>
    <s v="MKS Kusy Szczecin"/>
    <s v="Zabrze"/>
    <s v="No"/>
    <x v="5"/>
    <x v="2"/>
    <x v="144"/>
  </r>
  <r>
    <s v="SIEDZIAKO Igor"/>
    <x v="0"/>
    <n v="2004"/>
    <s v="MKS Kusy Szczecin"/>
    <s v="Zabrze"/>
    <s v="No"/>
    <x v="6"/>
    <x v="3"/>
    <x v="140"/>
  </r>
  <r>
    <s v="SIEDZIAKO Igor"/>
    <x v="0"/>
    <n v="2004"/>
    <s v="MKS Kusy Szczecin"/>
    <s v="Zabrze"/>
    <s v="No"/>
    <x v="6"/>
    <x v="4"/>
    <x v="140"/>
  </r>
  <r>
    <s v="SIEDZIAKO Igor"/>
    <x v="0"/>
    <n v="2004"/>
    <s v="MKS Kusy Szczecin"/>
    <s v="Zabrze"/>
    <s v="No"/>
    <x v="6"/>
    <x v="5"/>
    <x v="169"/>
  </r>
  <r>
    <s v="PIETRUSZKIEWICZ Jakub"/>
    <x v="0"/>
    <n v="2003"/>
    <s v="MKS Kusy Szczecin"/>
    <s v="Zabrze"/>
    <s v="No"/>
    <x v="0"/>
    <x v="0"/>
    <x v="140"/>
  </r>
  <r>
    <s v="PIETRUSZKIEWICZ Jakub"/>
    <x v="0"/>
    <n v="2003"/>
    <s v="MKS Kusy Szczecin"/>
    <s v="Zabrze"/>
    <s v="No"/>
    <x v="0"/>
    <x v="1"/>
    <x v="140"/>
  </r>
  <r>
    <s v="PIETRUSZKIEWICZ Jakub"/>
    <x v="0"/>
    <n v="2003"/>
    <s v="MKS Kusy Szczecin"/>
    <s v="Zabrze"/>
    <s v="No"/>
    <x v="0"/>
    <x v="2"/>
    <x v="140"/>
  </r>
  <r>
    <s v="PIETRUSZKIEWICZ Jakub"/>
    <x v="0"/>
    <n v="2003"/>
    <s v="MKS Kusy Szczecin"/>
    <s v="Zabrze"/>
    <s v="No"/>
    <x v="1"/>
    <x v="0"/>
    <x v="140"/>
  </r>
  <r>
    <s v="PIETRUSZKIEWICZ Jakub"/>
    <x v="0"/>
    <n v="2003"/>
    <s v="MKS Kusy Szczecin"/>
    <s v="Zabrze"/>
    <s v="No"/>
    <x v="1"/>
    <x v="1"/>
    <x v="140"/>
  </r>
  <r>
    <s v="PIETRUSZKIEWICZ Jakub"/>
    <x v="0"/>
    <n v="2003"/>
    <s v="MKS Kusy Szczecin"/>
    <s v="Zabrze"/>
    <s v="No"/>
    <x v="1"/>
    <x v="2"/>
    <x v="140"/>
  </r>
  <r>
    <s v="PIETRUSZKIEWICZ Jakub"/>
    <x v="0"/>
    <n v="2003"/>
    <s v="MKS Kusy Szczecin"/>
    <s v="Zabrze"/>
    <s v="No"/>
    <x v="2"/>
    <x v="0"/>
    <x v="96"/>
  </r>
  <r>
    <s v="PIETRUSZKIEWICZ Jakub"/>
    <x v="0"/>
    <n v="2003"/>
    <s v="MKS Kusy Szczecin"/>
    <s v="Zabrze"/>
    <s v="No"/>
    <x v="2"/>
    <x v="1"/>
    <x v="147"/>
  </r>
  <r>
    <s v="PIETRUSZKIEWICZ Jakub"/>
    <x v="0"/>
    <n v="2003"/>
    <s v="MKS Kusy Szczecin"/>
    <s v="Zabrze"/>
    <s v="No"/>
    <x v="2"/>
    <x v="2"/>
    <x v="110"/>
  </r>
  <r>
    <s v="PIETRUSZKIEWICZ Jakub"/>
    <x v="0"/>
    <n v="2003"/>
    <s v="MKS Kusy Szczecin"/>
    <s v="Zabrze"/>
    <s v="No"/>
    <x v="3"/>
    <x v="0"/>
    <x v="41"/>
  </r>
  <r>
    <s v="PIETRUSZKIEWICZ Jakub"/>
    <x v="0"/>
    <n v="2003"/>
    <s v="MKS Kusy Szczecin"/>
    <s v="Zabrze"/>
    <s v="No"/>
    <x v="3"/>
    <x v="1"/>
    <x v="157"/>
  </r>
  <r>
    <s v="PIETRUSZKIEWICZ Jakub"/>
    <x v="0"/>
    <n v="2003"/>
    <s v="MKS Kusy Szczecin"/>
    <s v="Zabrze"/>
    <s v="No"/>
    <x v="3"/>
    <x v="2"/>
    <x v="170"/>
  </r>
  <r>
    <s v="PIETRUSZKIEWICZ Jakub"/>
    <x v="0"/>
    <n v="2003"/>
    <s v="MKS Kusy Szczecin"/>
    <s v="Zabrze"/>
    <s v="No"/>
    <x v="4"/>
    <x v="0"/>
    <x v="140"/>
  </r>
  <r>
    <s v="PIETRUSZKIEWICZ Jakub"/>
    <x v="0"/>
    <n v="2003"/>
    <s v="MKS Kusy Szczecin"/>
    <s v="Zabrze"/>
    <s v="No"/>
    <x v="4"/>
    <x v="1"/>
    <x v="140"/>
  </r>
  <r>
    <s v="PIETRUSZKIEWICZ Jakub"/>
    <x v="0"/>
    <n v="2003"/>
    <s v="MKS Kusy Szczecin"/>
    <s v="Zabrze"/>
    <s v="No"/>
    <x v="4"/>
    <x v="2"/>
    <x v="140"/>
  </r>
  <r>
    <s v="PIETRUSZKIEWICZ Jakub"/>
    <x v="0"/>
    <n v="2003"/>
    <s v="MKS Kusy Szczecin"/>
    <s v="Zabrze"/>
    <s v="No"/>
    <x v="5"/>
    <x v="0"/>
    <x v="140"/>
  </r>
  <r>
    <s v="PIETRUSZKIEWICZ Jakub"/>
    <x v="0"/>
    <n v="2003"/>
    <s v="MKS Kusy Szczecin"/>
    <s v="Zabrze"/>
    <s v="No"/>
    <x v="5"/>
    <x v="1"/>
    <x v="140"/>
  </r>
  <r>
    <s v="PIETRUSZKIEWICZ Jakub"/>
    <x v="0"/>
    <n v="2003"/>
    <s v="MKS Kusy Szczecin"/>
    <s v="Zabrze"/>
    <s v="No"/>
    <x v="5"/>
    <x v="2"/>
    <x v="140"/>
  </r>
  <r>
    <s v="PIETRUSZKIEWICZ Jakub"/>
    <x v="0"/>
    <n v="2003"/>
    <s v="MKS Kusy Szczecin"/>
    <s v="Zabrze"/>
    <s v="No"/>
    <x v="6"/>
    <x v="3"/>
    <x v="140"/>
  </r>
  <r>
    <s v="PIETRUSZKIEWICZ Jakub"/>
    <x v="0"/>
    <n v="2003"/>
    <s v="MKS Kusy Szczecin"/>
    <s v="Zabrze"/>
    <s v="No"/>
    <x v="6"/>
    <x v="4"/>
    <x v="140"/>
  </r>
  <r>
    <s v="PIETRUSZKIEWICZ Jakub"/>
    <x v="0"/>
    <n v="2003"/>
    <s v="MKS Kusy Szczecin"/>
    <s v="Zabrze"/>
    <s v="No"/>
    <x v="6"/>
    <x v="5"/>
    <x v="171"/>
  </r>
  <r>
    <s v="BIAŁOWĄS Oliwier"/>
    <x v="0"/>
    <n v="2004"/>
    <s v="CWZS Zawisza KG Bydgoszcz"/>
    <s v="Zabrze"/>
    <s v="No"/>
    <x v="0"/>
    <x v="0"/>
    <x v="160"/>
  </r>
  <r>
    <s v="BIAŁOWĄS Oliwier"/>
    <x v="0"/>
    <n v="2004"/>
    <s v="CWZS Zawisza KG Bydgoszcz"/>
    <s v="Zabrze"/>
    <s v="No"/>
    <x v="0"/>
    <x v="1"/>
    <x v="105"/>
  </r>
  <r>
    <s v="BIAŁOWĄS Oliwier"/>
    <x v="0"/>
    <n v="2004"/>
    <s v="CWZS Zawisza KG Bydgoszcz"/>
    <s v="Zabrze"/>
    <s v="No"/>
    <x v="0"/>
    <x v="2"/>
    <x v="47"/>
  </r>
  <r>
    <s v="BIAŁOWĄS Oliwier"/>
    <x v="0"/>
    <n v="2004"/>
    <s v="CWZS Zawisza KG Bydgoszcz"/>
    <s v="Zabrze"/>
    <s v="No"/>
    <x v="1"/>
    <x v="0"/>
    <x v="140"/>
  </r>
  <r>
    <s v="BIAŁOWĄS Oliwier"/>
    <x v="0"/>
    <n v="2004"/>
    <s v="CWZS Zawisza KG Bydgoszcz"/>
    <s v="Zabrze"/>
    <s v="No"/>
    <x v="1"/>
    <x v="1"/>
    <x v="140"/>
  </r>
  <r>
    <s v="BIAŁOWĄS Oliwier"/>
    <x v="0"/>
    <n v="2004"/>
    <s v="CWZS Zawisza KG Bydgoszcz"/>
    <s v="Zabrze"/>
    <s v="No"/>
    <x v="1"/>
    <x v="2"/>
    <x v="140"/>
  </r>
  <r>
    <s v="BIAŁOWĄS Oliwier"/>
    <x v="0"/>
    <n v="2004"/>
    <s v="CWZS Zawisza KG Bydgoszcz"/>
    <s v="Zabrze"/>
    <s v="No"/>
    <x v="2"/>
    <x v="0"/>
    <x v="140"/>
  </r>
  <r>
    <s v="BIAŁOWĄS Oliwier"/>
    <x v="0"/>
    <n v="2004"/>
    <s v="CWZS Zawisza KG Bydgoszcz"/>
    <s v="Zabrze"/>
    <s v="No"/>
    <x v="2"/>
    <x v="1"/>
    <x v="140"/>
  </r>
  <r>
    <s v="BIAŁOWĄS Oliwier"/>
    <x v="0"/>
    <n v="2004"/>
    <s v="CWZS Zawisza KG Bydgoszcz"/>
    <s v="Zabrze"/>
    <s v="No"/>
    <x v="2"/>
    <x v="2"/>
    <x v="140"/>
  </r>
  <r>
    <s v="BIAŁOWĄS Oliwier"/>
    <x v="0"/>
    <n v="2004"/>
    <s v="CWZS Zawisza KG Bydgoszcz"/>
    <s v="Zabrze"/>
    <s v="No"/>
    <x v="3"/>
    <x v="0"/>
    <x v="96"/>
  </r>
  <r>
    <s v="BIAŁOWĄS Oliwier"/>
    <x v="0"/>
    <n v="2004"/>
    <s v="CWZS Zawisza KG Bydgoszcz"/>
    <s v="Zabrze"/>
    <s v="No"/>
    <x v="3"/>
    <x v="1"/>
    <x v="172"/>
  </r>
  <r>
    <s v="BIAŁOWĄS Oliwier"/>
    <x v="0"/>
    <n v="2004"/>
    <s v="CWZS Zawisza KG Bydgoszcz"/>
    <s v="Zabrze"/>
    <s v="No"/>
    <x v="3"/>
    <x v="2"/>
    <x v="15"/>
  </r>
  <r>
    <s v="BIAŁOWĄS Oliwier"/>
    <x v="0"/>
    <n v="2004"/>
    <s v="CWZS Zawisza KG Bydgoszcz"/>
    <s v="Zabrze"/>
    <s v="No"/>
    <x v="4"/>
    <x v="0"/>
    <x v="140"/>
  </r>
  <r>
    <s v="BIAŁOWĄS Oliwier"/>
    <x v="0"/>
    <n v="2004"/>
    <s v="CWZS Zawisza KG Bydgoszcz"/>
    <s v="Zabrze"/>
    <s v="No"/>
    <x v="4"/>
    <x v="1"/>
    <x v="140"/>
  </r>
  <r>
    <s v="BIAŁOWĄS Oliwier"/>
    <x v="0"/>
    <n v="2004"/>
    <s v="CWZS Zawisza KG Bydgoszcz"/>
    <s v="Zabrze"/>
    <s v="No"/>
    <x v="4"/>
    <x v="2"/>
    <x v="140"/>
  </r>
  <r>
    <s v="BIAŁOWĄS Oliwier"/>
    <x v="0"/>
    <n v="2004"/>
    <s v="CWZS Zawisza KG Bydgoszcz"/>
    <s v="Zabrze"/>
    <s v="No"/>
    <x v="5"/>
    <x v="0"/>
    <x v="140"/>
  </r>
  <r>
    <s v="BIAŁOWĄS Oliwier"/>
    <x v="0"/>
    <n v="2004"/>
    <s v="CWZS Zawisza KG Bydgoszcz"/>
    <s v="Zabrze"/>
    <s v="No"/>
    <x v="5"/>
    <x v="1"/>
    <x v="140"/>
  </r>
  <r>
    <s v="BIAŁOWĄS Oliwier"/>
    <x v="0"/>
    <n v="2004"/>
    <s v="CWZS Zawisza KG Bydgoszcz"/>
    <s v="Zabrze"/>
    <s v="No"/>
    <x v="5"/>
    <x v="2"/>
    <x v="140"/>
  </r>
  <r>
    <s v="BIAŁOWĄS Oliwier"/>
    <x v="0"/>
    <n v="2004"/>
    <s v="CWZS Zawisza KG Bydgoszcz"/>
    <s v="Zabrze"/>
    <s v="No"/>
    <x v="6"/>
    <x v="3"/>
    <x v="140"/>
  </r>
  <r>
    <s v="BIAŁOWĄS Oliwier"/>
    <x v="0"/>
    <n v="2004"/>
    <s v="CWZS Zawisza KG Bydgoszcz"/>
    <s v="Zabrze"/>
    <s v="No"/>
    <x v="6"/>
    <x v="4"/>
    <x v="140"/>
  </r>
  <r>
    <s v="BIAŁOWĄS Oliwier"/>
    <x v="0"/>
    <n v="2004"/>
    <s v="CWZS Zawisza KG Bydgoszcz"/>
    <s v="Zabrze"/>
    <s v="No"/>
    <x v="6"/>
    <x v="5"/>
    <x v="173"/>
  </r>
  <r>
    <s v="KUŹMIŃSKI Bartosz"/>
    <x v="0"/>
    <n v="2004"/>
    <s v="MKS Kusy Szczecin"/>
    <s v="Zabrze"/>
    <s v="No"/>
    <x v="0"/>
    <x v="0"/>
    <x v="41"/>
  </r>
  <r>
    <s v="KUŹMIŃSKI Bartosz"/>
    <x v="0"/>
    <n v="2004"/>
    <s v="MKS Kusy Szczecin"/>
    <s v="Zabrze"/>
    <s v="No"/>
    <x v="0"/>
    <x v="1"/>
    <x v="19"/>
  </r>
  <r>
    <s v="KUŹMIŃSKI Bartosz"/>
    <x v="0"/>
    <n v="2004"/>
    <s v="MKS Kusy Szczecin"/>
    <s v="Zabrze"/>
    <s v="No"/>
    <x v="0"/>
    <x v="2"/>
    <x v="106"/>
  </r>
  <r>
    <s v="KUŹMIŃSKI Bartosz"/>
    <x v="0"/>
    <n v="2004"/>
    <s v="MKS Kusy Szczecin"/>
    <s v="Zabrze"/>
    <s v="No"/>
    <x v="1"/>
    <x v="0"/>
    <x v="140"/>
  </r>
  <r>
    <s v="KUŹMIŃSKI Bartosz"/>
    <x v="0"/>
    <n v="2004"/>
    <s v="MKS Kusy Szczecin"/>
    <s v="Zabrze"/>
    <s v="No"/>
    <x v="1"/>
    <x v="1"/>
    <x v="140"/>
  </r>
  <r>
    <s v="KUŹMIŃSKI Bartosz"/>
    <x v="0"/>
    <n v="2004"/>
    <s v="MKS Kusy Szczecin"/>
    <s v="Zabrze"/>
    <s v="No"/>
    <x v="1"/>
    <x v="2"/>
    <x v="140"/>
  </r>
  <r>
    <s v="KUŹMIŃSKI Bartosz"/>
    <x v="0"/>
    <n v="2004"/>
    <s v="MKS Kusy Szczecin"/>
    <s v="Zabrze"/>
    <s v="No"/>
    <x v="2"/>
    <x v="0"/>
    <x v="140"/>
  </r>
  <r>
    <s v="KUŹMIŃSKI Bartosz"/>
    <x v="0"/>
    <n v="2004"/>
    <s v="MKS Kusy Szczecin"/>
    <s v="Zabrze"/>
    <s v="No"/>
    <x v="2"/>
    <x v="1"/>
    <x v="140"/>
  </r>
  <r>
    <s v="KUŹMIŃSKI Bartosz"/>
    <x v="0"/>
    <n v="2004"/>
    <s v="MKS Kusy Szczecin"/>
    <s v="Zabrze"/>
    <s v="No"/>
    <x v="2"/>
    <x v="2"/>
    <x v="140"/>
  </r>
  <r>
    <s v="KUŹMIŃSKI Bartosz"/>
    <x v="0"/>
    <n v="2004"/>
    <s v="MKS Kusy Szczecin"/>
    <s v="Zabrze"/>
    <s v="No"/>
    <x v="3"/>
    <x v="0"/>
    <x v="96"/>
  </r>
  <r>
    <s v="KUŹMIŃSKI Bartosz"/>
    <x v="0"/>
    <n v="2004"/>
    <s v="MKS Kusy Szczecin"/>
    <s v="Zabrze"/>
    <s v="No"/>
    <x v="3"/>
    <x v="1"/>
    <x v="174"/>
  </r>
  <r>
    <s v="KUŹMIŃSKI Bartosz"/>
    <x v="0"/>
    <n v="2004"/>
    <s v="MKS Kusy Szczecin"/>
    <s v="Zabrze"/>
    <s v="No"/>
    <x v="3"/>
    <x v="2"/>
    <x v="118"/>
  </r>
  <r>
    <s v="KUŹMIŃSKI Bartosz"/>
    <x v="0"/>
    <n v="2004"/>
    <s v="MKS Kusy Szczecin"/>
    <s v="Zabrze"/>
    <s v="No"/>
    <x v="4"/>
    <x v="0"/>
    <x v="140"/>
  </r>
  <r>
    <s v="KUŹMIŃSKI Bartosz"/>
    <x v="0"/>
    <n v="2004"/>
    <s v="MKS Kusy Szczecin"/>
    <s v="Zabrze"/>
    <s v="No"/>
    <x v="4"/>
    <x v="1"/>
    <x v="140"/>
  </r>
  <r>
    <s v="KUŹMIŃSKI Bartosz"/>
    <x v="0"/>
    <n v="2004"/>
    <s v="MKS Kusy Szczecin"/>
    <s v="Zabrze"/>
    <s v="No"/>
    <x v="4"/>
    <x v="2"/>
    <x v="140"/>
  </r>
  <r>
    <s v="KUŹMIŃSKI Bartosz"/>
    <x v="0"/>
    <n v="2004"/>
    <s v="MKS Kusy Szczecin"/>
    <s v="Zabrze"/>
    <s v="No"/>
    <x v="5"/>
    <x v="0"/>
    <x v="140"/>
  </r>
  <r>
    <s v="KUŹMIŃSKI Bartosz"/>
    <x v="0"/>
    <n v="2004"/>
    <s v="MKS Kusy Szczecin"/>
    <s v="Zabrze"/>
    <s v="No"/>
    <x v="5"/>
    <x v="1"/>
    <x v="140"/>
  </r>
  <r>
    <s v="KUŹMIŃSKI Bartosz"/>
    <x v="0"/>
    <n v="2004"/>
    <s v="MKS Kusy Szczecin"/>
    <s v="Zabrze"/>
    <s v="No"/>
    <x v="5"/>
    <x v="2"/>
    <x v="140"/>
  </r>
  <r>
    <s v="KUŹMIŃSKI Bartosz"/>
    <x v="0"/>
    <n v="2004"/>
    <s v="MKS Kusy Szczecin"/>
    <s v="Zabrze"/>
    <s v="No"/>
    <x v="6"/>
    <x v="3"/>
    <x v="140"/>
  </r>
  <r>
    <s v="KUŹMIŃSKI Bartosz"/>
    <x v="0"/>
    <n v="2004"/>
    <s v="MKS Kusy Szczecin"/>
    <s v="Zabrze"/>
    <s v="No"/>
    <x v="6"/>
    <x v="4"/>
    <x v="140"/>
  </r>
  <r>
    <s v="KUŹMIŃSKI Bartosz"/>
    <x v="0"/>
    <n v="2004"/>
    <s v="MKS Kusy Szczecin"/>
    <s v="Zabrze"/>
    <s v="No"/>
    <x v="6"/>
    <x v="5"/>
    <x v="175"/>
  </r>
  <r>
    <s v="SIUTA Jakub"/>
    <x v="0"/>
    <n v="2000"/>
    <s v="KS AZS AWF Katowice"/>
    <s v="Zabrze"/>
    <s v="No"/>
    <x v="0"/>
    <x v="0"/>
    <x v="66"/>
  </r>
  <r>
    <s v="SIUTA Jakub"/>
    <x v="0"/>
    <n v="2000"/>
    <s v="KS AZS AWF Katowice"/>
    <s v="Zabrze"/>
    <s v="No"/>
    <x v="0"/>
    <x v="1"/>
    <x v="37"/>
  </r>
  <r>
    <s v="SIUTA Jakub"/>
    <x v="0"/>
    <n v="2000"/>
    <s v="KS AZS AWF Katowice"/>
    <s v="Zabrze"/>
    <s v="No"/>
    <x v="0"/>
    <x v="2"/>
    <x v="69"/>
  </r>
  <r>
    <s v="SIUTA Jakub"/>
    <x v="0"/>
    <n v="2000"/>
    <s v="KS AZS AWF Katowice"/>
    <s v="Zabrze"/>
    <s v="No"/>
    <x v="1"/>
    <x v="0"/>
    <x v="140"/>
  </r>
  <r>
    <s v="SIUTA Jakub"/>
    <x v="0"/>
    <n v="2000"/>
    <s v="KS AZS AWF Katowice"/>
    <s v="Zabrze"/>
    <s v="No"/>
    <x v="1"/>
    <x v="1"/>
    <x v="140"/>
  </r>
  <r>
    <s v="SIUTA Jakub"/>
    <x v="0"/>
    <n v="2000"/>
    <s v="KS AZS AWF Katowice"/>
    <s v="Zabrze"/>
    <s v="No"/>
    <x v="1"/>
    <x v="2"/>
    <x v="140"/>
  </r>
  <r>
    <s v="SIUTA Jakub"/>
    <x v="0"/>
    <n v="2000"/>
    <s v="KS AZS AWF Katowice"/>
    <s v="Zabrze"/>
    <s v="No"/>
    <x v="2"/>
    <x v="0"/>
    <x v="109"/>
  </r>
  <r>
    <s v="SIUTA Jakub"/>
    <x v="0"/>
    <n v="2000"/>
    <s v="KS AZS AWF Katowice"/>
    <s v="Zabrze"/>
    <s v="No"/>
    <x v="2"/>
    <x v="1"/>
    <x v="176"/>
  </r>
  <r>
    <s v="SIUTA Jakub"/>
    <x v="0"/>
    <n v="2000"/>
    <s v="KS AZS AWF Katowice"/>
    <s v="Zabrze"/>
    <s v="No"/>
    <x v="2"/>
    <x v="2"/>
    <x v="71"/>
  </r>
  <r>
    <s v="SIUTA Jakub"/>
    <x v="0"/>
    <n v="2000"/>
    <s v="KS AZS AWF Katowice"/>
    <s v="Zabrze"/>
    <s v="No"/>
    <x v="3"/>
    <x v="0"/>
    <x v="140"/>
  </r>
  <r>
    <s v="SIUTA Jakub"/>
    <x v="0"/>
    <n v="2000"/>
    <s v="KS AZS AWF Katowice"/>
    <s v="Zabrze"/>
    <s v="No"/>
    <x v="3"/>
    <x v="1"/>
    <x v="140"/>
  </r>
  <r>
    <s v="SIUTA Jakub"/>
    <x v="0"/>
    <n v="2000"/>
    <s v="KS AZS AWF Katowice"/>
    <s v="Zabrze"/>
    <s v="No"/>
    <x v="3"/>
    <x v="2"/>
    <x v="140"/>
  </r>
  <r>
    <s v="SIUTA Jakub"/>
    <x v="0"/>
    <n v="2000"/>
    <s v="KS AZS AWF Katowice"/>
    <s v="Zabrze"/>
    <s v="No"/>
    <x v="4"/>
    <x v="0"/>
    <x v="140"/>
  </r>
  <r>
    <s v="SIUTA Jakub"/>
    <x v="0"/>
    <n v="2000"/>
    <s v="KS AZS AWF Katowice"/>
    <s v="Zabrze"/>
    <s v="No"/>
    <x v="4"/>
    <x v="1"/>
    <x v="140"/>
  </r>
  <r>
    <s v="SIUTA Jakub"/>
    <x v="0"/>
    <n v="2000"/>
    <s v="KS AZS AWF Katowice"/>
    <s v="Zabrze"/>
    <s v="No"/>
    <x v="4"/>
    <x v="2"/>
    <x v="140"/>
  </r>
  <r>
    <s v="SIUTA Jakub"/>
    <x v="0"/>
    <n v="2000"/>
    <s v="KS AZS AWF Katowice"/>
    <s v="Zabrze"/>
    <s v="No"/>
    <x v="5"/>
    <x v="0"/>
    <x v="140"/>
  </r>
  <r>
    <s v="SIUTA Jakub"/>
    <x v="0"/>
    <n v="2000"/>
    <s v="KS AZS AWF Katowice"/>
    <s v="Zabrze"/>
    <s v="No"/>
    <x v="5"/>
    <x v="1"/>
    <x v="140"/>
  </r>
  <r>
    <s v="SIUTA Jakub"/>
    <x v="0"/>
    <n v="2000"/>
    <s v="KS AZS AWF Katowice"/>
    <s v="Zabrze"/>
    <s v="No"/>
    <x v="5"/>
    <x v="2"/>
    <x v="140"/>
  </r>
  <r>
    <s v="SIUTA Jakub"/>
    <x v="0"/>
    <n v="2000"/>
    <s v="KS AZS AWF Katowice"/>
    <s v="Zabrze"/>
    <s v="No"/>
    <x v="6"/>
    <x v="3"/>
    <x v="140"/>
  </r>
  <r>
    <s v="SIUTA Jakub"/>
    <x v="0"/>
    <n v="2000"/>
    <s v="KS AZS AWF Katowice"/>
    <s v="Zabrze"/>
    <s v="No"/>
    <x v="6"/>
    <x v="4"/>
    <x v="140"/>
  </r>
  <r>
    <s v="SIUTA Jakub"/>
    <x v="0"/>
    <n v="2000"/>
    <s v="KS AZS AWF Katowice"/>
    <s v="Zabrze"/>
    <s v="No"/>
    <x v="6"/>
    <x v="5"/>
    <x v="177"/>
  </r>
  <r>
    <s v="KLIMCZUK Paweł"/>
    <x v="0"/>
    <n v="2004"/>
    <s v="MKS Gdańsk"/>
    <s v="Zabrze"/>
    <s v="No"/>
    <x v="0"/>
    <x v="0"/>
    <x v="140"/>
  </r>
  <r>
    <s v="KLIMCZUK Paweł"/>
    <x v="0"/>
    <n v="2004"/>
    <s v="MKS Gdańsk"/>
    <s v="Zabrze"/>
    <s v="No"/>
    <x v="0"/>
    <x v="1"/>
    <x v="140"/>
  </r>
  <r>
    <s v="KLIMCZUK Paweł"/>
    <x v="0"/>
    <n v="2004"/>
    <s v="MKS Gdańsk"/>
    <s v="Zabrze"/>
    <s v="No"/>
    <x v="0"/>
    <x v="2"/>
    <x v="140"/>
  </r>
  <r>
    <s v="KLIMCZUK Paweł"/>
    <x v="0"/>
    <n v="2004"/>
    <s v="MKS Gdańsk"/>
    <s v="Zabrze"/>
    <s v="No"/>
    <x v="1"/>
    <x v="0"/>
    <x v="156"/>
  </r>
  <r>
    <s v="KLIMCZUK Paweł"/>
    <x v="0"/>
    <n v="2004"/>
    <s v="MKS Gdańsk"/>
    <s v="Zabrze"/>
    <s v="No"/>
    <x v="1"/>
    <x v="1"/>
    <x v="19"/>
  </r>
  <r>
    <s v="KLIMCZUK Paweł"/>
    <x v="0"/>
    <n v="2004"/>
    <s v="MKS Gdańsk"/>
    <s v="Zabrze"/>
    <s v="No"/>
    <x v="1"/>
    <x v="2"/>
    <x v="10"/>
  </r>
  <r>
    <s v="KLIMCZUK Paweł"/>
    <x v="0"/>
    <n v="2004"/>
    <s v="MKS Gdańsk"/>
    <s v="Zabrze"/>
    <s v="No"/>
    <x v="2"/>
    <x v="0"/>
    <x v="140"/>
  </r>
  <r>
    <s v="KLIMCZUK Paweł"/>
    <x v="0"/>
    <n v="2004"/>
    <s v="MKS Gdańsk"/>
    <s v="Zabrze"/>
    <s v="No"/>
    <x v="2"/>
    <x v="1"/>
    <x v="140"/>
  </r>
  <r>
    <s v="KLIMCZUK Paweł"/>
    <x v="0"/>
    <n v="2004"/>
    <s v="MKS Gdańsk"/>
    <s v="Zabrze"/>
    <s v="No"/>
    <x v="2"/>
    <x v="2"/>
    <x v="140"/>
  </r>
  <r>
    <s v="KLIMCZUK Paweł"/>
    <x v="0"/>
    <n v="2004"/>
    <s v="MKS Gdańsk"/>
    <s v="Zabrze"/>
    <s v="No"/>
    <x v="3"/>
    <x v="0"/>
    <x v="140"/>
  </r>
  <r>
    <s v="KLIMCZUK Paweł"/>
    <x v="0"/>
    <n v="2004"/>
    <s v="MKS Gdańsk"/>
    <s v="Zabrze"/>
    <s v="No"/>
    <x v="3"/>
    <x v="1"/>
    <x v="140"/>
  </r>
  <r>
    <s v="KLIMCZUK Paweł"/>
    <x v="0"/>
    <n v="2004"/>
    <s v="MKS Gdańsk"/>
    <s v="Zabrze"/>
    <s v="No"/>
    <x v="3"/>
    <x v="2"/>
    <x v="140"/>
  </r>
  <r>
    <s v="KLIMCZUK Paweł"/>
    <x v="0"/>
    <n v="2004"/>
    <s v="MKS Gdańsk"/>
    <s v="Zabrze"/>
    <s v="No"/>
    <x v="4"/>
    <x v="0"/>
    <x v="140"/>
  </r>
  <r>
    <s v="KLIMCZUK Paweł"/>
    <x v="0"/>
    <n v="2004"/>
    <s v="MKS Gdańsk"/>
    <s v="Zabrze"/>
    <s v="No"/>
    <x v="4"/>
    <x v="1"/>
    <x v="140"/>
  </r>
  <r>
    <s v="KLIMCZUK Paweł"/>
    <x v="0"/>
    <n v="2004"/>
    <s v="MKS Gdańsk"/>
    <s v="Zabrze"/>
    <s v="No"/>
    <x v="4"/>
    <x v="2"/>
    <x v="140"/>
  </r>
  <r>
    <s v="KLIMCZUK Paweł"/>
    <x v="0"/>
    <n v="2004"/>
    <s v="MKS Gdańsk"/>
    <s v="Zabrze"/>
    <s v="No"/>
    <x v="5"/>
    <x v="0"/>
    <x v="140"/>
  </r>
  <r>
    <s v="KLIMCZUK Paweł"/>
    <x v="0"/>
    <n v="2004"/>
    <s v="MKS Gdańsk"/>
    <s v="Zabrze"/>
    <s v="No"/>
    <x v="5"/>
    <x v="1"/>
    <x v="140"/>
  </r>
  <r>
    <s v="KLIMCZUK Paweł"/>
    <x v="0"/>
    <n v="2004"/>
    <s v="MKS Gdańsk"/>
    <s v="Zabrze"/>
    <s v="No"/>
    <x v="5"/>
    <x v="2"/>
    <x v="140"/>
  </r>
  <r>
    <s v="KLIMCZUK Paweł"/>
    <x v="0"/>
    <n v="2004"/>
    <s v="MKS Gdańsk"/>
    <s v="Zabrze"/>
    <s v="No"/>
    <x v="6"/>
    <x v="3"/>
    <x v="140"/>
  </r>
  <r>
    <s v="KLIMCZUK Paweł"/>
    <x v="0"/>
    <n v="2004"/>
    <s v="MKS Gdańsk"/>
    <s v="Zabrze"/>
    <s v="No"/>
    <x v="6"/>
    <x v="4"/>
    <x v="140"/>
  </r>
  <r>
    <s v="KLIMCZUK Paweł"/>
    <x v="0"/>
    <n v="2004"/>
    <s v="MKS Gdańsk"/>
    <s v="Zabrze"/>
    <s v="No"/>
    <x v="6"/>
    <x v="5"/>
    <x v="10"/>
  </r>
  <r>
    <s v="LEKHAC Tomasz"/>
    <x v="1"/>
    <n v="2008"/>
    <s v="CWZS Zawisza KG Bydgoszcz"/>
    <s v="Zabrze"/>
    <s v="Yes"/>
    <x v="0"/>
    <x v="0"/>
    <x v="41"/>
  </r>
  <r>
    <s v="LEKHAC Tomasz"/>
    <x v="1"/>
    <n v="2008"/>
    <s v="CWZS Zawisza KG Bydgoszcz"/>
    <s v="Zabrze"/>
    <s v="Yes"/>
    <x v="0"/>
    <x v="1"/>
    <x v="58"/>
  </r>
  <r>
    <s v="LEKHAC Tomasz"/>
    <x v="1"/>
    <n v="2008"/>
    <s v="CWZS Zawisza KG Bydgoszcz"/>
    <s v="Zabrze"/>
    <s v="Yes"/>
    <x v="0"/>
    <x v="2"/>
    <x v="161"/>
  </r>
  <r>
    <s v="LEKHAC Tomasz"/>
    <x v="1"/>
    <n v="2008"/>
    <s v="CWZS Zawisza KG Bydgoszcz"/>
    <s v="Zabrze"/>
    <s v="Yes"/>
    <x v="1"/>
    <x v="0"/>
    <x v="36"/>
  </r>
  <r>
    <s v="LEKHAC Tomasz"/>
    <x v="1"/>
    <n v="2008"/>
    <s v="CWZS Zawisza KG Bydgoszcz"/>
    <s v="Zabrze"/>
    <s v="Yes"/>
    <x v="1"/>
    <x v="1"/>
    <x v="124"/>
  </r>
  <r>
    <s v="LEKHAC Tomasz"/>
    <x v="1"/>
    <n v="2008"/>
    <s v="CWZS Zawisza KG Bydgoszcz"/>
    <s v="Zabrze"/>
    <s v="Yes"/>
    <x v="1"/>
    <x v="2"/>
    <x v="161"/>
  </r>
  <r>
    <s v="LEKHAC Tomasz"/>
    <x v="1"/>
    <n v="2008"/>
    <s v="CWZS Zawisza KG Bydgoszcz"/>
    <s v="Zabrze"/>
    <s v="Yes"/>
    <x v="2"/>
    <x v="0"/>
    <x v="109"/>
  </r>
  <r>
    <s v="LEKHAC Tomasz"/>
    <x v="1"/>
    <n v="2008"/>
    <s v="CWZS Zawisza KG Bydgoszcz"/>
    <s v="Zabrze"/>
    <s v="Yes"/>
    <x v="2"/>
    <x v="1"/>
    <x v="30"/>
  </r>
  <r>
    <s v="LEKHAC Tomasz"/>
    <x v="1"/>
    <n v="2008"/>
    <s v="CWZS Zawisza KG Bydgoszcz"/>
    <s v="Zabrze"/>
    <s v="Yes"/>
    <x v="2"/>
    <x v="2"/>
    <x v="116"/>
  </r>
  <r>
    <s v="LEKHAC Tomasz"/>
    <x v="1"/>
    <n v="2008"/>
    <s v="CWZS Zawisza KG Bydgoszcz"/>
    <s v="Zabrze"/>
    <s v="Yes"/>
    <x v="3"/>
    <x v="0"/>
    <x v="59"/>
  </r>
  <r>
    <s v="LEKHAC Tomasz"/>
    <x v="1"/>
    <n v="2008"/>
    <s v="CWZS Zawisza KG Bydgoszcz"/>
    <s v="Zabrze"/>
    <s v="Yes"/>
    <x v="3"/>
    <x v="1"/>
    <x v="174"/>
  </r>
  <r>
    <s v="LEKHAC Tomasz"/>
    <x v="1"/>
    <n v="2008"/>
    <s v="CWZS Zawisza KG Bydgoszcz"/>
    <s v="Zabrze"/>
    <s v="Yes"/>
    <x v="3"/>
    <x v="2"/>
    <x v="178"/>
  </r>
  <r>
    <s v="LEKHAC Tomasz"/>
    <x v="1"/>
    <n v="2008"/>
    <s v="CWZS Zawisza KG Bydgoszcz"/>
    <s v="Zabrze"/>
    <s v="Yes"/>
    <x v="4"/>
    <x v="0"/>
    <x v="29"/>
  </r>
  <r>
    <s v="LEKHAC Tomasz"/>
    <x v="1"/>
    <n v="2008"/>
    <s v="CWZS Zawisza KG Bydgoszcz"/>
    <s v="Zabrze"/>
    <s v="Yes"/>
    <x v="4"/>
    <x v="1"/>
    <x v="10"/>
  </r>
  <r>
    <s v="LEKHAC Tomasz"/>
    <x v="1"/>
    <n v="2008"/>
    <s v="CWZS Zawisza KG Bydgoszcz"/>
    <s v="Zabrze"/>
    <s v="Yes"/>
    <x v="4"/>
    <x v="2"/>
    <x v="126"/>
  </r>
  <r>
    <s v="LEKHAC Tomasz"/>
    <x v="1"/>
    <n v="2008"/>
    <s v="CWZS Zawisza KG Bydgoszcz"/>
    <s v="Zabrze"/>
    <s v="Yes"/>
    <x v="5"/>
    <x v="0"/>
    <x v="86"/>
  </r>
  <r>
    <s v="LEKHAC Tomasz"/>
    <x v="1"/>
    <n v="2008"/>
    <s v="CWZS Zawisza KG Bydgoszcz"/>
    <s v="Zabrze"/>
    <s v="Yes"/>
    <x v="5"/>
    <x v="1"/>
    <x v="10"/>
  </r>
  <r>
    <s v="LEKHAC Tomasz"/>
    <x v="1"/>
    <n v="2008"/>
    <s v="CWZS Zawisza KG Bydgoszcz"/>
    <s v="Zabrze"/>
    <s v="Yes"/>
    <x v="5"/>
    <x v="2"/>
    <x v="65"/>
  </r>
  <r>
    <s v="LEKHAC Tomasz"/>
    <x v="1"/>
    <n v="2008"/>
    <s v="CWZS Zawisza KG Bydgoszcz"/>
    <s v="Zabrze"/>
    <s v="Yes"/>
    <x v="6"/>
    <x v="3"/>
    <x v="179"/>
  </r>
  <r>
    <s v="LEKHAC Tomasz"/>
    <x v="1"/>
    <n v="2008"/>
    <s v="CWZS Zawisza KG Bydgoszcz"/>
    <s v="Zabrze"/>
    <s v="Yes"/>
    <x v="6"/>
    <x v="4"/>
    <x v="180"/>
  </r>
  <r>
    <s v="LEKHAC Tomasz"/>
    <x v="1"/>
    <n v="2008"/>
    <s v="CWZS Zawisza KG Bydgoszcz"/>
    <s v="Zabrze"/>
    <s v="Yes"/>
    <x v="6"/>
    <x v="5"/>
    <x v="181"/>
  </r>
  <r>
    <s v="CZARNECKI Aleksander"/>
    <x v="1"/>
    <n v="2005"/>
    <s v="MKS Kusy Szczecin"/>
    <s v="Zabrze"/>
    <s v="Yes"/>
    <x v="0"/>
    <x v="0"/>
    <x v="71"/>
  </r>
  <r>
    <s v="CZARNECKI Aleksander"/>
    <x v="1"/>
    <n v="2005"/>
    <s v="MKS Kusy Szczecin"/>
    <s v="Zabrze"/>
    <s v="Yes"/>
    <x v="0"/>
    <x v="1"/>
    <x v="1"/>
  </r>
  <r>
    <s v="CZARNECKI Aleksander"/>
    <x v="1"/>
    <n v="2005"/>
    <s v="MKS Kusy Szczecin"/>
    <s v="Zabrze"/>
    <s v="Yes"/>
    <x v="0"/>
    <x v="2"/>
    <x v="8"/>
  </r>
  <r>
    <s v="CZARNECKI Aleksander"/>
    <x v="1"/>
    <n v="2005"/>
    <s v="MKS Kusy Szczecin"/>
    <s v="Zabrze"/>
    <s v="Yes"/>
    <x v="1"/>
    <x v="0"/>
    <x v="45"/>
  </r>
  <r>
    <s v="CZARNECKI Aleksander"/>
    <x v="1"/>
    <n v="2005"/>
    <s v="MKS Kusy Szczecin"/>
    <s v="Zabrze"/>
    <s v="Yes"/>
    <x v="1"/>
    <x v="1"/>
    <x v="7"/>
  </r>
  <r>
    <s v="CZARNECKI Aleksander"/>
    <x v="1"/>
    <n v="2005"/>
    <s v="MKS Kusy Szczecin"/>
    <s v="Zabrze"/>
    <s v="Yes"/>
    <x v="1"/>
    <x v="2"/>
    <x v="158"/>
  </r>
  <r>
    <s v="CZARNECKI Aleksander"/>
    <x v="1"/>
    <n v="2005"/>
    <s v="MKS Kusy Szczecin"/>
    <s v="Zabrze"/>
    <s v="Yes"/>
    <x v="2"/>
    <x v="0"/>
    <x v="164"/>
  </r>
  <r>
    <s v="CZARNECKI Aleksander"/>
    <x v="1"/>
    <n v="2005"/>
    <s v="MKS Kusy Szczecin"/>
    <s v="Zabrze"/>
    <s v="Yes"/>
    <x v="2"/>
    <x v="1"/>
    <x v="25"/>
  </r>
  <r>
    <s v="CZARNECKI Aleksander"/>
    <x v="1"/>
    <n v="2005"/>
    <s v="MKS Kusy Szczecin"/>
    <s v="Zabrze"/>
    <s v="Yes"/>
    <x v="2"/>
    <x v="2"/>
    <x v="23"/>
  </r>
  <r>
    <s v="CZARNECKI Aleksander"/>
    <x v="1"/>
    <n v="2005"/>
    <s v="MKS Kusy Szczecin"/>
    <s v="Zabrze"/>
    <s v="Yes"/>
    <x v="3"/>
    <x v="0"/>
    <x v="41"/>
  </r>
  <r>
    <s v="CZARNECKI Aleksander"/>
    <x v="1"/>
    <n v="2005"/>
    <s v="MKS Kusy Szczecin"/>
    <s v="Zabrze"/>
    <s v="Yes"/>
    <x v="3"/>
    <x v="1"/>
    <x v="182"/>
  </r>
  <r>
    <s v="CZARNECKI Aleksander"/>
    <x v="1"/>
    <n v="2005"/>
    <s v="MKS Kusy Szczecin"/>
    <s v="Zabrze"/>
    <s v="Yes"/>
    <x v="3"/>
    <x v="2"/>
    <x v="183"/>
  </r>
  <r>
    <s v="CZARNECKI Aleksander"/>
    <x v="1"/>
    <n v="2005"/>
    <s v="MKS Kusy Szczecin"/>
    <s v="Zabrze"/>
    <s v="Yes"/>
    <x v="4"/>
    <x v="0"/>
    <x v="113"/>
  </r>
  <r>
    <s v="CZARNECKI Aleksander"/>
    <x v="1"/>
    <n v="2005"/>
    <s v="MKS Kusy Szczecin"/>
    <s v="Zabrze"/>
    <s v="Yes"/>
    <x v="4"/>
    <x v="1"/>
    <x v="7"/>
  </r>
  <r>
    <s v="CZARNECKI Aleksander"/>
    <x v="1"/>
    <n v="2005"/>
    <s v="MKS Kusy Szczecin"/>
    <s v="Zabrze"/>
    <s v="Yes"/>
    <x v="4"/>
    <x v="2"/>
    <x v="104"/>
  </r>
  <r>
    <s v="CZARNECKI Aleksander"/>
    <x v="1"/>
    <n v="2005"/>
    <s v="MKS Kusy Szczecin"/>
    <s v="Zabrze"/>
    <s v="Yes"/>
    <x v="5"/>
    <x v="0"/>
    <x v="39"/>
  </r>
  <r>
    <s v="CZARNECKI Aleksander"/>
    <x v="1"/>
    <n v="2005"/>
    <s v="MKS Kusy Szczecin"/>
    <s v="Zabrze"/>
    <s v="Yes"/>
    <x v="5"/>
    <x v="1"/>
    <x v="85"/>
  </r>
  <r>
    <s v="CZARNECKI Aleksander"/>
    <x v="1"/>
    <n v="2005"/>
    <s v="MKS Kusy Szczecin"/>
    <s v="Zabrze"/>
    <s v="Yes"/>
    <x v="5"/>
    <x v="2"/>
    <x v="184"/>
  </r>
  <r>
    <s v="CZARNECKI Aleksander"/>
    <x v="1"/>
    <n v="2005"/>
    <s v="MKS Kusy Szczecin"/>
    <s v="Zabrze"/>
    <s v="Yes"/>
    <x v="6"/>
    <x v="3"/>
    <x v="185"/>
  </r>
  <r>
    <s v="CZARNECKI Aleksander"/>
    <x v="1"/>
    <n v="2005"/>
    <s v="MKS Kusy Szczecin"/>
    <s v="Zabrze"/>
    <s v="Yes"/>
    <x v="6"/>
    <x v="4"/>
    <x v="186"/>
  </r>
  <r>
    <s v="CZARNECKI Aleksander"/>
    <x v="1"/>
    <n v="2005"/>
    <s v="MKS Kusy Szczecin"/>
    <s v="Zabrze"/>
    <s v="Yes"/>
    <x v="6"/>
    <x v="5"/>
    <x v="187"/>
  </r>
  <r>
    <s v="KWIATKOWSKI Michał"/>
    <x v="1"/>
    <n v="2005"/>
    <s v="MKS Kusy Szczecin"/>
    <s v="Zabrze"/>
    <s v="Yes"/>
    <x v="0"/>
    <x v="0"/>
    <x v="29"/>
  </r>
  <r>
    <s v="KWIATKOWSKI Michał"/>
    <x v="1"/>
    <n v="2005"/>
    <s v="MKS Kusy Szczecin"/>
    <s v="Zabrze"/>
    <s v="Yes"/>
    <x v="0"/>
    <x v="1"/>
    <x v="188"/>
  </r>
  <r>
    <s v="KWIATKOWSKI Michał"/>
    <x v="1"/>
    <n v="2005"/>
    <s v="MKS Kusy Szczecin"/>
    <s v="Zabrze"/>
    <s v="Yes"/>
    <x v="0"/>
    <x v="2"/>
    <x v="189"/>
  </r>
  <r>
    <s v="KWIATKOWSKI Michał"/>
    <x v="1"/>
    <n v="2005"/>
    <s v="MKS Kusy Szczecin"/>
    <s v="Zabrze"/>
    <s v="Yes"/>
    <x v="1"/>
    <x v="0"/>
    <x v="45"/>
  </r>
  <r>
    <s v="KWIATKOWSKI Michał"/>
    <x v="1"/>
    <n v="2005"/>
    <s v="MKS Kusy Szczecin"/>
    <s v="Zabrze"/>
    <s v="Yes"/>
    <x v="1"/>
    <x v="1"/>
    <x v="105"/>
  </r>
  <r>
    <s v="KWIATKOWSKI Michał"/>
    <x v="1"/>
    <n v="2005"/>
    <s v="MKS Kusy Szczecin"/>
    <s v="Zabrze"/>
    <s v="Yes"/>
    <x v="1"/>
    <x v="2"/>
    <x v="190"/>
  </r>
  <r>
    <s v="KWIATKOWSKI Michał"/>
    <x v="1"/>
    <n v="2005"/>
    <s v="MKS Kusy Szczecin"/>
    <s v="Zabrze"/>
    <s v="Yes"/>
    <x v="2"/>
    <x v="0"/>
    <x v="96"/>
  </r>
  <r>
    <s v="KWIATKOWSKI Michał"/>
    <x v="1"/>
    <n v="2005"/>
    <s v="MKS Kusy Szczecin"/>
    <s v="Zabrze"/>
    <s v="Yes"/>
    <x v="2"/>
    <x v="1"/>
    <x v="148"/>
  </r>
  <r>
    <s v="KWIATKOWSKI Michał"/>
    <x v="1"/>
    <n v="2005"/>
    <s v="MKS Kusy Szczecin"/>
    <s v="Zabrze"/>
    <s v="Yes"/>
    <x v="2"/>
    <x v="2"/>
    <x v="38"/>
  </r>
  <r>
    <s v="KWIATKOWSKI Michał"/>
    <x v="1"/>
    <n v="2005"/>
    <s v="MKS Kusy Szczecin"/>
    <s v="Zabrze"/>
    <s v="Yes"/>
    <x v="3"/>
    <x v="0"/>
    <x v="96"/>
  </r>
  <r>
    <s v="KWIATKOWSKI Michał"/>
    <x v="1"/>
    <n v="2005"/>
    <s v="MKS Kusy Szczecin"/>
    <s v="Zabrze"/>
    <s v="Yes"/>
    <x v="3"/>
    <x v="1"/>
    <x v="97"/>
  </r>
  <r>
    <s v="KWIATKOWSKI Michał"/>
    <x v="1"/>
    <n v="2005"/>
    <s v="MKS Kusy Szczecin"/>
    <s v="Zabrze"/>
    <s v="Yes"/>
    <x v="3"/>
    <x v="2"/>
    <x v="98"/>
  </r>
  <r>
    <s v="KWIATKOWSKI Michał"/>
    <x v="1"/>
    <n v="2005"/>
    <s v="MKS Kusy Szczecin"/>
    <s v="Zabrze"/>
    <s v="Yes"/>
    <x v="4"/>
    <x v="0"/>
    <x v="113"/>
  </r>
  <r>
    <s v="KWIATKOWSKI Michał"/>
    <x v="1"/>
    <n v="2005"/>
    <s v="MKS Kusy Szczecin"/>
    <s v="Zabrze"/>
    <s v="Yes"/>
    <x v="4"/>
    <x v="1"/>
    <x v="74"/>
  </r>
  <r>
    <s v="KWIATKOWSKI Michał"/>
    <x v="1"/>
    <n v="2005"/>
    <s v="MKS Kusy Szczecin"/>
    <s v="Zabrze"/>
    <s v="Yes"/>
    <x v="4"/>
    <x v="2"/>
    <x v="191"/>
  </r>
  <r>
    <s v="KWIATKOWSKI Michał"/>
    <x v="1"/>
    <n v="2005"/>
    <s v="MKS Kusy Szczecin"/>
    <s v="Zabrze"/>
    <s v="Yes"/>
    <x v="5"/>
    <x v="0"/>
    <x v="96"/>
  </r>
  <r>
    <s v="KWIATKOWSKI Michał"/>
    <x v="1"/>
    <n v="2005"/>
    <s v="MKS Kusy Szczecin"/>
    <s v="Zabrze"/>
    <s v="Yes"/>
    <x v="5"/>
    <x v="1"/>
    <x v="94"/>
  </r>
  <r>
    <s v="KWIATKOWSKI Michał"/>
    <x v="1"/>
    <n v="2005"/>
    <s v="MKS Kusy Szczecin"/>
    <s v="Zabrze"/>
    <s v="Yes"/>
    <x v="5"/>
    <x v="2"/>
    <x v="23"/>
  </r>
  <r>
    <s v="KWIATKOWSKI Michał"/>
    <x v="1"/>
    <n v="2005"/>
    <s v="MKS Kusy Szczecin"/>
    <s v="Zabrze"/>
    <s v="Yes"/>
    <x v="6"/>
    <x v="3"/>
    <x v="192"/>
  </r>
  <r>
    <s v="KWIATKOWSKI Michał"/>
    <x v="1"/>
    <n v="2005"/>
    <s v="MKS Kusy Szczecin"/>
    <s v="Zabrze"/>
    <s v="Yes"/>
    <x v="6"/>
    <x v="4"/>
    <x v="193"/>
  </r>
  <r>
    <s v="KWIATKOWSKI Michał"/>
    <x v="1"/>
    <n v="2005"/>
    <s v="MKS Kusy Szczecin"/>
    <s v="Zabrze"/>
    <s v="Yes"/>
    <x v="6"/>
    <x v="5"/>
    <x v="194"/>
  </r>
  <r>
    <s v="KUZDRA Christian"/>
    <x v="1"/>
    <n v="2006"/>
    <s v="MKS Gdańsk"/>
    <s v="Zabrze"/>
    <s v="Yes"/>
    <x v="0"/>
    <x v="0"/>
    <x v="73"/>
  </r>
  <r>
    <s v="KUZDRA Christian"/>
    <x v="1"/>
    <n v="2006"/>
    <s v="MKS Gdańsk"/>
    <s v="Zabrze"/>
    <s v="Yes"/>
    <x v="0"/>
    <x v="1"/>
    <x v="25"/>
  </r>
  <r>
    <s v="KUZDRA Christian"/>
    <x v="1"/>
    <n v="2006"/>
    <s v="MKS Gdańsk"/>
    <s v="Zabrze"/>
    <s v="Yes"/>
    <x v="0"/>
    <x v="2"/>
    <x v="65"/>
  </r>
  <r>
    <s v="KUZDRA Christian"/>
    <x v="1"/>
    <n v="2006"/>
    <s v="MKS Gdańsk"/>
    <s v="Zabrze"/>
    <s v="Yes"/>
    <x v="1"/>
    <x v="0"/>
    <x v="24"/>
  </r>
  <r>
    <s v="KUZDRA Christian"/>
    <x v="1"/>
    <n v="2006"/>
    <s v="MKS Gdańsk"/>
    <s v="Zabrze"/>
    <s v="Yes"/>
    <x v="1"/>
    <x v="1"/>
    <x v="142"/>
  </r>
  <r>
    <s v="KUZDRA Christian"/>
    <x v="1"/>
    <n v="2006"/>
    <s v="MKS Gdańsk"/>
    <s v="Zabrze"/>
    <s v="Yes"/>
    <x v="1"/>
    <x v="2"/>
    <x v="184"/>
  </r>
  <r>
    <s v="KUZDRA Christian"/>
    <x v="1"/>
    <n v="2006"/>
    <s v="MKS Gdańsk"/>
    <s v="Zabrze"/>
    <s v="Yes"/>
    <x v="2"/>
    <x v="0"/>
    <x v="24"/>
  </r>
  <r>
    <s v="KUZDRA Christian"/>
    <x v="1"/>
    <n v="2006"/>
    <s v="MKS Gdańsk"/>
    <s v="Zabrze"/>
    <s v="Yes"/>
    <x v="2"/>
    <x v="1"/>
    <x v="25"/>
  </r>
  <r>
    <s v="KUZDRA Christian"/>
    <x v="1"/>
    <n v="2006"/>
    <s v="MKS Gdańsk"/>
    <s v="Zabrze"/>
    <s v="Yes"/>
    <x v="2"/>
    <x v="2"/>
    <x v="15"/>
  </r>
  <r>
    <s v="KUZDRA Christian"/>
    <x v="1"/>
    <n v="2006"/>
    <s v="MKS Gdańsk"/>
    <s v="Zabrze"/>
    <s v="Yes"/>
    <x v="3"/>
    <x v="0"/>
    <x v="165"/>
  </r>
  <r>
    <s v="KUZDRA Christian"/>
    <x v="1"/>
    <n v="2006"/>
    <s v="MKS Gdańsk"/>
    <s v="Zabrze"/>
    <s v="Yes"/>
    <x v="3"/>
    <x v="1"/>
    <x v="124"/>
  </r>
  <r>
    <s v="KUZDRA Christian"/>
    <x v="1"/>
    <n v="2006"/>
    <s v="MKS Gdańsk"/>
    <s v="Zabrze"/>
    <s v="Yes"/>
    <x v="3"/>
    <x v="2"/>
    <x v="125"/>
  </r>
  <r>
    <s v="KUZDRA Christian"/>
    <x v="1"/>
    <n v="2006"/>
    <s v="MKS Gdańsk"/>
    <s v="Zabrze"/>
    <s v="Yes"/>
    <x v="4"/>
    <x v="0"/>
    <x v="73"/>
  </r>
  <r>
    <s v="KUZDRA Christian"/>
    <x v="1"/>
    <n v="2006"/>
    <s v="MKS Gdańsk"/>
    <s v="Zabrze"/>
    <s v="Yes"/>
    <x v="4"/>
    <x v="1"/>
    <x v="13"/>
  </r>
  <r>
    <s v="KUZDRA Christian"/>
    <x v="1"/>
    <n v="2006"/>
    <s v="MKS Gdańsk"/>
    <s v="Zabrze"/>
    <s v="Yes"/>
    <x v="4"/>
    <x v="2"/>
    <x v="195"/>
  </r>
  <r>
    <s v="KUZDRA Christian"/>
    <x v="1"/>
    <n v="2006"/>
    <s v="MKS Gdańsk"/>
    <s v="Zabrze"/>
    <s v="Yes"/>
    <x v="5"/>
    <x v="0"/>
    <x v="113"/>
  </r>
  <r>
    <s v="KUZDRA Christian"/>
    <x v="1"/>
    <n v="2006"/>
    <s v="MKS Gdańsk"/>
    <s v="Zabrze"/>
    <s v="Yes"/>
    <x v="5"/>
    <x v="1"/>
    <x v="81"/>
  </r>
  <r>
    <s v="KUZDRA Christian"/>
    <x v="1"/>
    <n v="2006"/>
    <s v="MKS Gdańsk"/>
    <s v="Zabrze"/>
    <s v="Yes"/>
    <x v="5"/>
    <x v="2"/>
    <x v="184"/>
  </r>
  <r>
    <s v="KUZDRA Christian"/>
    <x v="1"/>
    <n v="2006"/>
    <s v="MKS Gdańsk"/>
    <s v="Zabrze"/>
    <s v="Yes"/>
    <x v="6"/>
    <x v="3"/>
    <x v="196"/>
  </r>
  <r>
    <s v="KUZDRA Christian"/>
    <x v="1"/>
    <n v="2006"/>
    <s v="MKS Gdańsk"/>
    <s v="Zabrze"/>
    <s v="Yes"/>
    <x v="6"/>
    <x v="4"/>
    <x v="197"/>
  </r>
  <r>
    <s v="KUZDRA Christian"/>
    <x v="1"/>
    <n v="2006"/>
    <s v="MKS Gdańsk"/>
    <s v="Zabrze"/>
    <s v="Yes"/>
    <x v="6"/>
    <x v="5"/>
    <x v="198"/>
  </r>
  <r>
    <s v="KORBIEL Franciszek"/>
    <x v="1"/>
    <n v="2006"/>
    <s v="KS AZS AWF Kraków"/>
    <s v="Zabrze"/>
    <s v="Yes"/>
    <x v="0"/>
    <x v="0"/>
    <x v="66"/>
  </r>
  <r>
    <s v="KORBIEL Franciszek"/>
    <x v="1"/>
    <n v="2006"/>
    <s v="KS AZS AWF Kraków"/>
    <s v="Zabrze"/>
    <s v="Yes"/>
    <x v="0"/>
    <x v="1"/>
    <x v="199"/>
  </r>
  <r>
    <s v="KORBIEL Franciszek"/>
    <x v="1"/>
    <n v="2006"/>
    <s v="KS AZS AWF Kraków"/>
    <s v="Zabrze"/>
    <s v="Yes"/>
    <x v="0"/>
    <x v="2"/>
    <x v="95"/>
  </r>
  <r>
    <s v="KORBIEL Franciszek"/>
    <x v="1"/>
    <n v="2006"/>
    <s v="KS AZS AWF Kraków"/>
    <s v="Zabrze"/>
    <s v="Yes"/>
    <x v="1"/>
    <x v="0"/>
    <x v="71"/>
  </r>
  <r>
    <s v="KORBIEL Franciszek"/>
    <x v="1"/>
    <n v="2006"/>
    <s v="KS AZS AWF Kraków"/>
    <s v="Zabrze"/>
    <s v="Yes"/>
    <x v="1"/>
    <x v="1"/>
    <x v="85"/>
  </r>
  <r>
    <s v="KORBIEL Franciszek"/>
    <x v="1"/>
    <n v="2006"/>
    <s v="KS AZS AWF Kraków"/>
    <s v="Zabrze"/>
    <s v="Yes"/>
    <x v="1"/>
    <x v="2"/>
    <x v="38"/>
  </r>
  <r>
    <s v="KORBIEL Franciszek"/>
    <x v="1"/>
    <n v="2006"/>
    <s v="KS AZS AWF Kraków"/>
    <s v="Zabrze"/>
    <s v="Yes"/>
    <x v="2"/>
    <x v="0"/>
    <x v="39"/>
  </r>
  <r>
    <s v="KORBIEL Franciszek"/>
    <x v="1"/>
    <n v="2006"/>
    <s v="KS AZS AWF Kraków"/>
    <s v="Zabrze"/>
    <s v="Yes"/>
    <x v="2"/>
    <x v="1"/>
    <x v="135"/>
  </r>
  <r>
    <s v="KORBIEL Franciszek"/>
    <x v="1"/>
    <n v="2006"/>
    <s v="KS AZS AWF Kraków"/>
    <s v="Zabrze"/>
    <s v="Yes"/>
    <x v="2"/>
    <x v="2"/>
    <x v="23"/>
  </r>
  <r>
    <s v="KORBIEL Franciszek"/>
    <x v="1"/>
    <n v="2006"/>
    <s v="KS AZS AWF Kraków"/>
    <s v="Zabrze"/>
    <s v="Yes"/>
    <x v="3"/>
    <x v="0"/>
    <x v="96"/>
  </r>
  <r>
    <s v="KORBIEL Franciszek"/>
    <x v="1"/>
    <n v="2006"/>
    <s v="KS AZS AWF Kraków"/>
    <s v="Zabrze"/>
    <s v="Yes"/>
    <x v="3"/>
    <x v="1"/>
    <x v="152"/>
  </r>
  <r>
    <s v="KORBIEL Franciszek"/>
    <x v="1"/>
    <n v="2006"/>
    <s v="KS AZS AWF Kraków"/>
    <s v="Zabrze"/>
    <s v="Yes"/>
    <x v="3"/>
    <x v="2"/>
    <x v="65"/>
  </r>
  <r>
    <s v="KORBIEL Franciszek"/>
    <x v="1"/>
    <n v="2006"/>
    <s v="KS AZS AWF Kraków"/>
    <s v="Zabrze"/>
    <s v="Yes"/>
    <x v="4"/>
    <x v="0"/>
    <x v="156"/>
  </r>
  <r>
    <s v="KORBIEL Franciszek"/>
    <x v="1"/>
    <n v="2006"/>
    <s v="KS AZS AWF Kraków"/>
    <s v="Zabrze"/>
    <s v="Yes"/>
    <x v="4"/>
    <x v="1"/>
    <x v="135"/>
  </r>
  <r>
    <s v="KORBIEL Franciszek"/>
    <x v="1"/>
    <n v="2006"/>
    <s v="KS AZS AWF Kraków"/>
    <s v="Zabrze"/>
    <s v="Yes"/>
    <x v="4"/>
    <x v="2"/>
    <x v="93"/>
  </r>
  <r>
    <s v="KORBIEL Franciszek"/>
    <x v="1"/>
    <n v="2006"/>
    <s v="KS AZS AWF Kraków"/>
    <s v="Zabrze"/>
    <s v="Yes"/>
    <x v="5"/>
    <x v="0"/>
    <x v="39"/>
  </r>
  <r>
    <s v="KORBIEL Franciszek"/>
    <x v="1"/>
    <n v="2006"/>
    <s v="KS AZS AWF Kraków"/>
    <s v="Zabrze"/>
    <s v="Yes"/>
    <x v="5"/>
    <x v="1"/>
    <x v="144"/>
  </r>
  <r>
    <s v="KORBIEL Franciszek"/>
    <x v="1"/>
    <n v="2006"/>
    <s v="KS AZS AWF Kraków"/>
    <s v="Zabrze"/>
    <s v="Yes"/>
    <x v="5"/>
    <x v="2"/>
    <x v="145"/>
  </r>
  <r>
    <s v="KORBIEL Franciszek"/>
    <x v="1"/>
    <n v="2006"/>
    <s v="KS AZS AWF Kraków"/>
    <s v="Zabrze"/>
    <s v="Yes"/>
    <x v="6"/>
    <x v="3"/>
    <x v="200"/>
  </r>
  <r>
    <s v="KORBIEL Franciszek"/>
    <x v="1"/>
    <n v="2006"/>
    <s v="KS AZS AWF Kraków"/>
    <s v="Zabrze"/>
    <s v="Yes"/>
    <x v="6"/>
    <x v="4"/>
    <x v="201"/>
  </r>
  <r>
    <s v="KORBIEL Franciszek"/>
    <x v="1"/>
    <n v="2006"/>
    <s v="KS AZS AWF Kraków"/>
    <s v="Zabrze"/>
    <s v="Yes"/>
    <x v="6"/>
    <x v="5"/>
    <x v="202"/>
  </r>
  <r>
    <s v="KOPERSKI Filip"/>
    <x v="1"/>
    <n v="2007"/>
    <s v="KS AZS AWF Kraków"/>
    <s v="Zabrze"/>
    <s v="Yes"/>
    <x v="0"/>
    <x v="0"/>
    <x v="113"/>
  </r>
  <r>
    <s v="KOPERSKI Filip"/>
    <x v="1"/>
    <n v="2007"/>
    <s v="KS AZS AWF Kraków"/>
    <s v="Zabrze"/>
    <s v="Yes"/>
    <x v="0"/>
    <x v="1"/>
    <x v="30"/>
  </r>
  <r>
    <s v="KOPERSKI Filip"/>
    <x v="1"/>
    <n v="2007"/>
    <s v="KS AZS AWF Kraków"/>
    <s v="Zabrze"/>
    <s v="Yes"/>
    <x v="0"/>
    <x v="2"/>
    <x v="95"/>
  </r>
  <r>
    <s v="KOPERSKI Filip"/>
    <x v="1"/>
    <n v="2007"/>
    <s v="KS AZS AWF Kraków"/>
    <s v="Zabrze"/>
    <s v="Yes"/>
    <x v="1"/>
    <x v="0"/>
    <x v="164"/>
  </r>
  <r>
    <s v="KOPERSKI Filip"/>
    <x v="1"/>
    <n v="2007"/>
    <s v="KS AZS AWF Kraków"/>
    <s v="Zabrze"/>
    <s v="Yes"/>
    <x v="1"/>
    <x v="1"/>
    <x v="144"/>
  </r>
  <r>
    <s v="KOPERSKI Filip"/>
    <x v="1"/>
    <n v="2007"/>
    <s v="KS AZS AWF Kraków"/>
    <s v="Zabrze"/>
    <s v="Yes"/>
    <x v="1"/>
    <x v="2"/>
    <x v="110"/>
  </r>
  <r>
    <s v="KOPERSKI Filip"/>
    <x v="1"/>
    <n v="2007"/>
    <s v="KS AZS AWF Kraków"/>
    <s v="Zabrze"/>
    <s v="Yes"/>
    <x v="2"/>
    <x v="0"/>
    <x v="113"/>
  </r>
  <r>
    <s v="KOPERSKI Filip"/>
    <x v="1"/>
    <n v="2007"/>
    <s v="KS AZS AWF Kraków"/>
    <s v="Zabrze"/>
    <s v="Yes"/>
    <x v="2"/>
    <x v="1"/>
    <x v="30"/>
  </r>
  <r>
    <s v="KOPERSKI Filip"/>
    <x v="1"/>
    <n v="2007"/>
    <s v="KS AZS AWF Kraków"/>
    <s v="Zabrze"/>
    <s v="Yes"/>
    <x v="2"/>
    <x v="2"/>
    <x v="95"/>
  </r>
  <r>
    <s v="KOPERSKI Filip"/>
    <x v="1"/>
    <n v="2007"/>
    <s v="KS AZS AWF Kraków"/>
    <s v="Zabrze"/>
    <s v="Yes"/>
    <x v="3"/>
    <x v="0"/>
    <x v="41"/>
  </r>
  <r>
    <s v="KOPERSKI Filip"/>
    <x v="1"/>
    <n v="2007"/>
    <s v="KS AZS AWF Kraków"/>
    <s v="Zabrze"/>
    <s v="Yes"/>
    <x v="3"/>
    <x v="1"/>
    <x v="74"/>
  </r>
  <r>
    <s v="KOPERSKI Filip"/>
    <x v="1"/>
    <n v="2007"/>
    <s v="KS AZS AWF Kraków"/>
    <s v="Zabrze"/>
    <s v="Yes"/>
    <x v="3"/>
    <x v="2"/>
    <x v="158"/>
  </r>
  <r>
    <s v="KOPERSKI Filip"/>
    <x v="1"/>
    <n v="2007"/>
    <s v="KS AZS AWF Kraków"/>
    <s v="Zabrze"/>
    <s v="Yes"/>
    <x v="4"/>
    <x v="0"/>
    <x v="39"/>
  </r>
  <r>
    <s v="KOPERSKI Filip"/>
    <x v="1"/>
    <n v="2007"/>
    <s v="KS AZS AWF Kraków"/>
    <s v="Zabrze"/>
    <s v="Yes"/>
    <x v="4"/>
    <x v="1"/>
    <x v="30"/>
  </r>
  <r>
    <s v="KOPERSKI Filip"/>
    <x v="1"/>
    <n v="2007"/>
    <s v="KS AZS AWF Kraków"/>
    <s v="Zabrze"/>
    <s v="Yes"/>
    <x v="4"/>
    <x v="2"/>
    <x v="33"/>
  </r>
  <r>
    <s v="KOPERSKI Filip"/>
    <x v="1"/>
    <n v="2007"/>
    <s v="KS AZS AWF Kraków"/>
    <s v="Zabrze"/>
    <s v="Yes"/>
    <x v="5"/>
    <x v="0"/>
    <x v="86"/>
  </r>
  <r>
    <s v="KOPERSKI Filip"/>
    <x v="1"/>
    <n v="2007"/>
    <s v="KS AZS AWF Kraków"/>
    <s v="Zabrze"/>
    <s v="Yes"/>
    <x v="5"/>
    <x v="1"/>
    <x v="135"/>
  </r>
  <r>
    <s v="KOPERSKI Filip"/>
    <x v="1"/>
    <n v="2007"/>
    <s v="KS AZS AWF Kraków"/>
    <s v="Zabrze"/>
    <s v="Yes"/>
    <x v="5"/>
    <x v="2"/>
    <x v="47"/>
  </r>
  <r>
    <s v="KOPERSKI Filip"/>
    <x v="1"/>
    <n v="2007"/>
    <s v="KS AZS AWF Kraków"/>
    <s v="Zabrze"/>
    <s v="Yes"/>
    <x v="6"/>
    <x v="3"/>
    <x v="203"/>
  </r>
  <r>
    <s v="KOPERSKI Filip"/>
    <x v="1"/>
    <n v="2007"/>
    <s v="KS AZS AWF Kraków"/>
    <s v="Zabrze"/>
    <s v="Yes"/>
    <x v="6"/>
    <x v="4"/>
    <x v="204"/>
  </r>
  <r>
    <s v="KOPERSKI Filip"/>
    <x v="1"/>
    <n v="2007"/>
    <s v="KS AZS AWF Kraków"/>
    <s v="Zabrze"/>
    <s v="Yes"/>
    <x v="6"/>
    <x v="5"/>
    <x v="205"/>
  </r>
  <r>
    <s v="JANKOWSKI Dominik"/>
    <x v="1"/>
    <n v="2007"/>
    <s v="MKS Gdańsk"/>
    <s v="Zabrze"/>
    <s v="Yes"/>
    <x v="0"/>
    <x v="0"/>
    <x v="113"/>
  </r>
  <r>
    <s v="JANKOWSKI Dominik"/>
    <x v="1"/>
    <n v="2007"/>
    <s v="MKS Gdańsk"/>
    <s v="Zabrze"/>
    <s v="Yes"/>
    <x v="0"/>
    <x v="1"/>
    <x v="37"/>
  </r>
  <r>
    <s v="JANKOWSKI Dominik"/>
    <x v="1"/>
    <n v="2007"/>
    <s v="MKS Gdańsk"/>
    <s v="Zabrze"/>
    <s v="Yes"/>
    <x v="0"/>
    <x v="2"/>
    <x v="65"/>
  </r>
  <r>
    <s v="JANKOWSKI Dominik"/>
    <x v="1"/>
    <n v="2007"/>
    <s v="MKS Gdańsk"/>
    <s v="Zabrze"/>
    <s v="Yes"/>
    <x v="1"/>
    <x v="0"/>
    <x v="109"/>
  </r>
  <r>
    <s v="JANKOWSKI Dominik"/>
    <x v="1"/>
    <n v="2007"/>
    <s v="MKS Gdańsk"/>
    <s v="Zabrze"/>
    <s v="Yes"/>
    <x v="1"/>
    <x v="1"/>
    <x v="188"/>
  </r>
  <r>
    <s v="JANKOWSKI Dominik"/>
    <x v="1"/>
    <n v="2007"/>
    <s v="MKS Gdańsk"/>
    <s v="Zabrze"/>
    <s v="Yes"/>
    <x v="1"/>
    <x v="2"/>
    <x v="195"/>
  </r>
  <r>
    <s v="JANKOWSKI Dominik"/>
    <x v="1"/>
    <n v="2007"/>
    <s v="MKS Gdańsk"/>
    <s v="Zabrze"/>
    <s v="Yes"/>
    <x v="2"/>
    <x v="0"/>
    <x v="165"/>
  </r>
  <r>
    <s v="JANKOWSKI Dominik"/>
    <x v="1"/>
    <n v="2007"/>
    <s v="MKS Gdańsk"/>
    <s v="Zabrze"/>
    <s v="Yes"/>
    <x v="2"/>
    <x v="1"/>
    <x v="85"/>
  </r>
  <r>
    <s v="JANKOWSKI Dominik"/>
    <x v="1"/>
    <n v="2007"/>
    <s v="MKS Gdańsk"/>
    <s v="Zabrze"/>
    <s v="Yes"/>
    <x v="2"/>
    <x v="2"/>
    <x v="100"/>
  </r>
  <r>
    <s v="JANKOWSKI Dominik"/>
    <x v="1"/>
    <n v="2007"/>
    <s v="MKS Gdańsk"/>
    <s v="Zabrze"/>
    <s v="Yes"/>
    <x v="3"/>
    <x v="0"/>
    <x v="134"/>
  </r>
  <r>
    <s v="JANKOWSKI Dominik"/>
    <x v="1"/>
    <n v="2007"/>
    <s v="MKS Gdańsk"/>
    <s v="Zabrze"/>
    <s v="Yes"/>
    <x v="3"/>
    <x v="1"/>
    <x v="174"/>
  </r>
  <r>
    <s v="JANKOWSKI Dominik"/>
    <x v="1"/>
    <n v="2007"/>
    <s v="MKS Gdańsk"/>
    <s v="Zabrze"/>
    <s v="Yes"/>
    <x v="3"/>
    <x v="2"/>
    <x v="150"/>
  </r>
  <r>
    <s v="JANKOWSKI Dominik"/>
    <x v="1"/>
    <n v="2007"/>
    <s v="MKS Gdańsk"/>
    <s v="Zabrze"/>
    <s v="Yes"/>
    <x v="4"/>
    <x v="0"/>
    <x v="156"/>
  </r>
  <r>
    <s v="JANKOWSKI Dominik"/>
    <x v="1"/>
    <n v="2007"/>
    <s v="MKS Gdańsk"/>
    <s v="Zabrze"/>
    <s v="Yes"/>
    <x v="4"/>
    <x v="1"/>
    <x v="188"/>
  </r>
  <r>
    <s v="JANKOWSKI Dominik"/>
    <x v="1"/>
    <n v="2007"/>
    <s v="MKS Gdańsk"/>
    <s v="Zabrze"/>
    <s v="Yes"/>
    <x v="4"/>
    <x v="2"/>
    <x v="75"/>
  </r>
  <r>
    <s v="JANKOWSKI Dominik"/>
    <x v="1"/>
    <n v="2007"/>
    <s v="MKS Gdańsk"/>
    <s v="Zabrze"/>
    <s v="Yes"/>
    <x v="5"/>
    <x v="0"/>
    <x v="206"/>
  </r>
  <r>
    <s v="JANKOWSKI Dominik"/>
    <x v="1"/>
    <n v="2007"/>
    <s v="MKS Gdańsk"/>
    <s v="Zabrze"/>
    <s v="Yes"/>
    <x v="5"/>
    <x v="1"/>
    <x v="37"/>
  </r>
  <r>
    <s v="JANKOWSKI Dominik"/>
    <x v="1"/>
    <n v="2007"/>
    <s v="MKS Gdańsk"/>
    <s v="Zabrze"/>
    <s v="Yes"/>
    <x v="5"/>
    <x v="2"/>
    <x v="145"/>
  </r>
  <r>
    <s v="JANKOWSKI Dominik"/>
    <x v="1"/>
    <n v="2007"/>
    <s v="MKS Gdańsk"/>
    <s v="Zabrze"/>
    <s v="Yes"/>
    <x v="6"/>
    <x v="3"/>
    <x v="207"/>
  </r>
  <r>
    <s v="JANKOWSKI Dominik"/>
    <x v="1"/>
    <n v="2007"/>
    <s v="MKS Gdańsk"/>
    <s v="Zabrze"/>
    <s v="Yes"/>
    <x v="6"/>
    <x v="4"/>
    <x v="208"/>
  </r>
  <r>
    <s v="JANKOWSKI Dominik"/>
    <x v="1"/>
    <n v="2007"/>
    <s v="MKS Gdańsk"/>
    <s v="Zabrze"/>
    <s v="Yes"/>
    <x v="6"/>
    <x v="5"/>
    <x v="209"/>
  </r>
  <r>
    <s v="KOŁODZIEJCZYK Karol"/>
    <x v="1"/>
    <n v="2007"/>
    <s v="KS AZS AWF Kraków"/>
    <s v="Zabrze"/>
    <s v="Yes"/>
    <x v="0"/>
    <x v="0"/>
    <x v="156"/>
  </r>
  <r>
    <s v="KOŁODZIEJCZYK Karol"/>
    <x v="1"/>
    <n v="2007"/>
    <s v="KS AZS AWF Kraków"/>
    <s v="Zabrze"/>
    <s v="Yes"/>
    <x v="0"/>
    <x v="1"/>
    <x v="7"/>
  </r>
  <r>
    <s v="KOŁODZIEJCZYK Karol"/>
    <x v="1"/>
    <n v="2007"/>
    <s v="KS AZS AWF Kraków"/>
    <s v="Zabrze"/>
    <s v="Yes"/>
    <x v="0"/>
    <x v="2"/>
    <x v="210"/>
  </r>
  <r>
    <s v="KOŁODZIEJCZYK Karol"/>
    <x v="1"/>
    <n v="2007"/>
    <s v="KS AZS AWF Kraków"/>
    <s v="Zabrze"/>
    <s v="Yes"/>
    <x v="1"/>
    <x v="0"/>
    <x v="39"/>
  </r>
  <r>
    <s v="KOŁODZIEJCZYK Karol"/>
    <x v="1"/>
    <n v="2007"/>
    <s v="KS AZS AWF Kraków"/>
    <s v="Zabrze"/>
    <s v="Yes"/>
    <x v="1"/>
    <x v="1"/>
    <x v="144"/>
  </r>
  <r>
    <s v="KOŁODZIEJCZYK Karol"/>
    <x v="1"/>
    <n v="2007"/>
    <s v="KS AZS AWF Kraków"/>
    <s v="Zabrze"/>
    <s v="Yes"/>
    <x v="1"/>
    <x v="2"/>
    <x v="145"/>
  </r>
  <r>
    <s v="KOŁODZIEJCZYK Karol"/>
    <x v="1"/>
    <n v="2007"/>
    <s v="KS AZS AWF Kraków"/>
    <s v="Zabrze"/>
    <s v="Yes"/>
    <x v="2"/>
    <x v="0"/>
    <x v="146"/>
  </r>
  <r>
    <s v="KOŁODZIEJCZYK Karol"/>
    <x v="1"/>
    <n v="2007"/>
    <s v="KS AZS AWF Kraków"/>
    <s v="Zabrze"/>
    <s v="Yes"/>
    <x v="2"/>
    <x v="1"/>
    <x v="99"/>
  </r>
  <r>
    <s v="KOŁODZIEJCZYK Karol"/>
    <x v="1"/>
    <n v="2007"/>
    <s v="KS AZS AWF Kraków"/>
    <s v="Zabrze"/>
    <s v="Yes"/>
    <x v="2"/>
    <x v="2"/>
    <x v="211"/>
  </r>
  <r>
    <s v="KOŁODZIEJCZYK Karol"/>
    <x v="1"/>
    <n v="2007"/>
    <s v="KS AZS AWF Kraków"/>
    <s v="Zabrze"/>
    <s v="Yes"/>
    <x v="3"/>
    <x v="0"/>
    <x v="165"/>
  </r>
  <r>
    <s v="KOŁODZIEJCZYK Karol"/>
    <x v="1"/>
    <n v="2007"/>
    <s v="KS AZS AWF Kraków"/>
    <s v="Zabrze"/>
    <s v="Yes"/>
    <x v="3"/>
    <x v="1"/>
    <x v="124"/>
  </r>
  <r>
    <s v="KOŁODZIEJCZYK Karol"/>
    <x v="1"/>
    <n v="2007"/>
    <s v="KS AZS AWF Kraków"/>
    <s v="Zabrze"/>
    <s v="Yes"/>
    <x v="3"/>
    <x v="2"/>
    <x v="125"/>
  </r>
  <r>
    <s v="KOŁODZIEJCZYK Karol"/>
    <x v="1"/>
    <n v="2007"/>
    <s v="KS AZS AWF Kraków"/>
    <s v="Zabrze"/>
    <s v="Yes"/>
    <x v="4"/>
    <x v="0"/>
    <x v="39"/>
  </r>
  <r>
    <s v="KOŁODZIEJCZYK Karol"/>
    <x v="1"/>
    <n v="2007"/>
    <s v="KS AZS AWF Kraków"/>
    <s v="Zabrze"/>
    <s v="Yes"/>
    <x v="4"/>
    <x v="1"/>
    <x v="148"/>
  </r>
  <r>
    <s v="KOŁODZIEJCZYK Karol"/>
    <x v="1"/>
    <n v="2007"/>
    <s v="KS AZS AWF Kraków"/>
    <s v="Zabrze"/>
    <s v="Yes"/>
    <x v="4"/>
    <x v="2"/>
    <x v="15"/>
  </r>
  <r>
    <s v="KOŁODZIEJCZYK Karol"/>
    <x v="1"/>
    <n v="2007"/>
    <s v="KS AZS AWF Kraków"/>
    <s v="Zabrze"/>
    <s v="Yes"/>
    <x v="5"/>
    <x v="0"/>
    <x v="165"/>
  </r>
  <r>
    <s v="KOŁODZIEJCZYK Karol"/>
    <x v="1"/>
    <n v="2007"/>
    <s v="KS AZS AWF Kraków"/>
    <s v="Zabrze"/>
    <s v="Yes"/>
    <x v="5"/>
    <x v="1"/>
    <x v="85"/>
  </r>
  <r>
    <s v="KOŁODZIEJCZYK Karol"/>
    <x v="1"/>
    <n v="2007"/>
    <s v="KS AZS AWF Kraków"/>
    <s v="Zabrze"/>
    <s v="Yes"/>
    <x v="5"/>
    <x v="2"/>
    <x v="100"/>
  </r>
  <r>
    <s v="KOŁODZIEJCZYK Karol"/>
    <x v="1"/>
    <n v="2007"/>
    <s v="KS AZS AWF Kraków"/>
    <s v="Zabrze"/>
    <s v="Yes"/>
    <x v="6"/>
    <x v="3"/>
    <x v="177"/>
  </r>
  <r>
    <s v="KOŁODZIEJCZYK Karol"/>
    <x v="1"/>
    <n v="2007"/>
    <s v="KS AZS AWF Kraków"/>
    <s v="Zabrze"/>
    <s v="Yes"/>
    <x v="6"/>
    <x v="4"/>
    <x v="212"/>
  </r>
  <r>
    <s v="KOŁODZIEJCZYK Karol"/>
    <x v="1"/>
    <n v="2007"/>
    <s v="KS AZS AWF Kraków"/>
    <s v="Zabrze"/>
    <s v="Yes"/>
    <x v="6"/>
    <x v="5"/>
    <x v="213"/>
  </r>
  <r>
    <s v="ŻEMEŁKA Dawid"/>
    <x v="1"/>
    <n v="2006"/>
    <s v="MKS Gdańsk"/>
    <s v="Zabrze"/>
    <s v="Yes"/>
    <x v="0"/>
    <x v="0"/>
    <x v="164"/>
  </r>
  <r>
    <s v="ŻEMEŁKA Dawid"/>
    <x v="1"/>
    <n v="2006"/>
    <s v="MKS Gdańsk"/>
    <s v="Zabrze"/>
    <s v="Yes"/>
    <x v="0"/>
    <x v="1"/>
    <x v="30"/>
  </r>
  <r>
    <s v="ŻEMEŁKA Dawid"/>
    <x v="1"/>
    <n v="2006"/>
    <s v="MKS Gdańsk"/>
    <s v="Zabrze"/>
    <s v="Yes"/>
    <x v="0"/>
    <x v="2"/>
    <x v="93"/>
  </r>
  <r>
    <s v="ŻEMEŁKA Dawid"/>
    <x v="1"/>
    <n v="2006"/>
    <s v="MKS Gdańsk"/>
    <s v="Zabrze"/>
    <s v="Yes"/>
    <x v="1"/>
    <x v="0"/>
    <x v="59"/>
  </r>
  <r>
    <s v="ŻEMEŁKA Dawid"/>
    <x v="1"/>
    <n v="2006"/>
    <s v="MKS Gdańsk"/>
    <s v="Zabrze"/>
    <s v="Yes"/>
    <x v="1"/>
    <x v="1"/>
    <x v="214"/>
  </r>
  <r>
    <s v="ŻEMEŁKA Dawid"/>
    <x v="1"/>
    <n v="2006"/>
    <s v="MKS Gdańsk"/>
    <s v="Zabrze"/>
    <s v="Yes"/>
    <x v="1"/>
    <x v="2"/>
    <x v="74"/>
  </r>
  <r>
    <s v="ŻEMEŁKA Dawid"/>
    <x v="1"/>
    <n v="2006"/>
    <s v="MKS Gdańsk"/>
    <s v="Zabrze"/>
    <s v="Yes"/>
    <x v="2"/>
    <x v="0"/>
    <x v="176"/>
  </r>
  <r>
    <s v="ŻEMEŁKA Dawid"/>
    <x v="1"/>
    <n v="2006"/>
    <s v="MKS Gdańsk"/>
    <s v="Zabrze"/>
    <s v="Yes"/>
    <x v="2"/>
    <x v="1"/>
    <x v="32"/>
  </r>
  <r>
    <s v="ŻEMEŁKA Dawid"/>
    <x v="1"/>
    <n v="2006"/>
    <s v="MKS Gdańsk"/>
    <s v="Zabrze"/>
    <s v="Yes"/>
    <x v="2"/>
    <x v="2"/>
    <x v="215"/>
  </r>
  <r>
    <s v="ŻEMEŁKA Dawid"/>
    <x v="1"/>
    <n v="2006"/>
    <s v="MKS Gdańsk"/>
    <s v="Zabrze"/>
    <s v="Yes"/>
    <x v="3"/>
    <x v="0"/>
    <x v="216"/>
  </r>
  <r>
    <s v="ŻEMEŁKA Dawid"/>
    <x v="1"/>
    <n v="2006"/>
    <s v="MKS Gdańsk"/>
    <s v="Zabrze"/>
    <s v="Yes"/>
    <x v="3"/>
    <x v="1"/>
    <x v="148"/>
  </r>
  <r>
    <s v="ŻEMEŁKA Dawid"/>
    <x v="1"/>
    <n v="2006"/>
    <s v="MKS Gdańsk"/>
    <s v="Zabrze"/>
    <s v="Yes"/>
    <x v="3"/>
    <x v="2"/>
    <x v="162"/>
  </r>
  <r>
    <s v="ŻEMEŁKA Dawid"/>
    <x v="1"/>
    <n v="2006"/>
    <s v="MKS Gdańsk"/>
    <s v="Zabrze"/>
    <s v="Yes"/>
    <x v="4"/>
    <x v="0"/>
    <x v="165"/>
  </r>
  <r>
    <s v="ŻEMEŁKA Dawid"/>
    <x v="1"/>
    <n v="2006"/>
    <s v="MKS Gdańsk"/>
    <s v="Zabrze"/>
    <s v="Yes"/>
    <x v="4"/>
    <x v="1"/>
    <x v="152"/>
  </r>
  <r>
    <s v="ŻEMEŁKA Dawid"/>
    <x v="1"/>
    <n v="2006"/>
    <s v="MKS Gdańsk"/>
    <s v="Zabrze"/>
    <s v="Yes"/>
    <x v="4"/>
    <x v="2"/>
    <x v="23"/>
  </r>
  <r>
    <s v="ŻEMEŁKA Dawid"/>
    <x v="1"/>
    <n v="2006"/>
    <s v="MKS Gdańsk"/>
    <s v="Zabrze"/>
    <s v="Yes"/>
    <x v="5"/>
    <x v="0"/>
    <x v="206"/>
  </r>
  <r>
    <s v="ŻEMEŁKA Dawid"/>
    <x v="1"/>
    <n v="2006"/>
    <s v="MKS Gdańsk"/>
    <s v="Zabrze"/>
    <s v="Yes"/>
    <x v="5"/>
    <x v="1"/>
    <x v="54"/>
  </r>
  <r>
    <s v="ŻEMEŁKA Dawid"/>
    <x v="1"/>
    <n v="2006"/>
    <s v="MKS Gdańsk"/>
    <s v="Zabrze"/>
    <s v="Yes"/>
    <x v="5"/>
    <x v="2"/>
    <x v="217"/>
  </r>
  <r>
    <s v="ŻEMEŁKA Dawid"/>
    <x v="1"/>
    <n v="2006"/>
    <s v="MKS Gdańsk"/>
    <s v="Zabrze"/>
    <s v="Yes"/>
    <x v="6"/>
    <x v="3"/>
    <x v="218"/>
  </r>
  <r>
    <s v="ŻEMEŁKA Dawid"/>
    <x v="1"/>
    <n v="2006"/>
    <s v="MKS Gdańsk"/>
    <s v="Zabrze"/>
    <s v="Yes"/>
    <x v="6"/>
    <x v="4"/>
    <x v="219"/>
  </r>
  <r>
    <s v="ŻEMEŁKA Dawid"/>
    <x v="1"/>
    <n v="2006"/>
    <s v="MKS Gdańsk"/>
    <s v="Zabrze"/>
    <s v="Yes"/>
    <x v="6"/>
    <x v="5"/>
    <x v="220"/>
  </r>
  <r>
    <s v="MOSKAL Błażej"/>
    <x v="1"/>
    <n v="2006"/>
    <s v="MKS Gdańsk"/>
    <s v="Zabrze"/>
    <s v="Yes"/>
    <x v="0"/>
    <x v="0"/>
    <x v="96"/>
  </r>
  <r>
    <s v="MOSKAL Błażej"/>
    <x v="1"/>
    <n v="2006"/>
    <s v="MKS Gdańsk"/>
    <s v="Zabrze"/>
    <s v="Yes"/>
    <x v="0"/>
    <x v="1"/>
    <x v="1"/>
  </r>
  <r>
    <s v="MOSKAL Błażej"/>
    <x v="1"/>
    <n v="2006"/>
    <s v="MKS Gdańsk"/>
    <s v="Zabrze"/>
    <s v="Yes"/>
    <x v="0"/>
    <x v="2"/>
    <x v="191"/>
  </r>
  <r>
    <s v="MOSKAL Błażej"/>
    <x v="1"/>
    <n v="2006"/>
    <s v="MKS Gdańsk"/>
    <s v="Zabrze"/>
    <s v="Yes"/>
    <x v="1"/>
    <x v="0"/>
    <x v="86"/>
  </r>
  <r>
    <s v="MOSKAL Błażej"/>
    <x v="1"/>
    <n v="2006"/>
    <s v="MKS Gdańsk"/>
    <s v="Zabrze"/>
    <s v="Yes"/>
    <x v="1"/>
    <x v="1"/>
    <x v="221"/>
  </r>
  <r>
    <s v="MOSKAL Błażej"/>
    <x v="1"/>
    <n v="2006"/>
    <s v="MKS Gdańsk"/>
    <s v="Zabrze"/>
    <s v="Yes"/>
    <x v="1"/>
    <x v="2"/>
    <x v="222"/>
  </r>
  <r>
    <s v="MOSKAL Błażej"/>
    <x v="1"/>
    <n v="2006"/>
    <s v="MKS Gdańsk"/>
    <s v="Zabrze"/>
    <s v="Yes"/>
    <x v="2"/>
    <x v="0"/>
    <x v="83"/>
  </r>
  <r>
    <s v="MOSKAL Błażej"/>
    <x v="1"/>
    <n v="2006"/>
    <s v="MKS Gdańsk"/>
    <s v="Zabrze"/>
    <s v="Yes"/>
    <x v="2"/>
    <x v="1"/>
    <x v="223"/>
  </r>
  <r>
    <s v="MOSKAL Błażej"/>
    <x v="1"/>
    <n v="2006"/>
    <s v="MKS Gdańsk"/>
    <s v="Zabrze"/>
    <s v="Yes"/>
    <x v="2"/>
    <x v="2"/>
    <x v="148"/>
  </r>
  <r>
    <s v="MOSKAL Błażej"/>
    <x v="1"/>
    <n v="2006"/>
    <s v="MKS Gdańsk"/>
    <s v="Zabrze"/>
    <s v="Yes"/>
    <x v="3"/>
    <x v="0"/>
    <x v="216"/>
  </r>
  <r>
    <s v="MOSKAL Błażej"/>
    <x v="1"/>
    <n v="2006"/>
    <s v="MKS Gdańsk"/>
    <s v="Zabrze"/>
    <s v="Yes"/>
    <x v="3"/>
    <x v="1"/>
    <x v="217"/>
  </r>
  <r>
    <s v="MOSKAL Błażej"/>
    <x v="1"/>
    <n v="2006"/>
    <s v="MKS Gdańsk"/>
    <s v="Zabrze"/>
    <s v="Yes"/>
    <x v="3"/>
    <x v="2"/>
    <x v="93"/>
  </r>
  <r>
    <s v="MOSKAL Błażej"/>
    <x v="1"/>
    <n v="2006"/>
    <s v="MKS Gdańsk"/>
    <s v="Zabrze"/>
    <s v="Yes"/>
    <x v="4"/>
    <x v="0"/>
    <x v="156"/>
  </r>
  <r>
    <s v="MOSKAL Błażej"/>
    <x v="1"/>
    <n v="2006"/>
    <s v="MKS Gdańsk"/>
    <s v="Zabrze"/>
    <s v="Yes"/>
    <x v="4"/>
    <x v="1"/>
    <x v="94"/>
  </r>
  <r>
    <s v="MOSKAL Błażej"/>
    <x v="1"/>
    <n v="2006"/>
    <s v="MKS Gdańsk"/>
    <s v="Zabrze"/>
    <s v="Yes"/>
    <x v="4"/>
    <x v="2"/>
    <x v="184"/>
  </r>
  <r>
    <s v="MOSKAL Błażej"/>
    <x v="1"/>
    <n v="2006"/>
    <s v="MKS Gdańsk"/>
    <s v="Zabrze"/>
    <s v="Yes"/>
    <x v="5"/>
    <x v="0"/>
    <x v="224"/>
  </r>
  <r>
    <s v="MOSKAL Błażej"/>
    <x v="1"/>
    <n v="2006"/>
    <s v="MKS Gdańsk"/>
    <s v="Zabrze"/>
    <s v="Yes"/>
    <x v="5"/>
    <x v="1"/>
    <x v="30"/>
  </r>
  <r>
    <s v="MOSKAL Błażej"/>
    <x v="1"/>
    <n v="2006"/>
    <s v="MKS Gdańsk"/>
    <s v="Zabrze"/>
    <s v="Yes"/>
    <x v="5"/>
    <x v="2"/>
    <x v="110"/>
  </r>
  <r>
    <s v="MOSKAL Błażej"/>
    <x v="1"/>
    <n v="2006"/>
    <s v="MKS Gdańsk"/>
    <s v="Zabrze"/>
    <s v="Yes"/>
    <x v="6"/>
    <x v="3"/>
    <x v="225"/>
  </r>
  <r>
    <s v="MOSKAL Błażej"/>
    <x v="1"/>
    <n v="2006"/>
    <s v="MKS Gdańsk"/>
    <s v="Zabrze"/>
    <s v="Yes"/>
    <x v="6"/>
    <x v="4"/>
    <x v="226"/>
  </r>
  <r>
    <s v="MOSKAL Błażej"/>
    <x v="1"/>
    <n v="2006"/>
    <s v="MKS Gdańsk"/>
    <s v="Zabrze"/>
    <s v="Yes"/>
    <x v="6"/>
    <x v="5"/>
    <x v="227"/>
  </r>
  <r>
    <s v="AZUMI Vincent"/>
    <x v="1"/>
    <n v="2007"/>
    <s v="MKS Gdańsk"/>
    <s v="Zabrze"/>
    <s v="No"/>
    <x v="0"/>
    <x v="0"/>
    <x v="73"/>
  </r>
  <r>
    <s v="AZUMI Vincent"/>
    <x v="1"/>
    <n v="2007"/>
    <s v="MKS Gdańsk"/>
    <s v="Zabrze"/>
    <s v="No"/>
    <x v="0"/>
    <x v="1"/>
    <x v="199"/>
  </r>
  <r>
    <s v="AZUMI Vincent"/>
    <x v="1"/>
    <n v="2007"/>
    <s v="MKS Gdańsk"/>
    <s v="Zabrze"/>
    <s v="No"/>
    <x v="0"/>
    <x v="2"/>
    <x v="15"/>
  </r>
  <r>
    <s v="AZUMI Vincent"/>
    <x v="1"/>
    <n v="2007"/>
    <s v="MKS Gdańsk"/>
    <s v="Zabrze"/>
    <s v="No"/>
    <x v="1"/>
    <x v="0"/>
    <x v="140"/>
  </r>
  <r>
    <s v="AZUMI Vincent"/>
    <x v="1"/>
    <n v="2007"/>
    <s v="MKS Gdańsk"/>
    <s v="Zabrze"/>
    <s v="No"/>
    <x v="1"/>
    <x v="1"/>
    <x v="140"/>
  </r>
  <r>
    <s v="AZUMI Vincent"/>
    <x v="1"/>
    <n v="2007"/>
    <s v="MKS Gdańsk"/>
    <s v="Zabrze"/>
    <s v="No"/>
    <x v="1"/>
    <x v="2"/>
    <x v="140"/>
  </r>
  <r>
    <s v="AZUMI Vincent"/>
    <x v="1"/>
    <n v="2007"/>
    <s v="MKS Gdańsk"/>
    <s v="Zabrze"/>
    <s v="No"/>
    <x v="2"/>
    <x v="0"/>
    <x v="73"/>
  </r>
  <r>
    <s v="AZUMI Vincent"/>
    <x v="1"/>
    <n v="2007"/>
    <s v="MKS Gdańsk"/>
    <s v="Zabrze"/>
    <s v="No"/>
    <x v="2"/>
    <x v="1"/>
    <x v="25"/>
  </r>
  <r>
    <s v="AZUMI Vincent"/>
    <x v="1"/>
    <n v="2007"/>
    <s v="MKS Gdańsk"/>
    <s v="Zabrze"/>
    <s v="No"/>
    <x v="2"/>
    <x v="2"/>
    <x v="65"/>
  </r>
  <r>
    <s v="AZUMI Vincent"/>
    <x v="1"/>
    <n v="2007"/>
    <s v="MKS Gdańsk"/>
    <s v="Zabrze"/>
    <s v="No"/>
    <x v="3"/>
    <x v="0"/>
    <x v="140"/>
  </r>
  <r>
    <s v="AZUMI Vincent"/>
    <x v="1"/>
    <n v="2007"/>
    <s v="MKS Gdańsk"/>
    <s v="Zabrze"/>
    <s v="No"/>
    <x v="3"/>
    <x v="1"/>
    <x v="140"/>
  </r>
  <r>
    <s v="AZUMI Vincent"/>
    <x v="1"/>
    <n v="2007"/>
    <s v="MKS Gdańsk"/>
    <s v="Zabrze"/>
    <s v="No"/>
    <x v="3"/>
    <x v="2"/>
    <x v="140"/>
  </r>
  <r>
    <s v="AZUMI Vincent"/>
    <x v="1"/>
    <n v="2007"/>
    <s v="MKS Gdańsk"/>
    <s v="Zabrze"/>
    <s v="No"/>
    <x v="4"/>
    <x v="0"/>
    <x v="140"/>
  </r>
  <r>
    <s v="AZUMI Vincent"/>
    <x v="1"/>
    <n v="2007"/>
    <s v="MKS Gdańsk"/>
    <s v="Zabrze"/>
    <s v="No"/>
    <x v="4"/>
    <x v="1"/>
    <x v="140"/>
  </r>
  <r>
    <s v="AZUMI Vincent"/>
    <x v="1"/>
    <n v="2007"/>
    <s v="MKS Gdańsk"/>
    <s v="Zabrze"/>
    <s v="No"/>
    <x v="4"/>
    <x v="2"/>
    <x v="140"/>
  </r>
  <r>
    <s v="AZUMI Vincent"/>
    <x v="1"/>
    <n v="2007"/>
    <s v="MKS Gdańsk"/>
    <s v="Zabrze"/>
    <s v="No"/>
    <x v="5"/>
    <x v="0"/>
    <x v="86"/>
  </r>
  <r>
    <s v="AZUMI Vincent"/>
    <x v="1"/>
    <n v="2007"/>
    <s v="MKS Gdańsk"/>
    <s v="Zabrze"/>
    <s v="No"/>
    <x v="5"/>
    <x v="1"/>
    <x v="135"/>
  </r>
  <r>
    <s v="AZUMI Vincent"/>
    <x v="1"/>
    <n v="2007"/>
    <s v="MKS Gdańsk"/>
    <s v="Zabrze"/>
    <s v="No"/>
    <x v="5"/>
    <x v="2"/>
    <x v="47"/>
  </r>
  <r>
    <s v="AZUMI Vincent"/>
    <x v="1"/>
    <n v="2007"/>
    <s v="MKS Gdańsk"/>
    <s v="Zabrze"/>
    <s v="No"/>
    <x v="6"/>
    <x v="3"/>
    <x v="140"/>
  </r>
  <r>
    <s v="AZUMI Vincent"/>
    <x v="1"/>
    <n v="2007"/>
    <s v="MKS Gdańsk"/>
    <s v="Zabrze"/>
    <s v="No"/>
    <x v="6"/>
    <x v="4"/>
    <x v="140"/>
  </r>
  <r>
    <s v="AZUMI Vincent"/>
    <x v="1"/>
    <n v="2007"/>
    <s v="MKS Gdańsk"/>
    <s v="Zabrze"/>
    <s v="No"/>
    <x v="6"/>
    <x v="5"/>
    <x v="228"/>
  </r>
  <r>
    <s v="KUBALA Kacper"/>
    <x v="1"/>
    <n v="2006"/>
    <s v="MKS Gdańsk"/>
    <s v="Zabrze"/>
    <s v="No"/>
    <x v="0"/>
    <x v="0"/>
    <x v="140"/>
  </r>
  <r>
    <s v="KUBALA Kacper"/>
    <x v="1"/>
    <n v="2006"/>
    <s v="MKS Gdańsk"/>
    <s v="Zabrze"/>
    <s v="No"/>
    <x v="0"/>
    <x v="1"/>
    <x v="140"/>
  </r>
  <r>
    <s v="KUBALA Kacper"/>
    <x v="1"/>
    <n v="2006"/>
    <s v="MKS Gdańsk"/>
    <s v="Zabrze"/>
    <s v="No"/>
    <x v="0"/>
    <x v="2"/>
    <x v="140"/>
  </r>
  <r>
    <s v="KUBALA Kacper"/>
    <x v="1"/>
    <n v="2006"/>
    <s v="MKS Gdańsk"/>
    <s v="Zabrze"/>
    <s v="No"/>
    <x v="1"/>
    <x v="0"/>
    <x v="59"/>
  </r>
  <r>
    <s v="KUBALA Kacper"/>
    <x v="1"/>
    <n v="2006"/>
    <s v="MKS Gdańsk"/>
    <s v="Zabrze"/>
    <s v="No"/>
    <x v="1"/>
    <x v="1"/>
    <x v="223"/>
  </r>
  <r>
    <s v="KUBALA Kacper"/>
    <x v="1"/>
    <n v="2006"/>
    <s v="MKS Gdańsk"/>
    <s v="Zabrze"/>
    <s v="No"/>
    <x v="1"/>
    <x v="2"/>
    <x v="58"/>
  </r>
  <r>
    <s v="KUBALA Kacper"/>
    <x v="1"/>
    <n v="2006"/>
    <s v="MKS Gdańsk"/>
    <s v="Zabrze"/>
    <s v="No"/>
    <x v="2"/>
    <x v="0"/>
    <x v="140"/>
  </r>
  <r>
    <s v="KUBALA Kacper"/>
    <x v="1"/>
    <n v="2006"/>
    <s v="MKS Gdańsk"/>
    <s v="Zabrze"/>
    <s v="No"/>
    <x v="2"/>
    <x v="1"/>
    <x v="140"/>
  </r>
  <r>
    <s v="KUBALA Kacper"/>
    <x v="1"/>
    <n v="2006"/>
    <s v="MKS Gdańsk"/>
    <s v="Zabrze"/>
    <s v="No"/>
    <x v="2"/>
    <x v="2"/>
    <x v="140"/>
  </r>
  <r>
    <s v="KUBALA Kacper"/>
    <x v="1"/>
    <n v="2006"/>
    <s v="MKS Gdańsk"/>
    <s v="Zabrze"/>
    <s v="No"/>
    <x v="3"/>
    <x v="0"/>
    <x v="140"/>
  </r>
  <r>
    <s v="KUBALA Kacper"/>
    <x v="1"/>
    <n v="2006"/>
    <s v="MKS Gdańsk"/>
    <s v="Zabrze"/>
    <s v="No"/>
    <x v="3"/>
    <x v="1"/>
    <x v="140"/>
  </r>
  <r>
    <s v="KUBALA Kacper"/>
    <x v="1"/>
    <n v="2006"/>
    <s v="MKS Gdańsk"/>
    <s v="Zabrze"/>
    <s v="No"/>
    <x v="3"/>
    <x v="2"/>
    <x v="140"/>
  </r>
  <r>
    <s v="KUBALA Kacper"/>
    <x v="1"/>
    <n v="2006"/>
    <s v="MKS Gdańsk"/>
    <s v="Zabrze"/>
    <s v="No"/>
    <x v="4"/>
    <x v="0"/>
    <x v="156"/>
  </r>
  <r>
    <s v="KUBALA Kacper"/>
    <x v="1"/>
    <n v="2006"/>
    <s v="MKS Gdańsk"/>
    <s v="Zabrze"/>
    <s v="No"/>
    <x v="4"/>
    <x v="1"/>
    <x v="135"/>
  </r>
  <r>
    <s v="KUBALA Kacper"/>
    <x v="1"/>
    <n v="2006"/>
    <s v="MKS Gdańsk"/>
    <s v="Zabrze"/>
    <s v="No"/>
    <x v="4"/>
    <x v="2"/>
    <x v="93"/>
  </r>
  <r>
    <s v="KUBALA Kacper"/>
    <x v="1"/>
    <n v="2006"/>
    <s v="MKS Gdańsk"/>
    <s v="Zabrze"/>
    <s v="No"/>
    <x v="5"/>
    <x v="0"/>
    <x v="140"/>
  </r>
  <r>
    <s v="KUBALA Kacper"/>
    <x v="1"/>
    <n v="2006"/>
    <s v="MKS Gdańsk"/>
    <s v="Zabrze"/>
    <s v="No"/>
    <x v="5"/>
    <x v="1"/>
    <x v="140"/>
  </r>
  <r>
    <s v="KUBALA Kacper"/>
    <x v="1"/>
    <n v="2006"/>
    <s v="MKS Gdańsk"/>
    <s v="Zabrze"/>
    <s v="No"/>
    <x v="5"/>
    <x v="2"/>
    <x v="140"/>
  </r>
  <r>
    <s v="KUBALA Kacper"/>
    <x v="1"/>
    <n v="2006"/>
    <s v="MKS Gdańsk"/>
    <s v="Zabrze"/>
    <s v="No"/>
    <x v="6"/>
    <x v="3"/>
    <x v="140"/>
  </r>
  <r>
    <s v="KUBALA Kacper"/>
    <x v="1"/>
    <n v="2006"/>
    <s v="MKS Gdańsk"/>
    <s v="Zabrze"/>
    <s v="No"/>
    <x v="6"/>
    <x v="4"/>
    <x v="140"/>
  </r>
  <r>
    <s v="KUBALA Kacper"/>
    <x v="1"/>
    <n v="2006"/>
    <s v="MKS Gdańsk"/>
    <s v="Zabrze"/>
    <s v="No"/>
    <x v="6"/>
    <x v="5"/>
    <x v="229"/>
  </r>
  <r>
    <s v="RZEŹNICKI Gracjan"/>
    <x v="1"/>
    <n v="2008"/>
    <s v="KS Iskra Zabrze"/>
    <s v="Zabrze"/>
    <s v="No"/>
    <x v="0"/>
    <x v="0"/>
    <x v="140"/>
  </r>
  <r>
    <s v="RZEŹNICKI Gracjan"/>
    <x v="1"/>
    <n v="2008"/>
    <s v="KS Iskra Zabrze"/>
    <s v="Zabrze"/>
    <s v="No"/>
    <x v="0"/>
    <x v="1"/>
    <x v="140"/>
  </r>
  <r>
    <s v="RZEŹNICKI Gracjan"/>
    <x v="1"/>
    <n v="2008"/>
    <s v="KS Iskra Zabrze"/>
    <s v="Zabrze"/>
    <s v="No"/>
    <x v="0"/>
    <x v="2"/>
    <x v="140"/>
  </r>
  <r>
    <s v="RZEŹNICKI Gracjan"/>
    <x v="1"/>
    <n v="2008"/>
    <s v="KS Iskra Zabrze"/>
    <s v="Zabrze"/>
    <s v="No"/>
    <x v="1"/>
    <x v="0"/>
    <x v="140"/>
  </r>
  <r>
    <s v="RZEŹNICKI Gracjan"/>
    <x v="1"/>
    <n v="2008"/>
    <s v="KS Iskra Zabrze"/>
    <s v="Zabrze"/>
    <s v="No"/>
    <x v="1"/>
    <x v="1"/>
    <x v="140"/>
  </r>
  <r>
    <s v="RZEŹNICKI Gracjan"/>
    <x v="1"/>
    <n v="2008"/>
    <s v="KS Iskra Zabrze"/>
    <s v="Zabrze"/>
    <s v="No"/>
    <x v="1"/>
    <x v="2"/>
    <x v="140"/>
  </r>
  <r>
    <s v="RZEŹNICKI Gracjan"/>
    <x v="1"/>
    <n v="2008"/>
    <s v="KS Iskra Zabrze"/>
    <s v="Zabrze"/>
    <s v="No"/>
    <x v="2"/>
    <x v="0"/>
    <x v="140"/>
  </r>
  <r>
    <s v="RZEŹNICKI Gracjan"/>
    <x v="1"/>
    <n v="2008"/>
    <s v="KS Iskra Zabrze"/>
    <s v="Zabrze"/>
    <s v="No"/>
    <x v="2"/>
    <x v="1"/>
    <x v="140"/>
  </r>
  <r>
    <s v="RZEŹNICKI Gracjan"/>
    <x v="1"/>
    <n v="2008"/>
    <s v="KS Iskra Zabrze"/>
    <s v="Zabrze"/>
    <s v="No"/>
    <x v="2"/>
    <x v="2"/>
    <x v="140"/>
  </r>
  <r>
    <s v="RZEŹNICKI Gracjan"/>
    <x v="1"/>
    <n v="2008"/>
    <s v="KS Iskra Zabrze"/>
    <s v="Zabrze"/>
    <s v="No"/>
    <x v="3"/>
    <x v="0"/>
    <x v="216"/>
  </r>
  <r>
    <s v="RZEŹNICKI Gracjan"/>
    <x v="1"/>
    <n v="2008"/>
    <s v="KS Iskra Zabrze"/>
    <s v="Zabrze"/>
    <s v="No"/>
    <x v="3"/>
    <x v="1"/>
    <x v="199"/>
  </r>
  <r>
    <s v="RZEŹNICKI Gracjan"/>
    <x v="1"/>
    <n v="2008"/>
    <s v="KS Iskra Zabrze"/>
    <s v="Zabrze"/>
    <s v="No"/>
    <x v="3"/>
    <x v="2"/>
    <x v="230"/>
  </r>
  <r>
    <s v="RZEŹNICKI Gracjan"/>
    <x v="1"/>
    <n v="2008"/>
    <s v="KS Iskra Zabrze"/>
    <s v="Zabrze"/>
    <s v="No"/>
    <x v="4"/>
    <x v="0"/>
    <x v="140"/>
  </r>
  <r>
    <s v="RZEŹNICKI Gracjan"/>
    <x v="1"/>
    <n v="2008"/>
    <s v="KS Iskra Zabrze"/>
    <s v="Zabrze"/>
    <s v="No"/>
    <x v="4"/>
    <x v="1"/>
    <x v="140"/>
  </r>
  <r>
    <s v="RZEŹNICKI Gracjan"/>
    <x v="1"/>
    <n v="2008"/>
    <s v="KS Iskra Zabrze"/>
    <s v="Zabrze"/>
    <s v="No"/>
    <x v="4"/>
    <x v="2"/>
    <x v="140"/>
  </r>
  <r>
    <s v="RZEŹNICKI Gracjan"/>
    <x v="1"/>
    <n v="2008"/>
    <s v="KS Iskra Zabrze"/>
    <s v="Zabrze"/>
    <s v="No"/>
    <x v="5"/>
    <x v="0"/>
    <x v="140"/>
  </r>
  <r>
    <s v="RZEŹNICKI Gracjan"/>
    <x v="1"/>
    <n v="2008"/>
    <s v="KS Iskra Zabrze"/>
    <s v="Zabrze"/>
    <s v="No"/>
    <x v="5"/>
    <x v="1"/>
    <x v="140"/>
  </r>
  <r>
    <s v="RZEŹNICKI Gracjan"/>
    <x v="1"/>
    <n v="2008"/>
    <s v="KS Iskra Zabrze"/>
    <s v="Zabrze"/>
    <s v="No"/>
    <x v="5"/>
    <x v="2"/>
    <x v="140"/>
  </r>
  <r>
    <s v="RZEŹNICKI Gracjan"/>
    <x v="1"/>
    <n v="2008"/>
    <s v="KS Iskra Zabrze"/>
    <s v="Zabrze"/>
    <s v="No"/>
    <x v="6"/>
    <x v="3"/>
    <x v="140"/>
  </r>
  <r>
    <s v="RZEŹNICKI Gracjan"/>
    <x v="1"/>
    <n v="2008"/>
    <s v="KS Iskra Zabrze"/>
    <s v="Zabrze"/>
    <s v="No"/>
    <x v="6"/>
    <x v="4"/>
    <x v="140"/>
  </r>
  <r>
    <s v="RZEŹNICKI Gracjan"/>
    <x v="1"/>
    <n v="2008"/>
    <s v="KS Iskra Zabrze"/>
    <s v="Zabrze"/>
    <s v="No"/>
    <x v="6"/>
    <x v="5"/>
    <x v="230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19">
  <r>
    <s v="SASNAL Filip"/>
    <x v="0"/>
    <n v="1997"/>
    <s v="KS AZS AWF Kraków"/>
    <s v="Yes"/>
    <x v="0"/>
    <x v="0"/>
    <x v="0"/>
  </r>
  <r>
    <s v="SASNAL Filip"/>
    <x v="0"/>
    <n v="1997"/>
    <s v="KS AZS AWF Kraków"/>
    <s v="Yes"/>
    <x v="0"/>
    <x v="1"/>
    <x v="1"/>
  </r>
  <r>
    <s v="SASNAL Filip"/>
    <x v="0"/>
    <n v="1997"/>
    <s v="KS AZS AWF Kraków"/>
    <s v="Yes"/>
    <x v="0"/>
    <x v="2"/>
    <x v="2"/>
  </r>
  <r>
    <s v="SASNAL Filip"/>
    <x v="0"/>
    <n v="1997"/>
    <s v="KS AZS AWF Kraków"/>
    <s v="Yes"/>
    <x v="1"/>
    <x v="0"/>
    <x v="3"/>
  </r>
  <r>
    <s v="SASNAL Filip"/>
    <x v="0"/>
    <n v="1997"/>
    <s v="KS AZS AWF Kraków"/>
    <s v="Yes"/>
    <x v="1"/>
    <x v="1"/>
    <x v="4"/>
  </r>
  <r>
    <s v="SASNAL Filip"/>
    <x v="0"/>
    <n v="1997"/>
    <s v="KS AZS AWF Kraków"/>
    <s v="Yes"/>
    <x v="1"/>
    <x v="2"/>
    <x v="5"/>
  </r>
  <r>
    <s v="SASNAL Filip"/>
    <x v="0"/>
    <n v="1997"/>
    <s v="KS AZS AWF Kraków"/>
    <s v="Yes"/>
    <x v="2"/>
    <x v="0"/>
    <x v="6"/>
  </r>
  <r>
    <s v="SASNAL Filip"/>
    <x v="0"/>
    <n v="1997"/>
    <s v="KS AZS AWF Kraków"/>
    <s v="Yes"/>
    <x v="2"/>
    <x v="1"/>
    <x v="7"/>
  </r>
  <r>
    <s v="SASNAL Filip"/>
    <x v="0"/>
    <n v="1997"/>
    <s v="KS AZS AWF Kraków"/>
    <s v="Yes"/>
    <x v="2"/>
    <x v="2"/>
    <x v="8"/>
  </r>
  <r>
    <s v="SASNAL Filip"/>
    <x v="0"/>
    <n v="1997"/>
    <s v="KS AZS AWF Kraków"/>
    <s v="Yes"/>
    <x v="3"/>
    <x v="0"/>
    <x v="9"/>
  </r>
  <r>
    <s v="SASNAL Filip"/>
    <x v="0"/>
    <n v="1997"/>
    <s v="KS AZS AWF Kraków"/>
    <s v="Yes"/>
    <x v="3"/>
    <x v="1"/>
    <x v="10"/>
  </r>
  <r>
    <s v="SASNAL Filip"/>
    <x v="0"/>
    <n v="1997"/>
    <s v="KS AZS AWF Kraków"/>
    <s v="Yes"/>
    <x v="3"/>
    <x v="2"/>
    <x v="2"/>
  </r>
  <r>
    <s v="SASNAL Filip"/>
    <x v="0"/>
    <n v="1997"/>
    <s v="KS AZS AWF Kraków"/>
    <s v="Yes"/>
    <x v="4"/>
    <x v="0"/>
    <x v="11"/>
  </r>
  <r>
    <s v="SASNAL Filip"/>
    <x v="0"/>
    <n v="1997"/>
    <s v="KS AZS AWF Kraków"/>
    <s v="Yes"/>
    <x v="4"/>
    <x v="1"/>
    <x v="12"/>
  </r>
  <r>
    <s v="SASNAL Filip"/>
    <x v="0"/>
    <n v="1997"/>
    <s v="KS AZS AWF Kraków"/>
    <s v="Yes"/>
    <x v="4"/>
    <x v="2"/>
    <x v="13"/>
  </r>
  <r>
    <s v="SASNAL Filip"/>
    <x v="0"/>
    <n v="1997"/>
    <s v="KS AZS AWF Kraków"/>
    <s v="Yes"/>
    <x v="5"/>
    <x v="0"/>
    <x v="3"/>
  </r>
  <r>
    <s v="SASNAL Filip"/>
    <x v="0"/>
    <n v="1997"/>
    <s v="KS AZS AWF Kraków"/>
    <s v="Yes"/>
    <x v="5"/>
    <x v="1"/>
    <x v="14"/>
  </r>
  <r>
    <s v="SASNAL Filip"/>
    <x v="0"/>
    <n v="1997"/>
    <s v="KS AZS AWF Kraków"/>
    <s v="Yes"/>
    <x v="5"/>
    <x v="2"/>
    <x v="15"/>
  </r>
  <r>
    <s v="SASNAL Filip"/>
    <x v="0"/>
    <n v="1997"/>
    <s v="KS AZS AWF Kraków"/>
    <s v="Yes"/>
    <x v="6"/>
    <x v="3"/>
    <x v="16"/>
  </r>
  <r>
    <s v="SASNAL Filip"/>
    <x v="0"/>
    <n v="1997"/>
    <s v="KS AZS AWF Kraków"/>
    <s v="Yes"/>
    <x v="6"/>
    <x v="4"/>
    <x v="17"/>
  </r>
  <r>
    <s v="SASNAL Filip"/>
    <x v="0"/>
    <n v="1997"/>
    <s v="KS AZS AWF Kraków"/>
    <s v="Yes"/>
    <x v="6"/>
    <x v="5"/>
    <x v="18"/>
  </r>
  <r>
    <s v="GARNCZAREK Kacper"/>
    <x v="0"/>
    <n v="2002"/>
    <s v="KS AZS AWF Katowice"/>
    <s v="Yes"/>
    <x v="0"/>
    <x v="0"/>
    <x v="19"/>
  </r>
  <r>
    <s v="GARNCZAREK Kacper"/>
    <x v="0"/>
    <n v="2002"/>
    <s v="KS AZS AWF Katowice"/>
    <s v="Yes"/>
    <x v="0"/>
    <x v="1"/>
    <x v="20"/>
  </r>
  <r>
    <s v="GARNCZAREK Kacper"/>
    <x v="0"/>
    <n v="2002"/>
    <s v="KS AZS AWF Katowice"/>
    <s v="Yes"/>
    <x v="0"/>
    <x v="2"/>
    <x v="21"/>
  </r>
  <r>
    <s v="GARNCZAREK Kacper"/>
    <x v="0"/>
    <n v="2002"/>
    <s v="KS AZS AWF Katowice"/>
    <s v="Yes"/>
    <x v="1"/>
    <x v="0"/>
    <x v="9"/>
  </r>
  <r>
    <s v="GARNCZAREK Kacper"/>
    <x v="0"/>
    <n v="2002"/>
    <s v="KS AZS AWF Katowice"/>
    <s v="Yes"/>
    <x v="1"/>
    <x v="1"/>
    <x v="22"/>
  </r>
  <r>
    <s v="GARNCZAREK Kacper"/>
    <x v="0"/>
    <n v="2002"/>
    <s v="KS AZS AWF Katowice"/>
    <s v="Yes"/>
    <x v="1"/>
    <x v="2"/>
    <x v="23"/>
  </r>
  <r>
    <s v="GARNCZAREK Kacper"/>
    <x v="0"/>
    <n v="2002"/>
    <s v="KS AZS AWF Katowice"/>
    <s v="Yes"/>
    <x v="2"/>
    <x v="0"/>
    <x v="24"/>
  </r>
  <r>
    <s v="GARNCZAREK Kacper"/>
    <x v="0"/>
    <n v="2002"/>
    <s v="KS AZS AWF Katowice"/>
    <s v="Yes"/>
    <x v="2"/>
    <x v="1"/>
    <x v="25"/>
  </r>
  <r>
    <s v="GARNCZAREK Kacper"/>
    <x v="0"/>
    <n v="2002"/>
    <s v="KS AZS AWF Katowice"/>
    <s v="Yes"/>
    <x v="2"/>
    <x v="2"/>
    <x v="26"/>
  </r>
  <r>
    <s v="GARNCZAREK Kacper"/>
    <x v="0"/>
    <n v="2002"/>
    <s v="KS AZS AWF Katowice"/>
    <s v="Yes"/>
    <x v="3"/>
    <x v="0"/>
    <x v="3"/>
  </r>
  <r>
    <s v="GARNCZAREK Kacper"/>
    <x v="0"/>
    <n v="2002"/>
    <s v="KS AZS AWF Katowice"/>
    <s v="Yes"/>
    <x v="3"/>
    <x v="1"/>
    <x v="27"/>
  </r>
  <r>
    <s v="GARNCZAREK Kacper"/>
    <x v="0"/>
    <n v="2002"/>
    <s v="KS AZS AWF Katowice"/>
    <s v="Yes"/>
    <x v="3"/>
    <x v="2"/>
    <x v="28"/>
  </r>
  <r>
    <s v="GARNCZAREK Kacper"/>
    <x v="0"/>
    <n v="2002"/>
    <s v="KS AZS AWF Katowice"/>
    <s v="Yes"/>
    <x v="4"/>
    <x v="0"/>
    <x v="19"/>
  </r>
  <r>
    <s v="GARNCZAREK Kacper"/>
    <x v="0"/>
    <n v="2002"/>
    <s v="KS AZS AWF Katowice"/>
    <s v="Yes"/>
    <x v="4"/>
    <x v="1"/>
    <x v="29"/>
  </r>
  <r>
    <s v="GARNCZAREK Kacper"/>
    <x v="0"/>
    <n v="2002"/>
    <s v="KS AZS AWF Katowice"/>
    <s v="Yes"/>
    <x v="4"/>
    <x v="2"/>
    <x v="30"/>
  </r>
  <r>
    <s v="GARNCZAREK Kacper"/>
    <x v="0"/>
    <n v="2002"/>
    <s v="KS AZS AWF Katowice"/>
    <s v="Yes"/>
    <x v="5"/>
    <x v="0"/>
    <x v="31"/>
  </r>
  <r>
    <s v="GARNCZAREK Kacper"/>
    <x v="0"/>
    <n v="2002"/>
    <s v="KS AZS AWF Katowice"/>
    <s v="Yes"/>
    <x v="5"/>
    <x v="1"/>
    <x v="32"/>
  </r>
  <r>
    <s v="GARNCZAREK Kacper"/>
    <x v="0"/>
    <n v="2002"/>
    <s v="KS AZS AWF Katowice"/>
    <s v="Yes"/>
    <x v="5"/>
    <x v="2"/>
    <x v="33"/>
  </r>
  <r>
    <s v="GARNCZAREK Kacper"/>
    <x v="0"/>
    <n v="2002"/>
    <s v="KS AZS AWF Katowice"/>
    <s v="Yes"/>
    <x v="6"/>
    <x v="3"/>
    <x v="34"/>
  </r>
  <r>
    <s v="GARNCZAREK Kacper"/>
    <x v="0"/>
    <n v="2002"/>
    <s v="KS AZS AWF Katowice"/>
    <s v="Yes"/>
    <x v="6"/>
    <x v="4"/>
    <x v="35"/>
  </r>
  <r>
    <s v="GARNCZAREK Kacper"/>
    <x v="0"/>
    <n v="2002"/>
    <s v="KS AZS AWF Katowice"/>
    <s v="Yes"/>
    <x v="6"/>
    <x v="5"/>
    <x v="18"/>
  </r>
  <r>
    <s v="KUROWSKI Jakub"/>
    <x v="0"/>
    <n v="2004"/>
    <s v="MKS Kusy Szczecin"/>
    <s v="Yes"/>
    <x v="0"/>
    <x v="0"/>
    <x v="36"/>
  </r>
  <r>
    <s v="KUROWSKI Jakub"/>
    <x v="0"/>
    <n v="2004"/>
    <s v="MKS Kusy Szczecin"/>
    <s v="Yes"/>
    <x v="0"/>
    <x v="1"/>
    <x v="37"/>
  </r>
  <r>
    <s v="KUROWSKI Jakub"/>
    <x v="0"/>
    <n v="2004"/>
    <s v="MKS Kusy Szczecin"/>
    <s v="Yes"/>
    <x v="0"/>
    <x v="2"/>
    <x v="38"/>
  </r>
  <r>
    <s v="KUROWSKI Jakub"/>
    <x v="0"/>
    <n v="2004"/>
    <s v="MKS Kusy Szczecin"/>
    <s v="Yes"/>
    <x v="1"/>
    <x v="0"/>
    <x v="39"/>
  </r>
  <r>
    <s v="KUROWSKI Jakub"/>
    <x v="0"/>
    <n v="2004"/>
    <s v="MKS Kusy Szczecin"/>
    <s v="Yes"/>
    <x v="1"/>
    <x v="1"/>
    <x v="37"/>
  </r>
  <r>
    <s v="KUROWSKI Jakub"/>
    <x v="0"/>
    <n v="2004"/>
    <s v="MKS Kusy Szczecin"/>
    <s v="Yes"/>
    <x v="1"/>
    <x v="2"/>
    <x v="40"/>
  </r>
  <r>
    <s v="KUROWSKI Jakub"/>
    <x v="0"/>
    <n v="2004"/>
    <s v="MKS Kusy Szczecin"/>
    <s v="Yes"/>
    <x v="2"/>
    <x v="0"/>
    <x v="39"/>
  </r>
  <r>
    <s v="KUROWSKI Jakub"/>
    <x v="0"/>
    <n v="2004"/>
    <s v="MKS Kusy Szczecin"/>
    <s v="Yes"/>
    <x v="2"/>
    <x v="1"/>
    <x v="41"/>
  </r>
  <r>
    <s v="KUROWSKI Jakub"/>
    <x v="0"/>
    <n v="2004"/>
    <s v="MKS Kusy Szczecin"/>
    <s v="Yes"/>
    <x v="2"/>
    <x v="2"/>
    <x v="42"/>
  </r>
  <r>
    <s v="KUROWSKI Jakub"/>
    <x v="0"/>
    <n v="2004"/>
    <s v="MKS Kusy Szczecin"/>
    <s v="Yes"/>
    <x v="3"/>
    <x v="0"/>
    <x v="43"/>
  </r>
  <r>
    <s v="KUROWSKI Jakub"/>
    <x v="0"/>
    <n v="2004"/>
    <s v="MKS Kusy Szczecin"/>
    <s v="Yes"/>
    <x v="3"/>
    <x v="1"/>
    <x v="44"/>
  </r>
  <r>
    <s v="KUROWSKI Jakub"/>
    <x v="0"/>
    <n v="2004"/>
    <s v="MKS Kusy Szczecin"/>
    <s v="Yes"/>
    <x v="3"/>
    <x v="2"/>
    <x v="45"/>
  </r>
  <r>
    <s v="KUROWSKI Jakub"/>
    <x v="0"/>
    <n v="2004"/>
    <s v="MKS Kusy Szczecin"/>
    <s v="Yes"/>
    <x v="4"/>
    <x v="0"/>
    <x v="46"/>
  </r>
  <r>
    <s v="KUROWSKI Jakub"/>
    <x v="0"/>
    <n v="2004"/>
    <s v="MKS Kusy Szczecin"/>
    <s v="Yes"/>
    <x v="4"/>
    <x v="1"/>
    <x v="47"/>
  </r>
  <r>
    <s v="KUROWSKI Jakub"/>
    <x v="0"/>
    <n v="2004"/>
    <s v="MKS Kusy Szczecin"/>
    <s v="Yes"/>
    <x v="4"/>
    <x v="2"/>
    <x v="8"/>
  </r>
  <r>
    <s v="KUROWSKI Jakub"/>
    <x v="0"/>
    <n v="2004"/>
    <s v="MKS Kusy Szczecin"/>
    <s v="Yes"/>
    <x v="5"/>
    <x v="0"/>
    <x v="48"/>
  </r>
  <r>
    <s v="KUROWSKI Jakub"/>
    <x v="0"/>
    <n v="2004"/>
    <s v="MKS Kusy Szczecin"/>
    <s v="Yes"/>
    <x v="5"/>
    <x v="1"/>
    <x v="49"/>
  </r>
  <r>
    <s v="KUROWSKI Jakub"/>
    <x v="0"/>
    <n v="2004"/>
    <s v="MKS Kusy Szczecin"/>
    <s v="Yes"/>
    <x v="5"/>
    <x v="2"/>
    <x v="50"/>
  </r>
  <r>
    <s v="KUROWSKI Jakub"/>
    <x v="0"/>
    <n v="2004"/>
    <s v="MKS Kusy Szczecin"/>
    <s v="Yes"/>
    <x v="6"/>
    <x v="3"/>
    <x v="51"/>
  </r>
  <r>
    <s v="KUROWSKI Jakub"/>
    <x v="0"/>
    <n v="2004"/>
    <s v="MKS Kusy Szczecin"/>
    <s v="Yes"/>
    <x v="6"/>
    <x v="4"/>
    <x v="52"/>
  </r>
  <r>
    <s v="KUROWSKI Jakub"/>
    <x v="0"/>
    <n v="2004"/>
    <s v="MKS Kusy Szczecin"/>
    <s v="Yes"/>
    <x v="6"/>
    <x v="5"/>
    <x v="53"/>
  </r>
  <r>
    <s v="LUKIANIENKO Illia"/>
    <x v="0"/>
    <n v="2000"/>
    <s v="MKS Kusy Szczecin"/>
    <s v="Yes"/>
    <x v="0"/>
    <x v="0"/>
    <x v="54"/>
  </r>
  <r>
    <s v="LUKIANIENKO Illia"/>
    <x v="0"/>
    <n v="2000"/>
    <s v="MKS Kusy Szczecin"/>
    <s v="Yes"/>
    <x v="0"/>
    <x v="1"/>
    <x v="22"/>
  </r>
  <r>
    <s v="LUKIANIENKO Illia"/>
    <x v="0"/>
    <n v="2000"/>
    <s v="MKS Kusy Szczecin"/>
    <s v="Yes"/>
    <x v="0"/>
    <x v="2"/>
    <x v="38"/>
  </r>
  <r>
    <s v="LUKIANIENKO Illia"/>
    <x v="0"/>
    <n v="2000"/>
    <s v="MKS Kusy Szczecin"/>
    <s v="Yes"/>
    <x v="1"/>
    <x v="0"/>
    <x v="31"/>
  </r>
  <r>
    <s v="LUKIANIENKO Illia"/>
    <x v="0"/>
    <n v="2000"/>
    <s v="MKS Kusy Szczecin"/>
    <s v="Yes"/>
    <x v="1"/>
    <x v="1"/>
    <x v="22"/>
  </r>
  <r>
    <s v="LUKIANIENKO Illia"/>
    <x v="0"/>
    <n v="2000"/>
    <s v="MKS Kusy Szczecin"/>
    <s v="Yes"/>
    <x v="1"/>
    <x v="2"/>
    <x v="55"/>
  </r>
  <r>
    <s v="LUKIANIENKO Illia"/>
    <x v="0"/>
    <n v="2000"/>
    <s v="MKS Kusy Szczecin"/>
    <s v="Yes"/>
    <x v="2"/>
    <x v="0"/>
    <x v="43"/>
  </r>
  <r>
    <s v="LUKIANIENKO Illia"/>
    <x v="0"/>
    <n v="2000"/>
    <s v="MKS Kusy Szczecin"/>
    <s v="Yes"/>
    <x v="2"/>
    <x v="1"/>
    <x v="1"/>
  </r>
  <r>
    <s v="LUKIANIENKO Illia"/>
    <x v="0"/>
    <n v="2000"/>
    <s v="MKS Kusy Szczecin"/>
    <s v="Yes"/>
    <x v="2"/>
    <x v="2"/>
    <x v="56"/>
  </r>
  <r>
    <s v="LUKIANIENKO Illia"/>
    <x v="0"/>
    <n v="2000"/>
    <s v="MKS Kusy Szczecin"/>
    <s v="Yes"/>
    <x v="3"/>
    <x v="0"/>
    <x v="43"/>
  </r>
  <r>
    <s v="LUKIANIENKO Illia"/>
    <x v="0"/>
    <n v="2000"/>
    <s v="MKS Kusy Szczecin"/>
    <s v="Yes"/>
    <x v="3"/>
    <x v="1"/>
    <x v="57"/>
  </r>
  <r>
    <s v="LUKIANIENKO Illia"/>
    <x v="0"/>
    <n v="2000"/>
    <s v="MKS Kusy Szczecin"/>
    <s v="Yes"/>
    <x v="3"/>
    <x v="2"/>
    <x v="58"/>
  </r>
  <r>
    <s v="LUKIANIENKO Illia"/>
    <x v="0"/>
    <n v="2000"/>
    <s v="MKS Kusy Szczecin"/>
    <s v="Yes"/>
    <x v="4"/>
    <x v="0"/>
    <x v="6"/>
  </r>
  <r>
    <s v="LUKIANIENKO Illia"/>
    <x v="0"/>
    <n v="2000"/>
    <s v="MKS Kusy Szczecin"/>
    <s v="Yes"/>
    <x v="4"/>
    <x v="1"/>
    <x v="59"/>
  </r>
  <r>
    <s v="LUKIANIENKO Illia"/>
    <x v="0"/>
    <n v="2000"/>
    <s v="MKS Kusy Szczecin"/>
    <s v="Yes"/>
    <x v="4"/>
    <x v="2"/>
    <x v="5"/>
  </r>
  <r>
    <s v="LUKIANIENKO Illia"/>
    <x v="0"/>
    <n v="2000"/>
    <s v="MKS Kusy Szczecin"/>
    <s v="Yes"/>
    <x v="5"/>
    <x v="0"/>
    <x v="60"/>
  </r>
  <r>
    <s v="LUKIANIENKO Illia"/>
    <x v="0"/>
    <n v="2000"/>
    <s v="MKS Kusy Szczecin"/>
    <s v="Yes"/>
    <x v="5"/>
    <x v="1"/>
    <x v="32"/>
  </r>
  <r>
    <s v="LUKIANIENKO Illia"/>
    <x v="0"/>
    <n v="2000"/>
    <s v="MKS Kusy Szczecin"/>
    <s v="Yes"/>
    <x v="5"/>
    <x v="2"/>
    <x v="61"/>
  </r>
  <r>
    <s v="LUKIANIENKO Illia"/>
    <x v="0"/>
    <n v="2000"/>
    <s v="MKS Kusy Szczecin"/>
    <s v="Yes"/>
    <x v="6"/>
    <x v="3"/>
    <x v="62"/>
  </r>
  <r>
    <s v="LUKIANIENKO Illia"/>
    <x v="0"/>
    <n v="2000"/>
    <s v="MKS Kusy Szczecin"/>
    <s v="Yes"/>
    <x v="6"/>
    <x v="4"/>
    <x v="63"/>
  </r>
  <r>
    <s v="LUKIANIENKO Illia"/>
    <x v="0"/>
    <n v="2000"/>
    <s v="MKS Kusy Szczecin"/>
    <s v="Yes"/>
    <x v="6"/>
    <x v="5"/>
    <x v="64"/>
  </r>
  <r>
    <s v="GAWROŃSKI Sebastian"/>
    <x v="0"/>
    <n v="1996"/>
    <s v="KS AZS AWF Katowice"/>
    <s v="Yes"/>
    <x v="0"/>
    <x v="0"/>
    <x v="65"/>
  </r>
  <r>
    <s v="GAWROŃSKI Sebastian"/>
    <x v="0"/>
    <n v="1996"/>
    <s v="KS AZS AWF Katowice"/>
    <s v="Yes"/>
    <x v="0"/>
    <x v="1"/>
    <x v="66"/>
  </r>
  <r>
    <s v="GAWROŃSKI Sebastian"/>
    <x v="0"/>
    <n v="1996"/>
    <s v="KS AZS AWF Katowice"/>
    <s v="Yes"/>
    <x v="0"/>
    <x v="2"/>
    <x v="67"/>
  </r>
  <r>
    <s v="GAWROŃSKI Sebastian"/>
    <x v="0"/>
    <n v="1996"/>
    <s v="KS AZS AWF Katowice"/>
    <s v="Yes"/>
    <x v="1"/>
    <x v="0"/>
    <x v="11"/>
  </r>
  <r>
    <s v="GAWROŃSKI Sebastian"/>
    <x v="0"/>
    <n v="1996"/>
    <s v="KS AZS AWF Katowice"/>
    <s v="Yes"/>
    <x v="1"/>
    <x v="1"/>
    <x v="68"/>
  </r>
  <r>
    <s v="GAWROŃSKI Sebastian"/>
    <x v="0"/>
    <n v="1996"/>
    <s v="KS AZS AWF Katowice"/>
    <s v="Yes"/>
    <x v="1"/>
    <x v="2"/>
    <x v="69"/>
  </r>
  <r>
    <s v="GAWROŃSKI Sebastian"/>
    <x v="0"/>
    <n v="1996"/>
    <s v="KS AZS AWF Katowice"/>
    <s v="Yes"/>
    <x v="2"/>
    <x v="0"/>
    <x v="70"/>
  </r>
  <r>
    <s v="GAWROŃSKI Sebastian"/>
    <x v="0"/>
    <n v="1996"/>
    <s v="KS AZS AWF Katowice"/>
    <s v="Yes"/>
    <x v="2"/>
    <x v="1"/>
    <x v="25"/>
  </r>
  <r>
    <s v="GAWROŃSKI Sebastian"/>
    <x v="0"/>
    <n v="1996"/>
    <s v="KS AZS AWF Katowice"/>
    <s v="Yes"/>
    <x v="2"/>
    <x v="2"/>
    <x v="71"/>
  </r>
  <r>
    <s v="GAWROŃSKI Sebastian"/>
    <x v="0"/>
    <n v="1996"/>
    <s v="KS AZS AWF Katowice"/>
    <s v="Yes"/>
    <x v="3"/>
    <x v="0"/>
    <x v="9"/>
  </r>
  <r>
    <s v="GAWROŃSKI Sebastian"/>
    <x v="0"/>
    <n v="1996"/>
    <s v="KS AZS AWF Katowice"/>
    <s v="Yes"/>
    <x v="3"/>
    <x v="1"/>
    <x v="25"/>
  </r>
  <r>
    <s v="GAWROŃSKI Sebastian"/>
    <x v="0"/>
    <n v="1996"/>
    <s v="KS AZS AWF Katowice"/>
    <s v="Yes"/>
    <x v="3"/>
    <x v="2"/>
    <x v="58"/>
  </r>
  <r>
    <s v="GAWROŃSKI Sebastian"/>
    <x v="0"/>
    <n v="1996"/>
    <s v="KS AZS AWF Katowice"/>
    <s v="Yes"/>
    <x v="4"/>
    <x v="0"/>
    <x v="36"/>
  </r>
  <r>
    <s v="GAWROŃSKI Sebastian"/>
    <x v="0"/>
    <n v="1996"/>
    <s v="KS AZS AWF Katowice"/>
    <s v="Yes"/>
    <x v="4"/>
    <x v="1"/>
    <x v="72"/>
  </r>
  <r>
    <s v="GAWROŃSKI Sebastian"/>
    <x v="0"/>
    <n v="1996"/>
    <s v="KS AZS AWF Katowice"/>
    <s v="Yes"/>
    <x v="4"/>
    <x v="2"/>
    <x v="73"/>
  </r>
  <r>
    <s v="GAWROŃSKI Sebastian"/>
    <x v="0"/>
    <n v="1996"/>
    <s v="KS AZS AWF Katowice"/>
    <s v="Yes"/>
    <x v="5"/>
    <x v="0"/>
    <x v="31"/>
  </r>
  <r>
    <s v="GAWROŃSKI Sebastian"/>
    <x v="0"/>
    <n v="1996"/>
    <s v="KS AZS AWF Katowice"/>
    <s v="Yes"/>
    <x v="5"/>
    <x v="1"/>
    <x v="74"/>
  </r>
  <r>
    <s v="GAWROŃSKI Sebastian"/>
    <x v="0"/>
    <n v="1996"/>
    <s v="KS AZS AWF Katowice"/>
    <s v="Yes"/>
    <x v="5"/>
    <x v="2"/>
    <x v="75"/>
  </r>
  <r>
    <s v="GAWROŃSKI Sebastian"/>
    <x v="0"/>
    <n v="1996"/>
    <s v="KS AZS AWF Katowice"/>
    <s v="Yes"/>
    <x v="6"/>
    <x v="3"/>
    <x v="34"/>
  </r>
  <r>
    <s v="GAWROŃSKI Sebastian"/>
    <x v="0"/>
    <n v="1996"/>
    <s v="KS AZS AWF Katowice"/>
    <s v="Yes"/>
    <x v="6"/>
    <x v="4"/>
    <x v="76"/>
  </r>
  <r>
    <s v="GAWROŃSKI Sebastian"/>
    <x v="0"/>
    <n v="1996"/>
    <s v="KS AZS AWF Katowice"/>
    <s v="Yes"/>
    <x v="6"/>
    <x v="5"/>
    <x v="77"/>
  </r>
  <r>
    <s v="KAŚKÓW Paweł"/>
    <x v="0"/>
    <n v="2000"/>
    <s v="KS AZS AWFiS Gdańsk"/>
    <s v="Yes"/>
    <x v="0"/>
    <x v="0"/>
    <x v="60"/>
  </r>
  <r>
    <s v="KAŚKÓW Paweł"/>
    <x v="0"/>
    <n v="2000"/>
    <s v="KS AZS AWFiS Gdańsk"/>
    <s v="Yes"/>
    <x v="0"/>
    <x v="1"/>
    <x v="59"/>
  </r>
  <r>
    <s v="KAŚKÓW Paweł"/>
    <x v="0"/>
    <n v="2000"/>
    <s v="KS AZS AWFiS Gdańsk"/>
    <s v="Yes"/>
    <x v="0"/>
    <x v="2"/>
    <x v="78"/>
  </r>
  <r>
    <s v="KAŚKÓW Paweł"/>
    <x v="0"/>
    <n v="2000"/>
    <s v="KS AZS AWFiS Gdańsk"/>
    <s v="Yes"/>
    <x v="1"/>
    <x v="0"/>
    <x v="3"/>
  </r>
  <r>
    <s v="KAŚKÓW Paweł"/>
    <x v="0"/>
    <n v="2000"/>
    <s v="KS AZS AWFiS Gdańsk"/>
    <s v="Yes"/>
    <x v="1"/>
    <x v="1"/>
    <x v="79"/>
  </r>
  <r>
    <s v="KAŚKÓW Paweł"/>
    <x v="0"/>
    <n v="2000"/>
    <s v="KS AZS AWFiS Gdańsk"/>
    <s v="Yes"/>
    <x v="1"/>
    <x v="2"/>
    <x v="80"/>
  </r>
  <r>
    <s v="KAŚKÓW Paweł"/>
    <x v="0"/>
    <n v="2000"/>
    <s v="KS AZS AWFiS Gdańsk"/>
    <s v="Yes"/>
    <x v="2"/>
    <x v="0"/>
    <x v="39"/>
  </r>
  <r>
    <s v="KAŚKÓW Paweł"/>
    <x v="0"/>
    <n v="2000"/>
    <s v="KS AZS AWFiS Gdańsk"/>
    <s v="Yes"/>
    <x v="2"/>
    <x v="1"/>
    <x v="81"/>
  </r>
  <r>
    <s v="KAŚKÓW Paweł"/>
    <x v="0"/>
    <n v="2000"/>
    <s v="KS AZS AWFiS Gdańsk"/>
    <s v="Yes"/>
    <x v="2"/>
    <x v="2"/>
    <x v="8"/>
  </r>
  <r>
    <s v="KAŚKÓW Paweł"/>
    <x v="0"/>
    <n v="2000"/>
    <s v="KS AZS AWFiS Gdańsk"/>
    <s v="Yes"/>
    <x v="3"/>
    <x v="0"/>
    <x v="43"/>
  </r>
  <r>
    <s v="KAŚKÓW Paweł"/>
    <x v="0"/>
    <n v="2000"/>
    <s v="KS AZS AWFiS Gdańsk"/>
    <s v="Yes"/>
    <x v="3"/>
    <x v="1"/>
    <x v="27"/>
  </r>
  <r>
    <s v="KAŚKÓW Paweł"/>
    <x v="0"/>
    <n v="2000"/>
    <s v="KS AZS AWFiS Gdańsk"/>
    <s v="Yes"/>
    <x v="3"/>
    <x v="2"/>
    <x v="82"/>
  </r>
  <r>
    <s v="KAŚKÓW Paweł"/>
    <x v="0"/>
    <n v="2000"/>
    <s v="KS AZS AWFiS Gdańsk"/>
    <s v="Yes"/>
    <x v="4"/>
    <x v="0"/>
    <x v="43"/>
  </r>
  <r>
    <s v="KAŚKÓW Paweł"/>
    <x v="0"/>
    <n v="2000"/>
    <s v="KS AZS AWFiS Gdańsk"/>
    <s v="Yes"/>
    <x v="4"/>
    <x v="1"/>
    <x v="83"/>
  </r>
  <r>
    <s v="KAŚKÓW Paweł"/>
    <x v="0"/>
    <n v="2000"/>
    <s v="KS AZS AWFiS Gdańsk"/>
    <s v="Yes"/>
    <x v="4"/>
    <x v="2"/>
    <x v="55"/>
  </r>
  <r>
    <s v="KAŚKÓW Paweł"/>
    <x v="0"/>
    <n v="2000"/>
    <s v="KS AZS AWFiS Gdańsk"/>
    <s v="Yes"/>
    <x v="5"/>
    <x v="0"/>
    <x v="43"/>
  </r>
  <r>
    <s v="KAŚKÓW Paweł"/>
    <x v="0"/>
    <n v="2000"/>
    <s v="KS AZS AWFiS Gdańsk"/>
    <s v="Yes"/>
    <x v="5"/>
    <x v="1"/>
    <x v="10"/>
  </r>
  <r>
    <s v="KAŚKÓW Paweł"/>
    <x v="0"/>
    <n v="2000"/>
    <s v="KS AZS AWFiS Gdańsk"/>
    <s v="Yes"/>
    <x v="5"/>
    <x v="2"/>
    <x v="84"/>
  </r>
  <r>
    <s v="KAŚKÓW Paweł"/>
    <x v="0"/>
    <n v="2000"/>
    <s v="KS AZS AWFiS Gdańsk"/>
    <s v="Yes"/>
    <x v="6"/>
    <x v="3"/>
    <x v="85"/>
  </r>
  <r>
    <s v="KAŚKÓW Paweł"/>
    <x v="0"/>
    <n v="2000"/>
    <s v="KS AZS AWFiS Gdańsk"/>
    <s v="Yes"/>
    <x v="6"/>
    <x v="4"/>
    <x v="86"/>
  </r>
  <r>
    <s v="KAŚKÓW Paweł"/>
    <x v="0"/>
    <n v="2000"/>
    <s v="KS AZS AWFiS Gdańsk"/>
    <s v="Yes"/>
    <x v="6"/>
    <x v="5"/>
    <x v="87"/>
  </r>
  <r>
    <s v="LAKHIN Yaroslav"/>
    <x v="0"/>
    <n v="2003"/>
    <s v="CWZS Zawisza KG Bydgoszcz"/>
    <s v="Yes"/>
    <x v="0"/>
    <x v="0"/>
    <x v="88"/>
  </r>
  <r>
    <s v="LAKHIN Yaroslav"/>
    <x v="0"/>
    <n v="2003"/>
    <s v="CWZS Zawisza KG Bydgoszcz"/>
    <s v="Yes"/>
    <x v="0"/>
    <x v="1"/>
    <x v="89"/>
  </r>
  <r>
    <s v="LAKHIN Yaroslav"/>
    <x v="0"/>
    <n v="2003"/>
    <s v="CWZS Zawisza KG Bydgoszcz"/>
    <s v="Yes"/>
    <x v="0"/>
    <x v="2"/>
    <x v="40"/>
  </r>
  <r>
    <s v="LAKHIN Yaroslav"/>
    <x v="0"/>
    <n v="2003"/>
    <s v="CWZS Zawisza KG Bydgoszcz"/>
    <s v="Yes"/>
    <x v="1"/>
    <x v="0"/>
    <x v="11"/>
  </r>
  <r>
    <s v="LAKHIN Yaroslav"/>
    <x v="0"/>
    <n v="2003"/>
    <s v="CWZS Zawisza KG Bydgoszcz"/>
    <s v="Yes"/>
    <x v="1"/>
    <x v="1"/>
    <x v="90"/>
  </r>
  <r>
    <s v="LAKHIN Yaroslav"/>
    <x v="0"/>
    <n v="2003"/>
    <s v="CWZS Zawisza KG Bydgoszcz"/>
    <s v="Yes"/>
    <x v="1"/>
    <x v="2"/>
    <x v="91"/>
  </r>
  <r>
    <s v="LAKHIN Yaroslav"/>
    <x v="0"/>
    <n v="2003"/>
    <s v="CWZS Zawisza KG Bydgoszcz"/>
    <s v="Yes"/>
    <x v="2"/>
    <x v="0"/>
    <x v="46"/>
  </r>
  <r>
    <s v="LAKHIN Yaroslav"/>
    <x v="0"/>
    <n v="2003"/>
    <s v="CWZS Zawisza KG Bydgoszcz"/>
    <s v="Yes"/>
    <x v="2"/>
    <x v="1"/>
    <x v="22"/>
  </r>
  <r>
    <s v="LAKHIN Yaroslav"/>
    <x v="0"/>
    <n v="2003"/>
    <s v="CWZS Zawisza KG Bydgoszcz"/>
    <s v="Yes"/>
    <x v="2"/>
    <x v="2"/>
    <x v="92"/>
  </r>
  <r>
    <s v="LAKHIN Yaroslav"/>
    <x v="0"/>
    <n v="2003"/>
    <s v="CWZS Zawisza KG Bydgoszcz"/>
    <s v="Yes"/>
    <x v="3"/>
    <x v="0"/>
    <x v="93"/>
  </r>
  <r>
    <s v="LAKHIN Yaroslav"/>
    <x v="0"/>
    <n v="2003"/>
    <s v="CWZS Zawisza KG Bydgoszcz"/>
    <s v="Yes"/>
    <x v="3"/>
    <x v="1"/>
    <x v="94"/>
  </r>
  <r>
    <s v="LAKHIN Yaroslav"/>
    <x v="0"/>
    <n v="2003"/>
    <s v="CWZS Zawisza KG Bydgoszcz"/>
    <s v="Yes"/>
    <x v="3"/>
    <x v="2"/>
    <x v="95"/>
  </r>
  <r>
    <s v="LAKHIN Yaroslav"/>
    <x v="0"/>
    <n v="2003"/>
    <s v="CWZS Zawisza KG Bydgoszcz"/>
    <s v="Yes"/>
    <x v="4"/>
    <x v="0"/>
    <x v="96"/>
  </r>
  <r>
    <s v="LAKHIN Yaroslav"/>
    <x v="0"/>
    <n v="2003"/>
    <s v="CWZS Zawisza KG Bydgoszcz"/>
    <s v="Yes"/>
    <x v="4"/>
    <x v="1"/>
    <x v="97"/>
  </r>
  <r>
    <s v="LAKHIN Yaroslav"/>
    <x v="0"/>
    <n v="2003"/>
    <s v="CWZS Zawisza KG Bydgoszcz"/>
    <s v="Yes"/>
    <x v="4"/>
    <x v="2"/>
    <x v="98"/>
  </r>
  <r>
    <s v="LAKHIN Yaroslav"/>
    <x v="0"/>
    <n v="2003"/>
    <s v="CWZS Zawisza KG Bydgoszcz"/>
    <s v="Yes"/>
    <x v="5"/>
    <x v="0"/>
    <x v="99"/>
  </r>
  <r>
    <s v="LAKHIN Yaroslav"/>
    <x v="0"/>
    <n v="2003"/>
    <s v="CWZS Zawisza KG Bydgoszcz"/>
    <s v="Yes"/>
    <x v="5"/>
    <x v="1"/>
    <x v="32"/>
  </r>
  <r>
    <s v="LAKHIN Yaroslav"/>
    <x v="0"/>
    <n v="2003"/>
    <s v="CWZS Zawisza KG Bydgoszcz"/>
    <s v="Yes"/>
    <x v="5"/>
    <x v="2"/>
    <x v="100"/>
  </r>
  <r>
    <s v="LAKHIN Yaroslav"/>
    <x v="0"/>
    <n v="2003"/>
    <s v="CWZS Zawisza KG Bydgoszcz"/>
    <s v="Yes"/>
    <x v="6"/>
    <x v="3"/>
    <x v="101"/>
  </r>
  <r>
    <s v="LAKHIN Yaroslav"/>
    <x v="0"/>
    <n v="2003"/>
    <s v="CWZS Zawisza KG Bydgoszcz"/>
    <s v="Yes"/>
    <x v="6"/>
    <x v="4"/>
    <x v="102"/>
  </r>
  <r>
    <s v="LAKHIN Yaroslav"/>
    <x v="0"/>
    <n v="2003"/>
    <s v="CWZS Zawisza KG Bydgoszcz"/>
    <s v="Yes"/>
    <x v="6"/>
    <x v="5"/>
    <x v="103"/>
  </r>
  <r>
    <s v="BRACKI Borys"/>
    <x v="0"/>
    <n v="2004"/>
    <s v="KS AZS AWF Katowice"/>
    <s v="Yes"/>
    <x v="0"/>
    <x v="0"/>
    <x v="104"/>
  </r>
  <r>
    <s v="BRACKI Borys"/>
    <x v="0"/>
    <n v="2004"/>
    <s v="KS AZS AWF Katowice"/>
    <s v="Yes"/>
    <x v="0"/>
    <x v="1"/>
    <x v="14"/>
  </r>
  <r>
    <s v="BRACKI Borys"/>
    <x v="0"/>
    <n v="2004"/>
    <s v="KS AZS AWF Katowice"/>
    <s v="Yes"/>
    <x v="0"/>
    <x v="2"/>
    <x v="105"/>
  </r>
  <r>
    <s v="BRACKI Borys"/>
    <x v="0"/>
    <n v="2004"/>
    <s v="KS AZS AWF Katowice"/>
    <s v="Yes"/>
    <x v="1"/>
    <x v="0"/>
    <x v="104"/>
  </r>
  <r>
    <s v="BRACKI Borys"/>
    <x v="0"/>
    <n v="2004"/>
    <s v="KS AZS AWF Katowice"/>
    <s v="Yes"/>
    <x v="1"/>
    <x v="1"/>
    <x v="37"/>
  </r>
  <r>
    <s v="BRACKI Borys"/>
    <x v="0"/>
    <n v="2004"/>
    <s v="KS AZS AWF Katowice"/>
    <s v="Yes"/>
    <x v="1"/>
    <x v="2"/>
    <x v="80"/>
  </r>
  <r>
    <s v="BRACKI Borys"/>
    <x v="0"/>
    <n v="2004"/>
    <s v="KS AZS AWF Katowice"/>
    <s v="Yes"/>
    <x v="2"/>
    <x v="0"/>
    <x v="88"/>
  </r>
  <r>
    <s v="BRACKI Borys"/>
    <x v="0"/>
    <n v="2004"/>
    <s v="KS AZS AWF Katowice"/>
    <s v="Yes"/>
    <x v="2"/>
    <x v="1"/>
    <x v="106"/>
  </r>
  <r>
    <s v="BRACKI Borys"/>
    <x v="0"/>
    <n v="2004"/>
    <s v="KS AZS AWF Katowice"/>
    <s v="Yes"/>
    <x v="2"/>
    <x v="2"/>
    <x v="107"/>
  </r>
  <r>
    <s v="BRACKI Borys"/>
    <x v="0"/>
    <n v="2004"/>
    <s v="KS AZS AWF Katowice"/>
    <s v="Yes"/>
    <x v="3"/>
    <x v="0"/>
    <x v="43"/>
  </r>
  <r>
    <s v="BRACKI Borys"/>
    <x v="0"/>
    <n v="2004"/>
    <s v="KS AZS AWF Katowice"/>
    <s v="Yes"/>
    <x v="3"/>
    <x v="1"/>
    <x v="108"/>
  </r>
  <r>
    <s v="BRACKI Borys"/>
    <x v="0"/>
    <n v="2004"/>
    <s v="KS AZS AWF Katowice"/>
    <s v="Yes"/>
    <x v="3"/>
    <x v="2"/>
    <x v="109"/>
  </r>
  <r>
    <s v="BRACKI Borys"/>
    <x v="0"/>
    <n v="2004"/>
    <s v="KS AZS AWF Katowice"/>
    <s v="Yes"/>
    <x v="4"/>
    <x v="0"/>
    <x v="43"/>
  </r>
  <r>
    <s v="BRACKI Borys"/>
    <x v="0"/>
    <n v="2004"/>
    <s v="KS AZS AWF Katowice"/>
    <s v="Yes"/>
    <x v="4"/>
    <x v="1"/>
    <x v="110"/>
  </r>
  <r>
    <s v="BRACKI Borys"/>
    <x v="0"/>
    <n v="2004"/>
    <s v="KS AZS AWF Katowice"/>
    <s v="Yes"/>
    <x v="4"/>
    <x v="2"/>
    <x v="111"/>
  </r>
  <r>
    <s v="BRACKI Borys"/>
    <x v="0"/>
    <n v="2004"/>
    <s v="KS AZS AWF Katowice"/>
    <s v="Yes"/>
    <x v="5"/>
    <x v="0"/>
    <x v="99"/>
  </r>
  <r>
    <s v="BRACKI Borys"/>
    <x v="0"/>
    <n v="2004"/>
    <s v="KS AZS AWF Katowice"/>
    <s v="Yes"/>
    <x v="5"/>
    <x v="1"/>
    <x v="79"/>
  </r>
  <r>
    <s v="BRACKI Borys"/>
    <x v="0"/>
    <n v="2004"/>
    <s v="KS AZS AWF Katowice"/>
    <s v="Yes"/>
    <x v="5"/>
    <x v="2"/>
    <x v="112"/>
  </r>
  <r>
    <s v="BRACKI Borys"/>
    <x v="0"/>
    <n v="2004"/>
    <s v="KS AZS AWF Katowice"/>
    <s v="Yes"/>
    <x v="6"/>
    <x v="3"/>
    <x v="113"/>
  </r>
  <r>
    <s v="BRACKI Borys"/>
    <x v="0"/>
    <n v="2004"/>
    <s v="KS AZS AWF Katowice"/>
    <s v="Yes"/>
    <x v="6"/>
    <x v="4"/>
    <x v="114"/>
  </r>
  <r>
    <s v="BRACKI Borys"/>
    <x v="0"/>
    <n v="2004"/>
    <s v="KS AZS AWF Katowice"/>
    <s v="Yes"/>
    <x v="6"/>
    <x v="5"/>
    <x v="115"/>
  </r>
  <r>
    <s v="BOBER Michał"/>
    <x v="0"/>
    <n v="2002"/>
    <s v="UKS SP7 Łódź"/>
    <s v="Yes"/>
    <x v="0"/>
    <x v="0"/>
    <x v="88"/>
  </r>
  <r>
    <s v="BOBER Michał"/>
    <x v="0"/>
    <n v="2002"/>
    <s v="UKS SP7 Łódź"/>
    <s v="Yes"/>
    <x v="0"/>
    <x v="1"/>
    <x v="37"/>
  </r>
  <r>
    <s v="BOBER Michał"/>
    <x v="0"/>
    <n v="2002"/>
    <s v="UKS SP7 Łódź"/>
    <s v="Yes"/>
    <x v="0"/>
    <x v="2"/>
    <x v="30"/>
  </r>
  <r>
    <s v="BOBER Michał"/>
    <x v="0"/>
    <n v="2002"/>
    <s v="UKS SP7 Łódź"/>
    <s v="Yes"/>
    <x v="1"/>
    <x v="0"/>
    <x v="60"/>
  </r>
  <r>
    <s v="BOBER Michał"/>
    <x v="0"/>
    <n v="2002"/>
    <s v="UKS SP7 Łódź"/>
    <s v="Yes"/>
    <x v="1"/>
    <x v="1"/>
    <x v="4"/>
  </r>
  <r>
    <s v="BOBER Michał"/>
    <x v="0"/>
    <n v="2002"/>
    <s v="UKS SP7 Łódź"/>
    <s v="Yes"/>
    <x v="1"/>
    <x v="2"/>
    <x v="69"/>
  </r>
  <r>
    <s v="BOBER Michał"/>
    <x v="0"/>
    <n v="2002"/>
    <s v="UKS SP7 Łódź"/>
    <s v="Yes"/>
    <x v="2"/>
    <x v="0"/>
    <x v="39"/>
  </r>
  <r>
    <s v="BOBER Michał"/>
    <x v="0"/>
    <n v="2002"/>
    <s v="UKS SP7 Łódź"/>
    <s v="Yes"/>
    <x v="2"/>
    <x v="1"/>
    <x v="10"/>
  </r>
  <r>
    <s v="BOBER Michał"/>
    <x v="0"/>
    <n v="2002"/>
    <s v="UKS SP7 Łódź"/>
    <s v="Yes"/>
    <x v="2"/>
    <x v="2"/>
    <x v="61"/>
  </r>
  <r>
    <s v="BOBER Michał"/>
    <x v="0"/>
    <n v="2002"/>
    <s v="UKS SP7 Łódź"/>
    <s v="Yes"/>
    <x v="3"/>
    <x v="0"/>
    <x v="93"/>
  </r>
  <r>
    <s v="BOBER Michał"/>
    <x v="0"/>
    <n v="2002"/>
    <s v="UKS SP7 Łódź"/>
    <s v="Yes"/>
    <x v="3"/>
    <x v="1"/>
    <x v="94"/>
  </r>
  <r>
    <s v="BOBER Michał"/>
    <x v="0"/>
    <n v="2002"/>
    <s v="UKS SP7 Łódź"/>
    <s v="Yes"/>
    <x v="3"/>
    <x v="2"/>
    <x v="95"/>
  </r>
  <r>
    <s v="BOBER Michał"/>
    <x v="0"/>
    <n v="2002"/>
    <s v="UKS SP7 Łódź"/>
    <s v="Yes"/>
    <x v="4"/>
    <x v="0"/>
    <x v="39"/>
  </r>
  <r>
    <s v="BOBER Michał"/>
    <x v="0"/>
    <n v="2002"/>
    <s v="UKS SP7 Łódź"/>
    <s v="Yes"/>
    <x v="4"/>
    <x v="1"/>
    <x v="90"/>
  </r>
  <r>
    <s v="BOBER Michał"/>
    <x v="0"/>
    <n v="2002"/>
    <s v="UKS SP7 Łódź"/>
    <s v="Yes"/>
    <x v="4"/>
    <x v="2"/>
    <x v="55"/>
  </r>
  <r>
    <s v="BOBER Michał"/>
    <x v="0"/>
    <n v="2002"/>
    <s v="UKS SP7 Łódź"/>
    <s v="Yes"/>
    <x v="5"/>
    <x v="0"/>
    <x v="116"/>
  </r>
  <r>
    <s v="BOBER Michał"/>
    <x v="0"/>
    <n v="2002"/>
    <s v="UKS SP7 Łódź"/>
    <s v="Yes"/>
    <x v="5"/>
    <x v="1"/>
    <x v="25"/>
  </r>
  <r>
    <s v="BOBER Michał"/>
    <x v="0"/>
    <n v="2002"/>
    <s v="UKS SP7 Łódź"/>
    <s v="Yes"/>
    <x v="5"/>
    <x v="2"/>
    <x v="92"/>
  </r>
  <r>
    <s v="BOBER Michał"/>
    <x v="0"/>
    <n v="2002"/>
    <s v="UKS SP7 Łódź"/>
    <s v="Yes"/>
    <x v="6"/>
    <x v="3"/>
    <x v="117"/>
  </r>
  <r>
    <s v="BOBER Michał"/>
    <x v="0"/>
    <n v="2002"/>
    <s v="UKS SP7 Łódź"/>
    <s v="Yes"/>
    <x v="6"/>
    <x v="4"/>
    <x v="118"/>
  </r>
  <r>
    <s v="BOBER Michał"/>
    <x v="0"/>
    <n v="2002"/>
    <s v="UKS SP7 Łódź"/>
    <s v="Yes"/>
    <x v="6"/>
    <x v="5"/>
    <x v="119"/>
  </r>
  <r>
    <s v="LUDYNIA Marceli"/>
    <x v="0"/>
    <n v="2001"/>
    <s v="KS AZS AWF Katowice"/>
    <s v="Yes"/>
    <x v="0"/>
    <x v="0"/>
    <x v="36"/>
  </r>
  <r>
    <s v="LUDYNIA Marceli"/>
    <x v="0"/>
    <n v="2001"/>
    <s v="KS AZS AWF Katowice"/>
    <s v="Yes"/>
    <x v="0"/>
    <x v="1"/>
    <x v="32"/>
  </r>
  <r>
    <s v="LUDYNIA Marceli"/>
    <x v="0"/>
    <n v="2001"/>
    <s v="KS AZS AWF Katowice"/>
    <s v="Yes"/>
    <x v="0"/>
    <x v="2"/>
    <x v="109"/>
  </r>
  <r>
    <s v="LUDYNIA Marceli"/>
    <x v="0"/>
    <n v="2001"/>
    <s v="KS AZS AWF Katowice"/>
    <s v="Yes"/>
    <x v="1"/>
    <x v="0"/>
    <x v="120"/>
  </r>
  <r>
    <s v="LUDYNIA Marceli"/>
    <x v="0"/>
    <n v="2001"/>
    <s v="KS AZS AWF Katowice"/>
    <s v="Yes"/>
    <x v="1"/>
    <x v="1"/>
    <x v="121"/>
  </r>
  <r>
    <s v="LUDYNIA Marceli"/>
    <x v="0"/>
    <n v="2001"/>
    <s v="KS AZS AWF Katowice"/>
    <s v="Yes"/>
    <x v="1"/>
    <x v="2"/>
    <x v="122"/>
  </r>
  <r>
    <s v="LUDYNIA Marceli"/>
    <x v="0"/>
    <n v="2001"/>
    <s v="KS AZS AWF Katowice"/>
    <s v="Yes"/>
    <x v="2"/>
    <x v="0"/>
    <x v="123"/>
  </r>
  <r>
    <s v="LUDYNIA Marceli"/>
    <x v="0"/>
    <n v="2001"/>
    <s v="KS AZS AWF Katowice"/>
    <s v="Yes"/>
    <x v="2"/>
    <x v="1"/>
    <x v="59"/>
  </r>
  <r>
    <s v="LUDYNIA Marceli"/>
    <x v="0"/>
    <n v="2001"/>
    <s v="KS AZS AWF Katowice"/>
    <s v="Yes"/>
    <x v="2"/>
    <x v="2"/>
    <x v="124"/>
  </r>
  <r>
    <s v="LUDYNIA Marceli"/>
    <x v="0"/>
    <n v="2001"/>
    <s v="KS AZS AWF Katowice"/>
    <s v="Yes"/>
    <x v="3"/>
    <x v="0"/>
    <x v="43"/>
  </r>
  <r>
    <s v="LUDYNIA Marceli"/>
    <x v="0"/>
    <n v="2001"/>
    <s v="KS AZS AWF Katowice"/>
    <s v="Yes"/>
    <x v="3"/>
    <x v="1"/>
    <x v="44"/>
  </r>
  <r>
    <s v="LUDYNIA Marceli"/>
    <x v="0"/>
    <n v="2001"/>
    <s v="KS AZS AWF Katowice"/>
    <s v="Yes"/>
    <x v="3"/>
    <x v="2"/>
    <x v="45"/>
  </r>
  <r>
    <s v="LUDYNIA Marceli"/>
    <x v="0"/>
    <n v="2001"/>
    <s v="KS AZS AWF Katowice"/>
    <s v="Yes"/>
    <x v="4"/>
    <x v="0"/>
    <x v="60"/>
  </r>
  <r>
    <s v="LUDYNIA Marceli"/>
    <x v="0"/>
    <n v="2001"/>
    <s v="KS AZS AWF Katowice"/>
    <s v="Yes"/>
    <x v="4"/>
    <x v="1"/>
    <x v="125"/>
  </r>
  <r>
    <s v="LUDYNIA Marceli"/>
    <x v="0"/>
    <n v="2001"/>
    <s v="KS AZS AWF Katowice"/>
    <s v="Yes"/>
    <x v="4"/>
    <x v="2"/>
    <x v="126"/>
  </r>
  <r>
    <s v="LUDYNIA Marceli"/>
    <x v="0"/>
    <n v="2001"/>
    <s v="KS AZS AWF Katowice"/>
    <s v="Yes"/>
    <x v="5"/>
    <x v="0"/>
    <x v="127"/>
  </r>
  <r>
    <s v="LUDYNIA Marceli"/>
    <x v="0"/>
    <n v="2001"/>
    <s v="KS AZS AWF Katowice"/>
    <s v="Yes"/>
    <x v="5"/>
    <x v="1"/>
    <x v="106"/>
  </r>
  <r>
    <s v="LUDYNIA Marceli"/>
    <x v="0"/>
    <n v="2001"/>
    <s v="KS AZS AWF Katowice"/>
    <s v="Yes"/>
    <x v="5"/>
    <x v="2"/>
    <x v="128"/>
  </r>
  <r>
    <s v="LUDYNIA Marceli"/>
    <x v="0"/>
    <n v="2001"/>
    <s v="KS AZS AWF Katowice"/>
    <s v="Yes"/>
    <x v="6"/>
    <x v="3"/>
    <x v="129"/>
  </r>
  <r>
    <s v="LUDYNIA Marceli"/>
    <x v="0"/>
    <n v="2001"/>
    <s v="KS AZS AWF Katowice"/>
    <s v="Yes"/>
    <x v="6"/>
    <x v="4"/>
    <x v="130"/>
  </r>
  <r>
    <s v="LUDYNIA Marceli"/>
    <x v="0"/>
    <n v="2001"/>
    <s v="KS AZS AWF Katowice"/>
    <s v="Yes"/>
    <x v="6"/>
    <x v="5"/>
    <x v="131"/>
  </r>
  <r>
    <s v="CHRUŚCIEL Szymon"/>
    <x v="0"/>
    <n v="2004"/>
    <s v="KS AZS AWF Kraków"/>
    <s v="Yes"/>
    <x v="0"/>
    <x v="0"/>
    <x v="24"/>
  </r>
  <r>
    <s v="CHRUŚCIEL Szymon"/>
    <x v="0"/>
    <n v="2004"/>
    <s v="KS AZS AWF Kraków"/>
    <s v="Yes"/>
    <x v="0"/>
    <x v="1"/>
    <x v="14"/>
  </r>
  <r>
    <s v="CHRUŚCIEL Szymon"/>
    <x v="0"/>
    <n v="2004"/>
    <s v="KS AZS AWF Kraków"/>
    <s v="Yes"/>
    <x v="0"/>
    <x v="2"/>
    <x v="38"/>
  </r>
  <r>
    <s v="CHRUŚCIEL Szymon"/>
    <x v="0"/>
    <n v="2004"/>
    <s v="KS AZS AWF Kraków"/>
    <s v="Yes"/>
    <x v="1"/>
    <x v="0"/>
    <x v="93"/>
  </r>
  <r>
    <s v="CHRUŚCIEL Szymon"/>
    <x v="0"/>
    <n v="2004"/>
    <s v="KS AZS AWF Kraków"/>
    <s v="Yes"/>
    <x v="1"/>
    <x v="1"/>
    <x v="31"/>
  </r>
  <r>
    <s v="CHRUŚCIEL Szymon"/>
    <x v="0"/>
    <n v="2004"/>
    <s v="KS AZS AWF Kraków"/>
    <s v="Yes"/>
    <x v="1"/>
    <x v="2"/>
    <x v="132"/>
  </r>
  <r>
    <s v="CHRUŚCIEL Szymon"/>
    <x v="0"/>
    <n v="2004"/>
    <s v="KS AZS AWF Kraków"/>
    <s v="Yes"/>
    <x v="2"/>
    <x v="0"/>
    <x v="133"/>
  </r>
  <r>
    <s v="CHRUŚCIEL Szymon"/>
    <x v="0"/>
    <n v="2004"/>
    <s v="KS AZS AWF Kraków"/>
    <s v="Yes"/>
    <x v="2"/>
    <x v="1"/>
    <x v="122"/>
  </r>
  <r>
    <s v="CHRUŚCIEL Szymon"/>
    <x v="0"/>
    <n v="2004"/>
    <s v="KS AZS AWF Kraków"/>
    <s v="Yes"/>
    <x v="2"/>
    <x v="2"/>
    <x v="94"/>
  </r>
  <r>
    <s v="CHRUŚCIEL Szymon"/>
    <x v="0"/>
    <n v="2004"/>
    <s v="KS AZS AWF Kraków"/>
    <s v="Yes"/>
    <x v="3"/>
    <x v="0"/>
    <x v="93"/>
  </r>
  <r>
    <s v="CHRUŚCIEL Szymon"/>
    <x v="0"/>
    <n v="2004"/>
    <s v="KS AZS AWF Kraków"/>
    <s v="Yes"/>
    <x v="3"/>
    <x v="1"/>
    <x v="57"/>
  </r>
  <r>
    <s v="CHRUŚCIEL Szymon"/>
    <x v="0"/>
    <n v="2004"/>
    <s v="KS AZS AWF Kraków"/>
    <s v="Yes"/>
    <x v="3"/>
    <x v="2"/>
    <x v="38"/>
  </r>
  <r>
    <s v="CHRUŚCIEL Szymon"/>
    <x v="0"/>
    <n v="2004"/>
    <s v="KS AZS AWF Kraków"/>
    <s v="Yes"/>
    <x v="4"/>
    <x v="0"/>
    <x v="104"/>
  </r>
  <r>
    <s v="CHRUŚCIEL Szymon"/>
    <x v="0"/>
    <n v="2004"/>
    <s v="KS AZS AWF Kraków"/>
    <s v="Yes"/>
    <x v="4"/>
    <x v="1"/>
    <x v="89"/>
  </r>
  <r>
    <s v="CHRUŚCIEL Szymon"/>
    <x v="0"/>
    <n v="2004"/>
    <s v="KS AZS AWF Kraków"/>
    <s v="Yes"/>
    <x v="4"/>
    <x v="2"/>
    <x v="50"/>
  </r>
  <r>
    <s v="CHRUŚCIEL Szymon"/>
    <x v="0"/>
    <n v="2004"/>
    <s v="KS AZS AWF Kraków"/>
    <s v="Yes"/>
    <x v="5"/>
    <x v="0"/>
    <x v="133"/>
  </r>
  <r>
    <s v="CHRUŚCIEL Szymon"/>
    <x v="0"/>
    <n v="2004"/>
    <s v="KS AZS AWF Kraków"/>
    <s v="Yes"/>
    <x v="5"/>
    <x v="1"/>
    <x v="20"/>
  </r>
  <r>
    <s v="CHRUŚCIEL Szymon"/>
    <x v="0"/>
    <n v="2004"/>
    <s v="KS AZS AWF Kraków"/>
    <s v="Yes"/>
    <x v="5"/>
    <x v="2"/>
    <x v="134"/>
  </r>
  <r>
    <s v="CHRUŚCIEL Szymon"/>
    <x v="0"/>
    <n v="2004"/>
    <s v="KS AZS AWF Kraków"/>
    <s v="Yes"/>
    <x v="6"/>
    <x v="3"/>
    <x v="135"/>
  </r>
  <r>
    <s v="CHRUŚCIEL Szymon"/>
    <x v="0"/>
    <n v="2004"/>
    <s v="KS AZS AWF Kraków"/>
    <s v="Yes"/>
    <x v="6"/>
    <x v="4"/>
    <x v="136"/>
  </r>
  <r>
    <s v="CHRUŚCIEL Szymon"/>
    <x v="0"/>
    <n v="2004"/>
    <s v="KS AZS AWF Kraków"/>
    <s v="Yes"/>
    <x v="6"/>
    <x v="5"/>
    <x v="131"/>
  </r>
  <r>
    <s v="KORNIICHUK Yehor"/>
    <x v="0"/>
    <n v="2001"/>
    <s v="KS AZS AWFiS Gdańsk"/>
    <s v="No"/>
    <x v="0"/>
    <x v="0"/>
    <x v="137"/>
  </r>
  <r>
    <s v="KORNIICHUK Yehor"/>
    <x v="0"/>
    <n v="2001"/>
    <s v="KS AZS AWFiS Gdańsk"/>
    <s v="No"/>
    <x v="0"/>
    <x v="1"/>
    <x v="138"/>
  </r>
  <r>
    <s v="KORNIICHUK Yehor"/>
    <x v="0"/>
    <n v="2001"/>
    <s v="KS AZS AWFiS Gdańsk"/>
    <s v="No"/>
    <x v="0"/>
    <x v="2"/>
    <x v="38"/>
  </r>
  <r>
    <s v="KORNIICHUK Yehor"/>
    <x v="0"/>
    <n v="2001"/>
    <s v="KS AZS AWFiS Gdańsk"/>
    <s v="No"/>
    <x v="1"/>
    <x v="0"/>
    <x v="104"/>
  </r>
  <r>
    <s v="KORNIICHUK Yehor"/>
    <x v="0"/>
    <n v="2001"/>
    <s v="KS AZS AWFiS Gdańsk"/>
    <s v="No"/>
    <x v="1"/>
    <x v="1"/>
    <x v="139"/>
  </r>
  <r>
    <s v="KORNIICHUK Yehor"/>
    <x v="0"/>
    <n v="2001"/>
    <s v="KS AZS AWFiS Gdańsk"/>
    <s v="No"/>
    <x v="1"/>
    <x v="2"/>
    <x v="140"/>
  </r>
  <r>
    <s v="KORNIICHUK Yehor"/>
    <x v="0"/>
    <n v="2001"/>
    <s v="KS AZS AWFiS Gdańsk"/>
    <s v="No"/>
    <x v="2"/>
    <x v="0"/>
    <x v="24"/>
  </r>
  <r>
    <s v="KORNIICHUK Yehor"/>
    <x v="0"/>
    <n v="2001"/>
    <s v="KS AZS AWFiS Gdańsk"/>
    <s v="No"/>
    <x v="2"/>
    <x v="1"/>
    <x v="132"/>
  </r>
  <r>
    <s v="KORNIICHUK Yehor"/>
    <x v="0"/>
    <n v="2001"/>
    <s v="KS AZS AWFiS Gdańsk"/>
    <s v="No"/>
    <x v="2"/>
    <x v="2"/>
    <x v="30"/>
  </r>
  <r>
    <s v="KORNIICHUK Yehor"/>
    <x v="0"/>
    <n v="2001"/>
    <s v="KS AZS AWFiS Gdańsk"/>
    <s v="No"/>
    <x v="3"/>
    <x v="0"/>
    <x v="9"/>
  </r>
  <r>
    <s v="KORNIICHUK Yehor"/>
    <x v="0"/>
    <n v="2001"/>
    <s v="KS AZS AWFiS Gdańsk"/>
    <s v="No"/>
    <x v="3"/>
    <x v="1"/>
    <x v="1"/>
  </r>
  <r>
    <s v="KORNIICHUK Yehor"/>
    <x v="0"/>
    <n v="2001"/>
    <s v="KS AZS AWFiS Gdańsk"/>
    <s v="No"/>
    <x v="3"/>
    <x v="2"/>
    <x v="111"/>
  </r>
  <r>
    <s v="KORNIICHUK Yehor"/>
    <x v="0"/>
    <n v="2001"/>
    <s v="KS AZS AWFiS Gdańsk"/>
    <s v="No"/>
    <x v="4"/>
    <x v="0"/>
    <x v="141"/>
  </r>
  <r>
    <s v="KORNIICHUK Yehor"/>
    <x v="0"/>
    <n v="2001"/>
    <s v="KS AZS AWFiS Gdańsk"/>
    <s v="No"/>
    <x v="4"/>
    <x v="1"/>
    <x v="141"/>
  </r>
  <r>
    <s v="KORNIICHUK Yehor"/>
    <x v="0"/>
    <n v="2001"/>
    <s v="KS AZS AWFiS Gdańsk"/>
    <s v="No"/>
    <x v="4"/>
    <x v="2"/>
    <x v="141"/>
  </r>
  <r>
    <s v="KORNIICHUK Yehor"/>
    <x v="0"/>
    <n v="2001"/>
    <s v="KS AZS AWFiS Gdańsk"/>
    <s v="No"/>
    <x v="5"/>
    <x v="0"/>
    <x v="60"/>
  </r>
  <r>
    <s v="KORNIICHUK Yehor"/>
    <x v="0"/>
    <n v="2001"/>
    <s v="KS AZS AWFiS Gdańsk"/>
    <s v="No"/>
    <x v="5"/>
    <x v="1"/>
    <x v="142"/>
  </r>
  <r>
    <s v="KORNIICHUK Yehor"/>
    <x v="0"/>
    <n v="2001"/>
    <s v="KS AZS AWFiS Gdańsk"/>
    <s v="No"/>
    <x v="5"/>
    <x v="2"/>
    <x v="92"/>
  </r>
  <r>
    <s v="KORNIICHUK Yehor"/>
    <x v="0"/>
    <n v="2001"/>
    <s v="KS AZS AWFiS Gdańsk"/>
    <s v="No"/>
    <x v="6"/>
    <x v="3"/>
    <x v="141"/>
  </r>
  <r>
    <s v="KORNIICHUK Yehor"/>
    <x v="0"/>
    <n v="2001"/>
    <s v="KS AZS AWFiS Gdańsk"/>
    <s v="No"/>
    <x v="6"/>
    <x v="4"/>
    <x v="141"/>
  </r>
  <r>
    <s v="KORNIICHUK Yehor"/>
    <x v="0"/>
    <n v="2001"/>
    <s v="KS AZS AWFiS Gdańsk"/>
    <s v="No"/>
    <x v="6"/>
    <x v="5"/>
    <x v="143"/>
  </r>
  <r>
    <s v="WIERZBA Kacper"/>
    <x v="0"/>
    <n v="2003"/>
    <s v="MKS Gdańsk"/>
    <s v="No"/>
    <x v="0"/>
    <x v="0"/>
    <x v="24"/>
  </r>
  <r>
    <s v="WIERZBA Kacper"/>
    <x v="0"/>
    <n v="2003"/>
    <s v="MKS Gdańsk"/>
    <s v="No"/>
    <x v="0"/>
    <x v="1"/>
    <x v="139"/>
  </r>
  <r>
    <s v="WIERZBA Kacper"/>
    <x v="0"/>
    <n v="2003"/>
    <s v="MKS Gdańsk"/>
    <s v="No"/>
    <x v="0"/>
    <x v="2"/>
    <x v="78"/>
  </r>
  <r>
    <s v="WIERZBA Kacper"/>
    <x v="0"/>
    <n v="2003"/>
    <s v="MKS Gdańsk"/>
    <s v="No"/>
    <x v="1"/>
    <x v="0"/>
    <x v="141"/>
  </r>
  <r>
    <s v="WIERZBA Kacper"/>
    <x v="0"/>
    <n v="2003"/>
    <s v="MKS Gdańsk"/>
    <s v="No"/>
    <x v="1"/>
    <x v="1"/>
    <x v="141"/>
  </r>
  <r>
    <s v="WIERZBA Kacper"/>
    <x v="0"/>
    <n v="2003"/>
    <s v="MKS Gdańsk"/>
    <s v="No"/>
    <x v="1"/>
    <x v="2"/>
    <x v="141"/>
  </r>
  <r>
    <s v="WIERZBA Kacper"/>
    <x v="0"/>
    <n v="2003"/>
    <s v="MKS Gdańsk"/>
    <s v="No"/>
    <x v="2"/>
    <x v="0"/>
    <x v="39"/>
  </r>
  <r>
    <s v="WIERZBA Kacper"/>
    <x v="0"/>
    <n v="2003"/>
    <s v="MKS Gdańsk"/>
    <s v="No"/>
    <x v="2"/>
    <x v="1"/>
    <x v="22"/>
  </r>
  <r>
    <s v="WIERZBA Kacper"/>
    <x v="0"/>
    <n v="2003"/>
    <s v="MKS Gdańsk"/>
    <s v="No"/>
    <x v="2"/>
    <x v="2"/>
    <x v="50"/>
  </r>
  <r>
    <s v="WIERZBA Kacper"/>
    <x v="0"/>
    <n v="2003"/>
    <s v="MKS Gdańsk"/>
    <s v="No"/>
    <x v="3"/>
    <x v="0"/>
    <x v="43"/>
  </r>
  <r>
    <s v="WIERZBA Kacper"/>
    <x v="0"/>
    <n v="2003"/>
    <s v="MKS Gdańsk"/>
    <s v="No"/>
    <x v="3"/>
    <x v="1"/>
    <x v="97"/>
  </r>
  <r>
    <s v="WIERZBA Kacper"/>
    <x v="0"/>
    <n v="2003"/>
    <s v="MKS Gdańsk"/>
    <s v="No"/>
    <x v="3"/>
    <x v="2"/>
    <x v="71"/>
  </r>
  <r>
    <s v="WIERZBA Kacper"/>
    <x v="0"/>
    <n v="2003"/>
    <s v="MKS Gdańsk"/>
    <s v="No"/>
    <x v="4"/>
    <x v="0"/>
    <x v="99"/>
  </r>
  <r>
    <s v="WIERZBA Kacper"/>
    <x v="0"/>
    <n v="2003"/>
    <s v="MKS Gdańsk"/>
    <s v="No"/>
    <x v="4"/>
    <x v="1"/>
    <x v="144"/>
  </r>
  <r>
    <s v="WIERZBA Kacper"/>
    <x v="0"/>
    <n v="2003"/>
    <s v="MKS Gdańsk"/>
    <s v="No"/>
    <x v="4"/>
    <x v="2"/>
    <x v="145"/>
  </r>
  <r>
    <s v="WIERZBA Kacper"/>
    <x v="0"/>
    <n v="2003"/>
    <s v="MKS Gdańsk"/>
    <s v="No"/>
    <x v="5"/>
    <x v="0"/>
    <x v="43"/>
  </r>
  <r>
    <s v="WIERZBA Kacper"/>
    <x v="0"/>
    <n v="2003"/>
    <s v="MKS Gdańsk"/>
    <s v="No"/>
    <x v="5"/>
    <x v="1"/>
    <x v="66"/>
  </r>
  <r>
    <s v="WIERZBA Kacper"/>
    <x v="0"/>
    <n v="2003"/>
    <s v="MKS Gdańsk"/>
    <s v="No"/>
    <x v="5"/>
    <x v="2"/>
    <x v="95"/>
  </r>
  <r>
    <s v="WIERZBA Kacper"/>
    <x v="0"/>
    <n v="2003"/>
    <s v="MKS Gdańsk"/>
    <s v="No"/>
    <x v="6"/>
    <x v="3"/>
    <x v="141"/>
  </r>
  <r>
    <s v="WIERZBA Kacper"/>
    <x v="0"/>
    <n v="2003"/>
    <s v="MKS Gdańsk"/>
    <s v="No"/>
    <x v="6"/>
    <x v="4"/>
    <x v="141"/>
  </r>
  <r>
    <s v="WIERZBA Kacper"/>
    <x v="0"/>
    <n v="2003"/>
    <s v="MKS Gdańsk"/>
    <s v="No"/>
    <x v="6"/>
    <x v="5"/>
    <x v="146"/>
  </r>
  <r>
    <s v="PAWŁOWSKI Jakub"/>
    <x v="0"/>
    <n v="2004"/>
    <s v="MKS Gdańsk"/>
    <s v="No"/>
    <x v="0"/>
    <x v="0"/>
    <x v="43"/>
  </r>
  <r>
    <s v="PAWŁOWSKI Jakub"/>
    <x v="0"/>
    <n v="2004"/>
    <s v="MKS Gdańsk"/>
    <s v="No"/>
    <x v="0"/>
    <x v="1"/>
    <x v="89"/>
  </r>
  <r>
    <s v="PAWŁOWSKI Jakub"/>
    <x v="0"/>
    <n v="2004"/>
    <s v="MKS Gdańsk"/>
    <s v="No"/>
    <x v="0"/>
    <x v="2"/>
    <x v="30"/>
  </r>
  <r>
    <s v="PAWŁOWSKI Jakub"/>
    <x v="0"/>
    <n v="2004"/>
    <s v="MKS Gdańsk"/>
    <s v="No"/>
    <x v="1"/>
    <x v="0"/>
    <x v="133"/>
  </r>
  <r>
    <s v="PAWŁOWSKI Jakub"/>
    <x v="0"/>
    <n v="2004"/>
    <s v="MKS Gdańsk"/>
    <s v="No"/>
    <x v="1"/>
    <x v="1"/>
    <x v="70"/>
  </r>
  <r>
    <s v="PAWŁOWSKI Jakub"/>
    <x v="0"/>
    <n v="2004"/>
    <s v="MKS Gdańsk"/>
    <s v="No"/>
    <x v="1"/>
    <x v="2"/>
    <x v="89"/>
  </r>
  <r>
    <s v="PAWŁOWSKI Jakub"/>
    <x v="0"/>
    <n v="2004"/>
    <s v="MKS Gdańsk"/>
    <s v="No"/>
    <x v="2"/>
    <x v="0"/>
    <x v="116"/>
  </r>
  <r>
    <s v="PAWŁOWSKI Jakub"/>
    <x v="0"/>
    <n v="2004"/>
    <s v="MKS Gdańsk"/>
    <s v="No"/>
    <x v="2"/>
    <x v="1"/>
    <x v="147"/>
  </r>
  <r>
    <s v="PAWŁOWSKI Jakub"/>
    <x v="0"/>
    <n v="2004"/>
    <s v="MKS Gdańsk"/>
    <s v="No"/>
    <x v="2"/>
    <x v="2"/>
    <x v="44"/>
  </r>
  <r>
    <s v="PAWŁOWSKI Jakub"/>
    <x v="0"/>
    <n v="2004"/>
    <s v="MKS Gdańsk"/>
    <s v="No"/>
    <x v="3"/>
    <x v="0"/>
    <x v="43"/>
  </r>
  <r>
    <s v="PAWŁOWSKI Jakub"/>
    <x v="0"/>
    <n v="2004"/>
    <s v="MKS Gdańsk"/>
    <s v="No"/>
    <x v="3"/>
    <x v="1"/>
    <x v="148"/>
  </r>
  <r>
    <s v="PAWŁOWSKI Jakub"/>
    <x v="0"/>
    <n v="2004"/>
    <s v="MKS Gdańsk"/>
    <s v="No"/>
    <x v="3"/>
    <x v="2"/>
    <x v="2"/>
  </r>
  <r>
    <s v="PAWŁOWSKI Jakub"/>
    <x v="0"/>
    <n v="2004"/>
    <s v="MKS Gdańsk"/>
    <s v="No"/>
    <x v="4"/>
    <x v="0"/>
    <x v="133"/>
  </r>
  <r>
    <s v="PAWŁOWSKI Jakub"/>
    <x v="0"/>
    <n v="2004"/>
    <s v="MKS Gdańsk"/>
    <s v="No"/>
    <x v="4"/>
    <x v="1"/>
    <x v="90"/>
  </r>
  <r>
    <s v="PAWŁOWSKI Jakub"/>
    <x v="0"/>
    <n v="2004"/>
    <s v="MKS Gdańsk"/>
    <s v="No"/>
    <x v="4"/>
    <x v="2"/>
    <x v="5"/>
  </r>
  <r>
    <s v="PAWŁOWSKI Jakub"/>
    <x v="0"/>
    <n v="2004"/>
    <s v="MKS Gdańsk"/>
    <s v="No"/>
    <x v="5"/>
    <x v="0"/>
    <x v="141"/>
  </r>
  <r>
    <s v="PAWŁOWSKI Jakub"/>
    <x v="0"/>
    <n v="2004"/>
    <s v="MKS Gdańsk"/>
    <s v="No"/>
    <x v="5"/>
    <x v="1"/>
    <x v="141"/>
  </r>
  <r>
    <s v="PAWŁOWSKI Jakub"/>
    <x v="0"/>
    <n v="2004"/>
    <s v="MKS Gdańsk"/>
    <s v="No"/>
    <x v="5"/>
    <x v="2"/>
    <x v="141"/>
  </r>
  <r>
    <s v="PAWŁOWSKI Jakub"/>
    <x v="0"/>
    <n v="2004"/>
    <s v="MKS Gdańsk"/>
    <s v="No"/>
    <x v="6"/>
    <x v="3"/>
    <x v="141"/>
  </r>
  <r>
    <s v="PAWŁOWSKI Jakub"/>
    <x v="0"/>
    <n v="2004"/>
    <s v="MKS Gdańsk"/>
    <s v="No"/>
    <x v="6"/>
    <x v="4"/>
    <x v="141"/>
  </r>
  <r>
    <s v="PAWŁOWSKI Jakub"/>
    <x v="0"/>
    <n v="2004"/>
    <s v="MKS Gdańsk"/>
    <s v="No"/>
    <x v="6"/>
    <x v="5"/>
    <x v="149"/>
  </r>
  <r>
    <s v="SZYMCZYK Radosław"/>
    <x v="0"/>
    <n v="2004"/>
    <s v="KS AZS AWF Kraków"/>
    <s v="No"/>
    <x v="0"/>
    <x v="0"/>
    <x v="24"/>
  </r>
  <r>
    <s v="SZYMCZYK Radosław"/>
    <x v="0"/>
    <n v="2004"/>
    <s v="KS AZS AWF Kraków"/>
    <s v="No"/>
    <x v="0"/>
    <x v="1"/>
    <x v="150"/>
  </r>
  <r>
    <s v="SZYMCZYK Radosław"/>
    <x v="0"/>
    <n v="2004"/>
    <s v="KS AZS AWF Kraków"/>
    <s v="No"/>
    <x v="0"/>
    <x v="2"/>
    <x v="84"/>
  </r>
  <r>
    <s v="SZYMCZYK Radosław"/>
    <x v="0"/>
    <n v="2004"/>
    <s v="KS AZS AWF Kraków"/>
    <s v="No"/>
    <x v="1"/>
    <x v="0"/>
    <x v="60"/>
  </r>
  <r>
    <s v="SZYMCZYK Radosław"/>
    <x v="0"/>
    <n v="2004"/>
    <s v="KS AZS AWF Kraków"/>
    <s v="No"/>
    <x v="1"/>
    <x v="1"/>
    <x v="110"/>
  </r>
  <r>
    <s v="SZYMCZYK Radosław"/>
    <x v="0"/>
    <n v="2004"/>
    <s v="KS AZS AWF Kraków"/>
    <s v="No"/>
    <x v="1"/>
    <x v="2"/>
    <x v="21"/>
  </r>
  <r>
    <s v="SZYMCZYK Radosław"/>
    <x v="0"/>
    <n v="2004"/>
    <s v="KS AZS AWF Kraków"/>
    <s v="No"/>
    <x v="2"/>
    <x v="0"/>
    <x v="141"/>
  </r>
  <r>
    <s v="SZYMCZYK Radosław"/>
    <x v="0"/>
    <n v="2004"/>
    <s v="KS AZS AWF Kraków"/>
    <s v="No"/>
    <x v="2"/>
    <x v="1"/>
    <x v="141"/>
  </r>
  <r>
    <s v="SZYMCZYK Radosław"/>
    <x v="0"/>
    <n v="2004"/>
    <s v="KS AZS AWF Kraków"/>
    <s v="No"/>
    <x v="2"/>
    <x v="2"/>
    <x v="141"/>
  </r>
  <r>
    <s v="SZYMCZYK Radosław"/>
    <x v="0"/>
    <n v="2004"/>
    <s v="KS AZS AWF Kraków"/>
    <s v="No"/>
    <x v="3"/>
    <x v="0"/>
    <x v="3"/>
  </r>
  <r>
    <s v="SZYMCZYK Radosław"/>
    <x v="0"/>
    <n v="2004"/>
    <s v="KS AZS AWF Kraków"/>
    <s v="No"/>
    <x v="3"/>
    <x v="1"/>
    <x v="44"/>
  </r>
  <r>
    <s v="SZYMCZYK Radosław"/>
    <x v="0"/>
    <n v="2004"/>
    <s v="KS AZS AWF Kraków"/>
    <s v="No"/>
    <x v="3"/>
    <x v="2"/>
    <x v="151"/>
  </r>
  <r>
    <s v="SZYMCZYK Radosław"/>
    <x v="0"/>
    <n v="2004"/>
    <s v="KS AZS AWF Kraków"/>
    <s v="No"/>
    <x v="4"/>
    <x v="0"/>
    <x v="141"/>
  </r>
  <r>
    <s v="SZYMCZYK Radosław"/>
    <x v="0"/>
    <n v="2004"/>
    <s v="KS AZS AWF Kraków"/>
    <s v="No"/>
    <x v="4"/>
    <x v="1"/>
    <x v="141"/>
  </r>
  <r>
    <s v="SZYMCZYK Radosław"/>
    <x v="0"/>
    <n v="2004"/>
    <s v="KS AZS AWF Kraków"/>
    <s v="No"/>
    <x v="4"/>
    <x v="2"/>
    <x v="141"/>
  </r>
  <r>
    <s v="SZYMCZYK Radosław"/>
    <x v="0"/>
    <n v="2004"/>
    <s v="KS AZS AWF Kraków"/>
    <s v="No"/>
    <x v="5"/>
    <x v="0"/>
    <x v="141"/>
  </r>
  <r>
    <s v="SZYMCZYK Radosław"/>
    <x v="0"/>
    <n v="2004"/>
    <s v="KS AZS AWF Kraków"/>
    <s v="No"/>
    <x v="5"/>
    <x v="1"/>
    <x v="141"/>
  </r>
  <r>
    <s v="SZYMCZYK Radosław"/>
    <x v="0"/>
    <n v="2004"/>
    <s v="KS AZS AWF Kraków"/>
    <s v="No"/>
    <x v="5"/>
    <x v="2"/>
    <x v="141"/>
  </r>
  <r>
    <s v="SZYMCZYK Radosław"/>
    <x v="0"/>
    <n v="2004"/>
    <s v="KS AZS AWF Kraków"/>
    <s v="No"/>
    <x v="6"/>
    <x v="3"/>
    <x v="141"/>
  </r>
  <r>
    <s v="SZYMCZYK Radosław"/>
    <x v="0"/>
    <n v="2004"/>
    <s v="KS AZS AWF Kraków"/>
    <s v="No"/>
    <x v="6"/>
    <x v="4"/>
    <x v="141"/>
  </r>
  <r>
    <s v="SZYMCZYK Radosław"/>
    <x v="0"/>
    <n v="2004"/>
    <s v="KS AZS AWF Kraków"/>
    <s v="No"/>
    <x v="6"/>
    <x v="5"/>
    <x v="152"/>
  </r>
  <r>
    <s v="HERASYMOV Mykyta"/>
    <x v="0"/>
    <n v="2003"/>
    <s v="KS AZS AWFiS Gdańsk"/>
    <s v="No"/>
    <x v="0"/>
    <x v="0"/>
    <x v="141"/>
  </r>
  <r>
    <s v="HERASYMOV Mykyta"/>
    <x v="0"/>
    <n v="2003"/>
    <s v="KS AZS AWFiS Gdańsk"/>
    <s v="No"/>
    <x v="0"/>
    <x v="1"/>
    <x v="141"/>
  </r>
  <r>
    <s v="HERASYMOV Mykyta"/>
    <x v="0"/>
    <n v="2003"/>
    <s v="KS AZS AWFiS Gdańsk"/>
    <s v="No"/>
    <x v="0"/>
    <x v="2"/>
    <x v="141"/>
  </r>
  <r>
    <s v="HERASYMOV Mykyta"/>
    <x v="0"/>
    <n v="2003"/>
    <s v="KS AZS AWFiS Gdańsk"/>
    <s v="No"/>
    <x v="1"/>
    <x v="0"/>
    <x v="153"/>
  </r>
  <r>
    <s v="HERASYMOV Mykyta"/>
    <x v="0"/>
    <n v="2003"/>
    <s v="KS AZS AWFiS Gdańsk"/>
    <s v="No"/>
    <x v="1"/>
    <x v="1"/>
    <x v="154"/>
  </r>
  <r>
    <s v="HERASYMOV Mykyta"/>
    <x v="0"/>
    <n v="2003"/>
    <s v="KS AZS AWFiS Gdańsk"/>
    <s v="No"/>
    <x v="1"/>
    <x v="2"/>
    <x v="155"/>
  </r>
  <r>
    <s v="HERASYMOV Mykyta"/>
    <x v="0"/>
    <n v="2003"/>
    <s v="KS AZS AWFiS Gdańsk"/>
    <s v="No"/>
    <x v="2"/>
    <x v="0"/>
    <x v="99"/>
  </r>
  <r>
    <s v="HERASYMOV Mykyta"/>
    <x v="0"/>
    <n v="2003"/>
    <s v="KS AZS AWFiS Gdańsk"/>
    <s v="No"/>
    <x v="2"/>
    <x v="1"/>
    <x v="156"/>
  </r>
  <r>
    <s v="HERASYMOV Mykyta"/>
    <x v="0"/>
    <n v="2003"/>
    <s v="KS AZS AWFiS Gdańsk"/>
    <s v="No"/>
    <x v="2"/>
    <x v="2"/>
    <x v="94"/>
  </r>
  <r>
    <s v="HERASYMOV Mykyta"/>
    <x v="0"/>
    <n v="2003"/>
    <s v="KS AZS AWFiS Gdańsk"/>
    <s v="No"/>
    <x v="3"/>
    <x v="0"/>
    <x v="141"/>
  </r>
  <r>
    <s v="HERASYMOV Mykyta"/>
    <x v="0"/>
    <n v="2003"/>
    <s v="KS AZS AWFiS Gdańsk"/>
    <s v="No"/>
    <x v="3"/>
    <x v="1"/>
    <x v="141"/>
  </r>
  <r>
    <s v="HERASYMOV Mykyta"/>
    <x v="0"/>
    <n v="2003"/>
    <s v="KS AZS AWFiS Gdańsk"/>
    <s v="No"/>
    <x v="3"/>
    <x v="2"/>
    <x v="141"/>
  </r>
  <r>
    <s v="HERASYMOV Mykyta"/>
    <x v="0"/>
    <n v="2003"/>
    <s v="KS AZS AWFiS Gdańsk"/>
    <s v="No"/>
    <x v="4"/>
    <x v="0"/>
    <x v="99"/>
  </r>
  <r>
    <s v="HERASYMOV Mykyta"/>
    <x v="0"/>
    <n v="2003"/>
    <s v="KS AZS AWFiS Gdańsk"/>
    <s v="No"/>
    <x v="4"/>
    <x v="1"/>
    <x v="157"/>
  </r>
  <r>
    <s v="HERASYMOV Mykyta"/>
    <x v="0"/>
    <n v="2003"/>
    <s v="KS AZS AWFiS Gdańsk"/>
    <s v="No"/>
    <x v="4"/>
    <x v="2"/>
    <x v="158"/>
  </r>
  <r>
    <s v="HERASYMOV Mykyta"/>
    <x v="0"/>
    <n v="2003"/>
    <s v="KS AZS AWFiS Gdańsk"/>
    <s v="No"/>
    <x v="5"/>
    <x v="0"/>
    <x v="48"/>
  </r>
  <r>
    <s v="HERASYMOV Mykyta"/>
    <x v="0"/>
    <n v="2003"/>
    <s v="KS AZS AWFiS Gdańsk"/>
    <s v="No"/>
    <x v="5"/>
    <x v="1"/>
    <x v="159"/>
  </r>
  <r>
    <s v="HERASYMOV Mykyta"/>
    <x v="0"/>
    <n v="2003"/>
    <s v="KS AZS AWFiS Gdańsk"/>
    <s v="No"/>
    <x v="5"/>
    <x v="2"/>
    <x v="160"/>
  </r>
  <r>
    <s v="HERASYMOV Mykyta"/>
    <x v="0"/>
    <n v="2003"/>
    <s v="KS AZS AWFiS Gdańsk"/>
    <s v="No"/>
    <x v="6"/>
    <x v="3"/>
    <x v="141"/>
  </r>
  <r>
    <s v="HERASYMOV Mykyta"/>
    <x v="0"/>
    <n v="2003"/>
    <s v="KS AZS AWFiS Gdańsk"/>
    <s v="No"/>
    <x v="6"/>
    <x v="4"/>
    <x v="141"/>
  </r>
  <r>
    <s v="HERASYMOV Mykyta"/>
    <x v="0"/>
    <n v="2003"/>
    <s v="KS AZS AWFiS Gdańsk"/>
    <s v="No"/>
    <x v="6"/>
    <x v="5"/>
    <x v="161"/>
  </r>
  <r>
    <s v="IAREMCHUK Vladyslav"/>
    <x v="0"/>
    <n v="2002"/>
    <s v="KS AZS AWF Katowice"/>
    <s v="No"/>
    <x v="0"/>
    <x v="0"/>
    <x v="141"/>
  </r>
  <r>
    <s v="IAREMCHUK Vladyslav"/>
    <x v="0"/>
    <n v="2002"/>
    <s v="KS AZS AWF Katowice"/>
    <s v="No"/>
    <x v="0"/>
    <x v="1"/>
    <x v="141"/>
  </r>
  <r>
    <s v="IAREMCHUK Vladyslav"/>
    <x v="0"/>
    <n v="2002"/>
    <s v="KS AZS AWF Katowice"/>
    <s v="No"/>
    <x v="0"/>
    <x v="2"/>
    <x v="141"/>
  </r>
  <r>
    <s v="IAREMCHUK Vladyslav"/>
    <x v="0"/>
    <n v="2002"/>
    <s v="KS AZS AWF Katowice"/>
    <s v="No"/>
    <x v="1"/>
    <x v="0"/>
    <x v="162"/>
  </r>
  <r>
    <s v="IAREMCHUK Vladyslav"/>
    <x v="0"/>
    <n v="2002"/>
    <s v="KS AZS AWF Katowice"/>
    <s v="No"/>
    <x v="1"/>
    <x v="1"/>
    <x v="163"/>
  </r>
  <r>
    <s v="IAREMCHUK Vladyslav"/>
    <x v="0"/>
    <n v="2002"/>
    <s v="KS AZS AWF Katowice"/>
    <s v="No"/>
    <x v="1"/>
    <x v="2"/>
    <x v="50"/>
  </r>
  <r>
    <s v="IAREMCHUK Vladyslav"/>
    <x v="0"/>
    <n v="2002"/>
    <s v="KS AZS AWF Katowice"/>
    <s v="No"/>
    <x v="2"/>
    <x v="0"/>
    <x v="11"/>
  </r>
  <r>
    <s v="IAREMCHUK Vladyslav"/>
    <x v="0"/>
    <n v="2002"/>
    <s v="KS AZS AWF Katowice"/>
    <s v="No"/>
    <x v="2"/>
    <x v="1"/>
    <x v="90"/>
  </r>
  <r>
    <s v="IAREMCHUK Vladyslav"/>
    <x v="0"/>
    <n v="2002"/>
    <s v="KS AZS AWF Katowice"/>
    <s v="No"/>
    <x v="2"/>
    <x v="2"/>
    <x v="91"/>
  </r>
  <r>
    <s v="IAREMCHUK Vladyslav"/>
    <x v="0"/>
    <n v="2002"/>
    <s v="KS AZS AWF Katowice"/>
    <s v="No"/>
    <x v="3"/>
    <x v="0"/>
    <x v="141"/>
  </r>
  <r>
    <s v="IAREMCHUK Vladyslav"/>
    <x v="0"/>
    <n v="2002"/>
    <s v="KS AZS AWF Katowice"/>
    <s v="No"/>
    <x v="3"/>
    <x v="1"/>
    <x v="141"/>
  </r>
  <r>
    <s v="IAREMCHUK Vladyslav"/>
    <x v="0"/>
    <n v="2002"/>
    <s v="KS AZS AWF Katowice"/>
    <s v="No"/>
    <x v="3"/>
    <x v="2"/>
    <x v="141"/>
  </r>
  <r>
    <s v="IAREMCHUK Vladyslav"/>
    <x v="0"/>
    <n v="2002"/>
    <s v="KS AZS AWF Katowice"/>
    <s v="No"/>
    <x v="4"/>
    <x v="0"/>
    <x v="39"/>
  </r>
  <r>
    <s v="IAREMCHUK Vladyslav"/>
    <x v="0"/>
    <n v="2002"/>
    <s v="KS AZS AWF Katowice"/>
    <s v="No"/>
    <x v="4"/>
    <x v="1"/>
    <x v="79"/>
  </r>
  <r>
    <s v="IAREMCHUK Vladyslav"/>
    <x v="0"/>
    <n v="2002"/>
    <s v="KS AZS AWF Katowice"/>
    <s v="No"/>
    <x v="4"/>
    <x v="2"/>
    <x v="164"/>
  </r>
  <r>
    <s v="IAREMCHUK Vladyslav"/>
    <x v="0"/>
    <n v="2002"/>
    <s v="KS AZS AWF Katowice"/>
    <s v="No"/>
    <x v="5"/>
    <x v="0"/>
    <x v="141"/>
  </r>
  <r>
    <s v="IAREMCHUK Vladyslav"/>
    <x v="0"/>
    <n v="2002"/>
    <s v="KS AZS AWF Katowice"/>
    <s v="No"/>
    <x v="5"/>
    <x v="1"/>
    <x v="141"/>
  </r>
  <r>
    <s v="IAREMCHUK Vladyslav"/>
    <x v="0"/>
    <n v="2002"/>
    <s v="KS AZS AWF Katowice"/>
    <s v="No"/>
    <x v="5"/>
    <x v="2"/>
    <x v="141"/>
  </r>
  <r>
    <s v="IAREMCHUK Vladyslav"/>
    <x v="0"/>
    <n v="2002"/>
    <s v="KS AZS AWF Katowice"/>
    <s v="No"/>
    <x v="6"/>
    <x v="3"/>
    <x v="141"/>
  </r>
  <r>
    <s v="IAREMCHUK Vladyslav"/>
    <x v="0"/>
    <n v="2002"/>
    <s v="KS AZS AWF Katowice"/>
    <s v="No"/>
    <x v="6"/>
    <x v="4"/>
    <x v="141"/>
  </r>
  <r>
    <s v="IAREMCHUK Vladyslav"/>
    <x v="0"/>
    <n v="2002"/>
    <s v="KS AZS AWF Katowice"/>
    <s v="No"/>
    <x v="6"/>
    <x v="5"/>
    <x v="165"/>
  </r>
  <r>
    <s v="FRONT Filip"/>
    <x v="0"/>
    <n v="2002"/>
    <s v="KS AZS AWFiS Gdańsk"/>
    <s v="No"/>
    <x v="0"/>
    <x v="0"/>
    <x v="141"/>
  </r>
  <r>
    <s v="FRONT Filip"/>
    <x v="0"/>
    <n v="2002"/>
    <s v="KS AZS AWFiS Gdańsk"/>
    <s v="No"/>
    <x v="0"/>
    <x v="1"/>
    <x v="141"/>
  </r>
  <r>
    <s v="FRONT Filip"/>
    <x v="0"/>
    <n v="2002"/>
    <s v="KS AZS AWFiS Gdańsk"/>
    <s v="No"/>
    <x v="0"/>
    <x v="2"/>
    <x v="141"/>
  </r>
  <r>
    <s v="FRONT Filip"/>
    <x v="0"/>
    <n v="2002"/>
    <s v="KS AZS AWFiS Gdańsk"/>
    <s v="No"/>
    <x v="1"/>
    <x v="0"/>
    <x v="141"/>
  </r>
  <r>
    <s v="FRONT Filip"/>
    <x v="0"/>
    <n v="2002"/>
    <s v="KS AZS AWFiS Gdańsk"/>
    <s v="No"/>
    <x v="1"/>
    <x v="1"/>
    <x v="141"/>
  </r>
  <r>
    <s v="FRONT Filip"/>
    <x v="0"/>
    <n v="2002"/>
    <s v="KS AZS AWFiS Gdańsk"/>
    <s v="No"/>
    <x v="1"/>
    <x v="2"/>
    <x v="141"/>
  </r>
  <r>
    <s v="FRONT Filip"/>
    <x v="0"/>
    <n v="2002"/>
    <s v="KS AZS AWFiS Gdańsk"/>
    <s v="No"/>
    <x v="2"/>
    <x v="0"/>
    <x v="43"/>
  </r>
  <r>
    <s v="FRONT Filip"/>
    <x v="0"/>
    <n v="2002"/>
    <s v="KS AZS AWFiS Gdańsk"/>
    <s v="No"/>
    <x v="2"/>
    <x v="1"/>
    <x v="1"/>
  </r>
  <r>
    <s v="FRONT Filip"/>
    <x v="0"/>
    <n v="2002"/>
    <s v="KS AZS AWFiS Gdańsk"/>
    <s v="No"/>
    <x v="2"/>
    <x v="2"/>
    <x v="56"/>
  </r>
  <r>
    <s v="FRONT Filip"/>
    <x v="0"/>
    <n v="2002"/>
    <s v="KS AZS AWFiS Gdańsk"/>
    <s v="No"/>
    <x v="3"/>
    <x v="0"/>
    <x v="123"/>
  </r>
  <r>
    <s v="FRONT Filip"/>
    <x v="0"/>
    <n v="2002"/>
    <s v="KS AZS AWFiS Gdańsk"/>
    <s v="No"/>
    <x v="3"/>
    <x v="1"/>
    <x v="97"/>
  </r>
  <r>
    <s v="FRONT Filip"/>
    <x v="0"/>
    <n v="2002"/>
    <s v="KS AZS AWFiS Gdańsk"/>
    <s v="No"/>
    <x v="3"/>
    <x v="2"/>
    <x v="30"/>
  </r>
  <r>
    <s v="FRONT Filip"/>
    <x v="0"/>
    <n v="2002"/>
    <s v="KS AZS AWFiS Gdańsk"/>
    <s v="No"/>
    <x v="4"/>
    <x v="0"/>
    <x v="93"/>
  </r>
  <r>
    <s v="FRONT Filip"/>
    <x v="0"/>
    <n v="2002"/>
    <s v="KS AZS AWFiS Gdańsk"/>
    <s v="No"/>
    <x v="4"/>
    <x v="1"/>
    <x v="81"/>
  </r>
  <r>
    <s v="FRONT Filip"/>
    <x v="0"/>
    <n v="2002"/>
    <s v="KS AZS AWFiS Gdańsk"/>
    <s v="No"/>
    <x v="4"/>
    <x v="2"/>
    <x v="166"/>
  </r>
  <r>
    <s v="FRONT Filip"/>
    <x v="0"/>
    <n v="2002"/>
    <s v="KS AZS AWFiS Gdańsk"/>
    <s v="No"/>
    <x v="5"/>
    <x v="0"/>
    <x v="141"/>
  </r>
  <r>
    <s v="FRONT Filip"/>
    <x v="0"/>
    <n v="2002"/>
    <s v="KS AZS AWFiS Gdańsk"/>
    <s v="No"/>
    <x v="5"/>
    <x v="1"/>
    <x v="141"/>
  </r>
  <r>
    <s v="FRONT Filip"/>
    <x v="0"/>
    <n v="2002"/>
    <s v="KS AZS AWFiS Gdańsk"/>
    <s v="No"/>
    <x v="5"/>
    <x v="2"/>
    <x v="141"/>
  </r>
  <r>
    <s v="FRONT Filip"/>
    <x v="0"/>
    <n v="2002"/>
    <s v="KS AZS AWFiS Gdańsk"/>
    <s v="No"/>
    <x v="6"/>
    <x v="3"/>
    <x v="141"/>
  </r>
  <r>
    <s v="FRONT Filip"/>
    <x v="0"/>
    <n v="2002"/>
    <s v="KS AZS AWFiS Gdańsk"/>
    <s v="No"/>
    <x v="6"/>
    <x v="4"/>
    <x v="141"/>
  </r>
  <r>
    <s v="FRONT Filip"/>
    <x v="0"/>
    <n v="2002"/>
    <s v="KS AZS AWFiS Gdańsk"/>
    <s v="No"/>
    <x v="6"/>
    <x v="5"/>
    <x v="167"/>
  </r>
  <r>
    <s v="LESIŃSKI Piotr"/>
    <x v="0"/>
    <n v="1999"/>
    <s v="KS AZS AWFiS Gdańsk"/>
    <s v="No"/>
    <x v="0"/>
    <x v="0"/>
    <x v="3"/>
  </r>
  <r>
    <s v="LESIŃSKI Piotr"/>
    <x v="0"/>
    <n v="1999"/>
    <s v="KS AZS AWFiS Gdańsk"/>
    <s v="No"/>
    <x v="0"/>
    <x v="1"/>
    <x v="168"/>
  </r>
  <r>
    <s v="LESIŃSKI Piotr"/>
    <x v="0"/>
    <n v="1999"/>
    <s v="KS AZS AWFiS Gdańsk"/>
    <s v="No"/>
    <x v="0"/>
    <x v="2"/>
    <x v="169"/>
  </r>
  <r>
    <s v="LESIŃSKI Piotr"/>
    <x v="0"/>
    <n v="1999"/>
    <s v="KS AZS AWFiS Gdańsk"/>
    <s v="No"/>
    <x v="1"/>
    <x v="0"/>
    <x v="141"/>
  </r>
  <r>
    <s v="LESIŃSKI Piotr"/>
    <x v="0"/>
    <n v="1999"/>
    <s v="KS AZS AWFiS Gdańsk"/>
    <s v="No"/>
    <x v="1"/>
    <x v="1"/>
    <x v="141"/>
  </r>
  <r>
    <s v="LESIŃSKI Piotr"/>
    <x v="0"/>
    <n v="1999"/>
    <s v="KS AZS AWFiS Gdańsk"/>
    <s v="No"/>
    <x v="1"/>
    <x v="2"/>
    <x v="141"/>
  </r>
  <r>
    <s v="LESIŃSKI Piotr"/>
    <x v="0"/>
    <n v="1999"/>
    <s v="KS AZS AWFiS Gdańsk"/>
    <s v="No"/>
    <x v="2"/>
    <x v="0"/>
    <x v="141"/>
  </r>
  <r>
    <s v="LESIŃSKI Piotr"/>
    <x v="0"/>
    <n v="1999"/>
    <s v="KS AZS AWFiS Gdańsk"/>
    <s v="No"/>
    <x v="2"/>
    <x v="1"/>
    <x v="141"/>
  </r>
  <r>
    <s v="LESIŃSKI Piotr"/>
    <x v="0"/>
    <n v="1999"/>
    <s v="KS AZS AWFiS Gdańsk"/>
    <s v="No"/>
    <x v="2"/>
    <x v="2"/>
    <x v="141"/>
  </r>
  <r>
    <s v="LESIŃSKI Piotr"/>
    <x v="0"/>
    <n v="1999"/>
    <s v="KS AZS AWFiS Gdańsk"/>
    <s v="No"/>
    <x v="3"/>
    <x v="0"/>
    <x v="123"/>
  </r>
  <r>
    <s v="LESIŃSKI Piotr"/>
    <x v="0"/>
    <n v="1999"/>
    <s v="KS AZS AWFiS Gdańsk"/>
    <s v="No"/>
    <x v="3"/>
    <x v="1"/>
    <x v="41"/>
  </r>
  <r>
    <s v="LESIŃSKI Piotr"/>
    <x v="0"/>
    <n v="1999"/>
    <s v="KS AZS AWFiS Gdańsk"/>
    <s v="No"/>
    <x v="3"/>
    <x v="2"/>
    <x v="170"/>
  </r>
  <r>
    <s v="LESIŃSKI Piotr"/>
    <x v="0"/>
    <n v="1999"/>
    <s v="KS AZS AWFiS Gdańsk"/>
    <s v="No"/>
    <x v="4"/>
    <x v="0"/>
    <x v="127"/>
  </r>
  <r>
    <s v="LESIŃSKI Piotr"/>
    <x v="0"/>
    <n v="1999"/>
    <s v="KS AZS AWFiS Gdańsk"/>
    <s v="No"/>
    <x v="4"/>
    <x v="1"/>
    <x v="41"/>
  </r>
  <r>
    <s v="LESIŃSKI Piotr"/>
    <x v="0"/>
    <n v="1999"/>
    <s v="KS AZS AWFiS Gdańsk"/>
    <s v="No"/>
    <x v="4"/>
    <x v="2"/>
    <x v="75"/>
  </r>
  <r>
    <s v="LESIŃSKI Piotr"/>
    <x v="0"/>
    <n v="1999"/>
    <s v="KS AZS AWFiS Gdańsk"/>
    <s v="No"/>
    <x v="5"/>
    <x v="0"/>
    <x v="141"/>
  </r>
  <r>
    <s v="LESIŃSKI Piotr"/>
    <x v="0"/>
    <n v="1999"/>
    <s v="KS AZS AWFiS Gdańsk"/>
    <s v="No"/>
    <x v="5"/>
    <x v="1"/>
    <x v="141"/>
  </r>
  <r>
    <s v="LESIŃSKI Piotr"/>
    <x v="0"/>
    <n v="1999"/>
    <s v="KS AZS AWFiS Gdańsk"/>
    <s v="No"/>
    <x v="5"/>
    <x v="2"/>
    <x v="141"/>
  </r>
  <r>
    <s v="LESIŃSKI Piotr"/>
    <x v="0"/>
    <n v="1999"/>
    <s v="KS AZS AWFiS Gdańsk"/>
    <s v="No"/>
    <x v="6"/>
    <x v="3"/>
    <x v="141"/>
  </r>
  <r>
    <s v="LESIŃSKI Piotr"/>
    <x v="0"/>
    <n v="1999"/>
    <s v="KS AZS AWFiS Gdańsk"/>
    <s v="No"/>
    <x v="6"/>
    <x v="4"/>
    <x v="141"/>
  </r>
  <r>
    <s v="LESIŃSKI Piotr"/>
    <x v="0"/>
    <n v="1999"/>
    <s v="KS AZS AWFiS Gdańsk"/>
    <s v="No"/>
    <x v="6"/>
    <x v="5"/>
    <x v="171"/>
  </r>
  <r>
    <s v="JAKUBOWSKI Jakub"/>
    <x v="0"/>
    <n v="2003"/>
    <s v="KS AZS AWFiS Gdańsk"/>
    <s v="No"/>
    <x v="0"/>
    <x v="0"/>
    <x v="11"/>
  </r>
  <r>
    <s v="JAKUBOWSKI Jakub"/>
    <x v="0"/>
    <n v="2003"/>
    <s v="KS AZS AWFiS Gdańsk"/>
    <s v="No"/>
    <x v="0"/>
    <x v="1"/>
    <x v="172"/>
  </r>
  <r>
    <s v="JAKUBOWSKI Jakub"/>
    <x v="0"/>
    <n v="2003"/>
    <s v="KS AZS AWFiS Gdańsk"/>
    <s v="No"/>
    <x v="0"/>
    <x v="2"/>
    <x v="173"/>
  </r>
  <r>
    <s v="JAKUBOWSKI Jakub"/>
    <x v="0"/>
    <n v="2003"/>
    <s v="KS AZS AWFiS Gdańsk"/>
    <s v="No"/>
    <x v="1"/>
    <x v="0"/>
    <x v="11"/>
  </r>
  <r>
    <s v="JAKUBOWSKI Jakub"/>
    <x v="0"/>
    <n v="2003"/>
    <s v="KS AZS AWFiS Gdańsk"/>
    <s v="No"/>
    <x v="1"/>
    <x v="1"/>
    <x v="37"/>
  </r>
  <r>
    <s v="JAKUBOWSKI Jakub"/>
    <x v="0"/>
    <n v="2003"/>
    <s v="KS AZS AWFiS Gdańsk"/>
    <s v="No"/>
    <x v="1"/>
    <x v="2"/>
    <x v="26"/>
  </r>
  <r>
    <s v="JAKUBOWSKI Jakub"/>
    <x v="0"/>
    <n v="2003"/>
    <s v="KS AZS AWFiS Gdańsk"/>
    <s v="No"/>
    <x v="2"/>
    <x v="0"/>
    <x v="141"/>
  </r>
  <r>
    <s v="JAKUBOWSKI Jakub"/>
    <x v="0"/>
    <n v="2003"/>
    <s v="KS AZS AWFiS Gdańsk"/>
    <s v="No"/>
    <x v="2"/>
    <x v="1"/>
    <x v="141"/>
  </r>
  <r>
    <s v="JAKUBOWSKI Jakub"/>
    <x v="0"/>
    <n v="2003"/>
    <s v="KS AZS AWFiS Gdańsk"/>
    <s v="No"/>
    <x v="2"/>
    <x v="2"/>
    <x v="141"/>
  </r>
  <r>
    <s v="JAKUBOWSKI Jakub"/>
    <x v="0"/>
    <n v="2003"/>
    <s v="KS AZS AWFiS Gdańsk"/>
    <s v="No"/>
    <x v="3"/>
    <x v="0"/>
    <x v="141"/>
  </r>
  <r>
    <s v="JAKUBOWSKI Jakub"/>
    <x v="0"/>
    <n v="2003"/>
    <s v="KS AZS AWFiS Gdańsk"/>
    <s v="No"/>
    <x v="3"/>
    <x v="1"/>
    <x v="141"/>
  </r>
  <r>
    <s v="JAKUBOWSKI Jakub"/>
    <x v="0"/>
    <n v="2003"/>
    <s v="KS AZS AWFiS Gdańsk"/>
    <s v="No"/>
    <x v="3"/>
    <x v="2"/>
    <x v="141"/>
  </r>
  <r>
    <s v="JAKUBOWSKI Jakub"/>
    <x v="0"/>
    <n v="2003"/>
    <s v="KS AZS AWFiS Gdańsk"/>
    <s v="No"/>
    <x v="4"/>
    <x v="0"/>
    <x v="133"/>
  </r>
  <r>
    <s v="JAKUBOWSKI Jakub"/>
    <x v="0"/>
    <n v="2003"/>
    <s v="KS AZS AWFiS Gdańsk"/>
    <s v="No"/>
    <x v="4"/>
    <x v="1"/>
    <x v="79"/>
  </r>
  <r>
    <s v="JAKUBOWSKI Jakub"/>
    <x v="0"/>
    <n v="2003"/>
    <s v="KS AZS AWFiS Gdańsk"/>
    <s v="No"/>
    <x v="4"/>
    <x v="2"/>
    <x v="174"/>
  </r>
  <r>
    <s v="JAKUBOWSKI Jakub"/>
    <x v="0"/>
    <n v="2003"/>
    <s v="KS AZS AWFiS Gdańsk"/>
    <s v="No"/>
    <x v="5"/>
    <x v="0"/>
    <x v="141"/>
  </r>
  <r>
    <s v="JAKUBOWSKI Jakub"/>
    <x v="0"/>
    <n v="2003"/>
    <s v="KS AZS AWFiS Gdańsk"/>
    <s v="No"/>
    <x v="5"/>
    <x v="1"/>
    <x v="141"/>
  </r>
  <r>
    <s v="JAKUBOWSKI Jakub"/>
    <x v="0"/>
    <n v="2003"/>
    <s v="KS AZS AWFiS Gdańsk"/>
    <s v="No"/>
    <x v="5"/>
    <x v="2"/>
    <x v="141"/>
  </r>
  <r>
    <s v="JAKUBOWSKI Jakub"/>
    <x v="0"/>
    <n v="2003"/>
    <s v="KS AZS AWFiS Gdańsk"/>
    <s v="No"/>
    <x v="6"/>
    <x v="3"/>
    <x v="141"/>
  </r>
  <r>
    <s v="JAKUBOWSKI Jakub"/>
    <x v="0"/>
    <n v="2003"/>
    <s v="KS AZS AWFiS Gdańsk"/>
    <s v="No"/>
    <x v="6"/>
    <x v="4"/>
    <x v="141"/>
  </r>
  <r>
    <s v="JAKUBOWSKI Jakub"/>
    <x v="0"/>
    <n v="2003"/>
    <s v="KS AZS AWFiS Gdańsk"/>
    <s v="No"/>
    <x v="6"/>
    <x v="5"/>
    <x v="171"/>
  </r>
  <r>
    <s v="SIEDZIAKO Igor"/>
    <x v="0"/>
    <n v="2004"/>
    <s v="MKS Kusy Szczecin"/>
    <s v="No"/>
    <x v="0"/>
    <x v="0"/>
    <x v="3"/>
  </r>
  <r>
    <s v="SIEDZIAKO Igor"/>
    <x v="0"/>
    <n v="2004"/>
    <s v="MKS Kusy Szczecin"/>
    <s v="No"/>
    <x v="0"/>
    <x v="1"/>
    <x v="172"/>
  </r>
  <r>
    <s v="SIEDZIAKO Igor"/>
    <x v="0"/>
    <n v="2004"/>
    <s v="MKS Kusy Szczecin"/>
    <s v="No"/>
    <x v="0"/>
    <x v="2"/>
    <x v="175"/>
  </r>
  <r>
    <s v="SIEDZIAKO Igor"/>
    <x v="0"/>
    <n v="2004"/>
    <s v="MKS Kusy Szczecin"/>
    <s v="No"/>
    <x v="1"/>
    <x v="0"/>
    <x v="141"/>
  </r>
  <r>
    <s v="SIEDZIAKO Igor"/>
    <x v="0"/>
    <n v="2004"/>
    <s v="MKS Kusy Szczecin"/>
    <s v="No"/>
    <x v="1"/>
    <x v="1"/>
    <x v="141"/>
  </r>
  <r>
    <s v="SIEDZIAKO Igor"/>
    <x v="0"/>
    <n v="2004"/>
    <s v="MKS Kusy Szczecin"/>
    <s v="No"/>
    <x v="1"/>
    <x v="2"/>
    <x v="141"/>
  </r>
  <r>
    <s v="SIEDZIAKO Igor"/>
    <x v="0"/>
    <n v="2004"/>
    <s v="MKS Kusy Szczecin"/>
    <s v="No"/>
    <x v="2"/>
    <x v="0"/>
    <x v="141"/>
  </r>
  <r>
    <s v="SIEDZIAKO Igor"/>
    <x v="0"/>
    <n v="2004"/>
    <s v="MKS Kusy Szczecin"/>
    <s v="No"/>
    <x v="2"/>
    <x v="1"/>
    <x v="141"/>
  </r>
  <r>
    <s v="SIEDZIAKO Igor"/>
    <x v="0"/>
    <n v="2004"/>
    <s v="MKS Kusy Szczecin"/>
    <s v="No"/>
    <x v="2"/>
    <x v="2"/>
    <x v="141"/>
  </r>
  <r>
    <s v="SIEDZIAKO Igor"/>
    <x v="0"/>
    <n v="2004"/>
    <s v="MKS Kusy Szczecin"/>
    <s v="No"/>
    <x v="3"/>
    <x v="0"/>
    <x v="141"/>
  </r>
  <r>
    <s v="SIEDZIAKO Igor"/>
    <x v="0"/>
    <n v="2004"/>
    <s v="MKS Kusy Szczecin"/>
    <s v="No"/>
    <x v="3"/>
    <x v="1"/>
    <x v="141"/>
  </r>
  <r>
    <s v="SIEDZIAKO Igor"/>
    <x v="0"/>
    <n v="2004"/>
    <s v="MKS Kusy Szczecin"/>
    <s v="No"/>
    <x v="3"/>
    <x v="2"/>
    <x v="141"/>
  </r>
  <r>
    <s v="SIEDZIAKO Igor"/>
    <x v="0"/>
    <n v="2004"/>
    <s v="MKS Kusy Szczecin"/>
    <s v="No"/>
    <x v="4"/>
    <x v="0"/>
    <x v="141"/>
  </r>
  <r>
    <s v="SIEDZIAKO Igor"/>
    <x v="0"/>
    <n v="2004"/>
    <s v="MKS Kusy Szczecin"/>
    <s v="No"/>
    <x v="4"/>
    <x v="1"/>
    <x v="141"/>
  </r>
  <r>
    <s v="SIEDZIAKO Igor"/>
    <x v="0"/>
    <n v="2004"/>
    <s v="MKS Kusy Szczecin"/>
    <s v="No"/>
    <x v="4"/>
    <x v="2"/>
    <x v="141"/>
  </r>
  <r>
    <s v="SIEDZIAKO Igor"/>
    <x v="0"/>
    <n v="2004"/>
    <s v="MKS Kusy Szczecin"/>
    <s v="No"/>
    <x v="5"/>
    <x v="0"/>
    <x v="176"/>
  </r>
  <r>
    <s v="SIEDZIAKO Igor"/>
    <x v="0"/>
    <n v="2004"/>
    <s v="MKS Kusy Szczecin"/>
    <s v="No"/>
    <x v="5"/>
    <x v="1"/>
    <x v="90"/>
  </r>
  <r>
    <s v="SIEDZIAKO Igor"/>
    <x v="0"/>
    <n v="2004"/>
    <s v="MKS Kusy Szczecin"/>
    <s v="No"/>
    <x v="5"/>
    <x v="2"/>
    <x v="177"/>
  </r>
  <r>
    <s v="SIEDZIAKO Igor"/>
    <x v="0"/>
    <n v="2004"/>
    <s v="MKS Kusy Szczecin"/>
    <s v="No"/>
    <x v="6"/>
    <x v="3"/>
    <x v="141"/>
  </r>
  <r>
    <s v="SIEDZIAKO Igor"/>
    <x v="0"/>
    <n v="2004"/>
    <s v="MKS Kusy Szczecin"/>
    <s v="No"/>
    <x v="6"/>
    <x v="4"/>
    <x v="141"/>
  </r>
  <r>
    <s v="SIEDZIAKO Igor"/>
    <x v="0"/>
    <n v="2004"/>
    <s v="MKS Kusy Szczecin"/>
    <s v="No"/>
    <x v="6"/>
    <x v="5"/>
    <x v="178"/>
  </r>
  <r>
    <s v="KUŹMIŃSKI Bartosz"/>
    <x v="0"/>
    <n v="2004"/>
    <s v="MKS Kusy Szczecin"/>
    <s v="No"/>
    <x v="0"/>
    <x v="0"/>
    <x v="39"/>
  </r>
  <r>
    <s v="KUŹMIŃSKI Bartosz"/>
    <x v="0"/>
    <n v="2004"/>
    <s v="MKS Kusy Szczecin"/>
    <s v="No"/>
    <x v="0"/>
    <x v="1"/>
    <x v="155"/>
  </r>
  <r>
    <s v="KUŹMIŃSKI Bartosz"/>
    <x v="0"/>
    <n v="2004"/>
    <s v="MKS Kusy Szczecin"/>
    <s v="No"/>
    <x v="0"/>
    <x v="2"/>
    <x v="75"/>
  </r>
  <r>
    <s v="KUŹMIŃSKI Bartosz"/>
    <x v="0"/>
    <n v="2004"/>
    <s v="MKS Kusy Szczecin"/>
    <s v="No"/>
    <x v="1"/>
    <x v="0"/>
    <x v="141"/>
  </r>
  <r>
    <s v="KUŹMIŃSKI Bartosz"/>
    <x v="0"/>
    <n v="2004"/>
    <s v="MKS Kusy Szczecin"/>
    <s v="No"/>
    <x v="1"/>
    <x v="1"/>
    <x v="141"/>
  </r>
  <r>
    <s v="KUŹMIŃSKI Bartosz"/>
    <x v="0"/>
    <n v="2004"/>
    <s v="MKS Kusy Szczecin"/>
    <s v="No"/>
    <x v="1"/>
    <x v="2"/>
    <x v="141"/>
  </r>
  <r>
    <s v="KUŹMIŃSKI Bartosz"/>
    <x v="0"/>
    <n v="2004"/>
    <s v="MKS Kusy Szczecin"/>
    <s v="No"/>
    <x v="2"/>
    <x v="0"/>
    <x v="141"/>
  </r>
  <r>
    <s v="KUŹMIŃSKI Bartosz"/>
    <x v="0"/>
    <n v="2004"/>
    <s v="MKS Kusy Szczecin"/>
    <s v="No"/>
    <x v="2"/>
    <x v="1"/>
    <x v="141"/>
  </r>
  <r>
    <s v="KUŹMIŃSKI Bartosz"/>
    <x v="0"/>
    <n v="2004"/>
    <s v="MKS Kusy Szczecin"/>
    <s v="No"/>
    <x v="2"/>
    <x v="2"/>
    <x v="141"/>
  </r>
  <r>
    <s v="KUŹMIŃSKI Bartosz"/>
    <x v="0"/>
    <n v="2004"/>
    <s v="MKS Kusy Szczecin"/>
    <s v="No"/>
    <x v="3"/>
    <x v="0"/>
    <x v="93"/>
  </r>
  <r>
    <s v="KUŹMIŃSKI Bartosz"/>
    <x v="0"/>
    <n v="2004"/>
    <s v="MKS Kusy Szczecin"/>
    <s v="No"/>
    <x v="3"/>
    <x v="1"/>
    <x v="142"/>
  </r>
  <r>
    <s v="KUŹMIŃSKI Bartosz"/>
    <x v="0"/>
    <n v="2004"/>
    <s v="MKS Kusy Szczecin"/>
    <s v="No"/>
    <x v="3"/>
    <x v="2"/>
    <x v="177"/>
  </r>
  <r>
    <s v="KUŹMIŃSKI Bartosz"/>
    <x v="0"/>
    <n v="2004"/>
    <s v="MKS Kusy Szczecin"/>
    <s v="No"/>
    <x v="4"/>
    <x v="0"/>
    <x v="141"/>
  </r>
  <r>
    <s v="KUŹMIŃSKI Bartosz"/>
    <x v="0"/>
    <n v="2004"/>
    <s v="MKS Kusy Szczecin"/>
    <s v="No"/>
    <x v="4"/>
    <x v="1"/>
    <x v="141"/>
  </r>
  <r>
    <s v="KUŹMIŃSKI Bartosz"/>
    <x v="0"/>
    <n v="2004"/>
    <s v="MKS Kusy Szczecin"/>
    <s v="No"/>
    <x v="4"/>
    <x v="2"/>
    <x v="141"/>
  </r>
  <r>
    <s v="KUŹMIŃSKI Bartosz"/>
    <x v="0"/>
    <n v="2004"/>
    <s v="MKS Kusy Szczecin"/>
    <s v="No"/>
    <x v="5"/>
    <x v="0"/>
    <x v="141"/>
  </r>
  <r>
    <s v="KUŹMIŃSKI Bartosz"/>
    <x v="0"/>
    <n v="2004"/>
    <s v="MKS Kusy Szczecin"/>
    <s v="No"/>
    <x v="5"/>
    <x v="1"/>
    <x v="141"/>
  </r>
  <r>
    <s v="KUŹMIŃSKI Bartosz"/>
    <x v="0"/>
    <n v="2004"/>
    <s v="MKS Kusy Szczecin"/>
    <s v="No"/>
    <x v="5"/>
    <x v="2"/>
    <x v="141"/>
  </r>
  <r>
    <s v="KUŹMIŃSKI Bartosz"/>
    <x v="0"/>
    <n v="2004"/>
    <s v="MKS Kusy Szczecin"/>
    <s v="No"/>
    <x v="6"/>
    <x v="3"/>
    <x v="141"/>
  </r>
  <r>
    <s v="KUŹMIŃSKI Bartosz"/>
    <x v="0"/>
    <n v="2004"/>
    <s v="MKS Kusy Szczecin"/>
    <s v="No"/>
    <x v="6"/>
    <x v="4"/>
    <x v="141"/>
  </r>
  <r>
    <s v="KUŹMIŃSKI Bartosz"/>
    <x v="0"/>
    <n v="2004"/>
    <s v="MKS Kusy Szczecin"/>
    <s v="No"/>
    <x v="6"/>
    <x v="5"/>
    <x v="179"/>
  </r>
  <r>
    <s v="SIUTA Jakub"/>
    <x v="0"/>
    <n v="2000"/>
    <s v="KS AZS AWF Katowice"/>
    <s v="No"/>
    <x v="0"/>
    <x v="0"/>
    <x v="96"/>
  </r>
  <r>
    <s v="SIUTA Jakub"/>
    <x v="0"/>
    <n v="2000"/>
    <s v="KS AZS AWF Katowice"/>
    <s v="No"/>
    <x v="0"/>
    <x v="1"/>
    <x v="155"/>
  </r>
  <r>
    <s v="SIUTA Jakub"/>
    <x v="0"/>
    <n v="2000"/>
    <s v="KS AZS AWF Katowice"/>
    <s v="No"/>
    <x v="0"/>
    <x v="2"/>
    <x v="73"/>
  </r>
  <r>
    <s v="SIUTA Jakub"/>
    <x v="0"/>
    <n v="2000"/>
    <s v="KS AZS AWF Katowice"/>
    <s v="No"/>
    <x v="1"/>
    <x v="0"/>
    <x v="141"/>
  </r>
  <r>
    <s v="SIUTA Jakub"/>
    <x v="0"/>
    <n v="2000"/>
    <s v="KS AZS AWF Katowice"/>
    <s v="No"/>
    <x v="1"/>
    <x v="1"/>
    <x v="141"/>
  </r>
  <r>
    <s v="SIUTA Jakub"/>
    <x v="0"/>
    <n v="2000"/>
    <s v="KS AZS AWF Katowice"/>
    <s v="No"/>
    <x v="1"/>
    <x v="2"/>
    <x v="141"/>
  </r>
  <r>
    <s v="SIUTA Jakub"/>
    <x v="0"/>
    <n v="2000"/>
    <s v="KS AZS AWF Katowice"/>
    <s v="No"/>
    <x v="2"/>
    <x v="0"/>
    <x v="133"/>
  </r>
  <r>
    <s v="SIUTA Jakub"/>
    <x v="0"/>
    <n v="2000"/>
    <s v="KS AZS AWF Katowice"/>
    <s v="No"/>
    <x v="2"/>
    <x v="1"/>
    <x v="180"/>
  </r>
  <r>
    <s v="SIUTA Jakub"/>
    <x v="0"/>
    <n v="2000"/>
    <s v="KS AZS AWF Katowice"/>
    <s v="No"/>
    <x v="2"/>
    <x v="2"/>
    <x v="108"/>
  </r>
  <r>
    <s v="SIUTA Jakub"/>
    <x v="0"/>
    <n v="2000"/>
    <s v="KS AZS AWF Katowice"/>
    <s v="No"/>
    <x v="3"/>
    <x v="0"/>
    <x v="141"/>
  </r>
  <r>
    <s v="SIUTA Jakub"/>
    <x v="0"/>
    <n v="2000"/>
    <s v="KS AZS AWF Katowice"/>
    <s v="No"/>
    <x v="3"/>
    <x v="1"/>
    <x v="141"/>
  </r>
  <r>
    <s v="SIUTA Jakub"/>
    <x v="0"/>
    <n v="2000"/>
    <s v="KS AZS AWF Katowice"/>
    <s v="No"/>
    <x v="3"/>
    <x v="2"/>
    <x v="141"/>
  </r>
  <r>
    <s v="SIUTA Jakub"/>
    <x v="0"/>
    <n v="2000"/>
    <s v="KS AZS AWF Katowice"/>
    <s v="No"/>
    <x v="4"/>
    <x v="0"/>
    <x v="141"/>
  </r>
  <r>
    <s v="SIUTA Jakub"/>
    <x v="0"/>
    <n v="2000"/>
    <s v="KS AZS AWF Katowice"/>
    <s v="No"/>
    <x v="4"/>
    <x v="1"/>
    <x v="141"/>
  </r>
  <r>
    <s v="SIUTA Jakub"/>
    <x v="0"/>
    <n v="2000"/>
    <s v="KS AZS AWF Katowice"/>
    <s v="No"/>
    <x v="4"/>
    <x v="2"/>
    <x v="141"/>
  </r>
  <r>
    <s v="SIUTA Jakub"/>
    <x v="0"/>
    <n v="2000"/>
    <s v="KS AZS AWF Katowice"/>
    <s v="No"/>
    <x v="5"/>
    <x v="0"/>
    <x v="141"/>
  </r>
  <r>
    <s v="SIUTA Jakub"/>
    <x v="0"/>
    <n v="2000"/>
    <s v="KS AZS AWF Katowice"/>
    <s v="No"/>
    <x v="5"/>
    <x v="1"/>
    <x v="141"/>
  </r>
  <r>
    <s v="SIUTA Jakub"/>
    <x v="0"/>
    <n v="2000"/>
    <s v="KS AZS AWF Katowice"/>
    <s v="No"/>
    <x v="5"/>
    <x v="2"/>
    <x v="141"/>
  </r>
  <r>
    <s v="SIUTA Jakub"/>
    <x v="0"/>
    <n v="2000"/>
    <s v="KS AZS AWF Katowice"/>
    <s v="No"/>
    <x v="6"/>
    <x v="3"/>
    <x v="141"/>
  </r>
  <r>
    <s v="SIUTA Jakub"/>
    <x v="0"/>
    <n v="2000"/>
    <s v="KS AZS AWF Katowice"/>
    <s v="No"/>
    <x v="6"/>
    <x v="4"/>
    <x v="141"/>
  </r>
  <r>
    <s v="SIUTA Jakub"/>
    <x v="0"/>
    <n v="2000"/>
    <s v="KS AZS AWF Katowice"/>
    <s v="No"/>
    <x v="6"/>
    <x v="5"/>
    <x v="181"/>
  </r>
  <r>
    <s v="KLIMCZUK Paweł"/>
    <x v="0"/>
    <n v="2004"/>
    <s v="MKS Gdańsk"/>
    <s v="No"/>
    <x v="0"/>
    <x v="0"/>
    <x v="141"/>
  </r>
  <r>
    <s v="KLIMCZUK Paweł"/>
    <x v="0"/>
    <n v="2004"/>
    <s v="MKS Gdańsk"/>
    <s v="No"/>
    <x v="0"/>
    <x v="1"/>
    <x v="141"/>
  </r>
  <r>
    <s v="KLIMCZUK Paweł"/>
    <x v="0"/>
    <n v="2004"/>
    <s v="MKS Gdańsk"/>
    <s v="No"/>
    <x v="0"/>
    <x v="2"/>
    <x v="141"/>
  </r>
  <r>
    <s v="KLIMCZUK Paweł"/>
    <x v="0"/>
    <n v="2004"/>
    <s v="MKS Gdańsk"/>
    <s v="No"/>
    <x v="1"/>
    <x v="0"/>
    <x v="96"/>
  </r>
  <r>
    <s v="KLIMCZUK Paweł"/>
    <x v="0"/>
    <n v="2004"/>
    <s v="MKS Gdańsk"/>
    <s v="No"/>
    <x v="1"/>
    <x v="1"/>
    <x v="0"/>
  </r>
  <r>
    <s v="KLIMCZUK Paweł"/>
    <x v="0"/>
    <n v="2004"/>
    <s v="MKS Gdańsk"/>
    <s v="No"/>
    <x v="1"/>
    <x v="2"/>
    <x v="97"/>
  </r>
  <r>
    <s v="KLIMCZUK Paweł"/>
    <x v="0"/>
    <n v="2004"/>
    <s v="MKS Gdańsk"/>
    <s v="No"/>
    <x v="2"/>
    <x v="0"/>
    <x v="141"/>
  </r>
  <r>
    <s v="KLIMCZUK Paweł"/>
    <x v="0"/>
    <n v="2004"/>
    <s v="MKS Gdańsk"/>
    <s v="No"/>
    <x v="2"/>
    <x v="1"/>
    <x v="141"/>
  </r>
  <r>
    <s v="KLIMCZUK Paweł"/>
    <x v="0"/>
    <n v="2004"/>
    <s v="MKS Gdańsk"/>
    <s v="No"/>
    <x v="2"/>
    <x v="2"/>
    <x v="141"/>
  </r>
  <r>
    <s v="KLIMCZUK Paweł"/>
    <x v="0"/>
    <n v="2004"/>
    <s v="MKS Gdańsk"/>
    <s v="No"/>
    <x v="3"/>
    <x v="0"/>
    <x v="141"/>
  </r>
  <r>
    <s v="KLIMCZUK Paweł"/>
    <x v="0"/>
    <n v="2004"/>
    <s v="MKS Gdańsk"/>
    <s v="No"/>
    <x v="3"/>
    <x v="1"/>
    <x v="141"/>
  </r>
  <r>
    <s v="KLIMCZUK Paweł"/>
    <x v="0"/>
    <n v="2004"/>
    <s v="MKS Gdańsk"/>
    <s v="No"/>
    <x v="3"/>
    <x v="2"/>
    <x v="141"/>
  </r>
  <r>
    <s v="KLIMCZUK Paweł"/>
    <x v="0"/>
    <n v="2004"/>
    <s v="MKS Gdańsk"/>
    <s v="No"/>
    <x v="4"/>
    <x v="0"/>
    <x v="141"/>
  </r>
  <r>
    <s v="KLIMCZUK Paweł"/>
    <x v="0"/>
    <n v="2004"/>
    <s v="MKS Gdańsk"/>
    <s v="No"/>
    <x v="4"/>
    <x v="1"/>
    <x v="141"/>
  </r>
  <r>
    <s v="KLIMCZUK Paweł"/>
    <x v="0"/>
    <n v="2004"/>
    <s v="MKS Gdańsk"/>
    <s v="No"/>
    <x v="4"/>
    <x v="2"/>
    <x v="141"/>
  </r>
  <r>
    <s v="KLIMCZUK Paweł"/>
    <x v="0"/>
    <n v="2004"/>
    <s v="MKS Gdańsk"/>
    <s v="No"/>
    <x v="5"/>
    <x v="0"/>
    <x v="141"/>
  </r>
  <r>
    <s v="KLIMCZUK Paweł"/>
    <x v="0"/>
    <n v="2004"/>
    <s v="MKS Gdańsk"/>
    <s v="No"/>
    <x v="5"/>
    <x v="1"/>
    <x v="141"/>
  </r>
  <r>
    <s v="KLIMCZUK Paweł"/>
    <x v="0"/>
    <n v="2004"/>
    <s v="MKS Gdańsk"/>
    <s v="No"/>
    <x v="5"/>
    <x v="2"/>
    <x v="141"/>
  </r>
  <r>
    <s v="KLIMCZUK Paweł"/>
    <x v="0"/>
    <n v="2004"/>
    <s v="MKS Gdańsk"/>
    <s v="No"/>
    <x v="6"/>
    <x v="3"/>
    <x v="141"/>
  </r>
  <r>
    <s v="KLIMCZUK Paweł"/>
    <x v="0"/>
    <n v="2004"/>
    <s v="MKS Gdańsk"/>
    <s v="No"/>
    <x v="6"/>
    <x v="4"/>
    <x v="141"/>
  </r>
  <r>
    <s v="KLIMCZUK Paweł"/>
    <x v="0"/>
    <n v="2004"/>
    <s v="MKS Gdańsk"/>
    <s v="No"/>
    <x v="6"/>
    <x v="5"/>
    <x v="97"/>
  </r>
  <r>
    <s v="LEKHAC Tomasz"/>
    <x v="1"/>
    <n v="2008"/>
    <s v="CWZS Zawisza KG Bydgoszcz"/>
    <s v="Yes"/>
    <x v="0"/>
    <x v="0"/>
    <x v="43"/>
  </r>
  <r>
    <s v="LEKHAC Tomasz"/>
    <x v="1"/>
    <n v="2008"/>
    <s v="CWZS Zawisza KG Bydgoszcz"/>
    <s v="Yes"/>
    <x v="0"/>
    <x v="1"/>
    <x v="182"/>
  </r>
  <r>
    <s v="LEKHAC Tomasz"/>
    <x v="1"/>
    <n v="2008"/>
    <s v="CWZS Zawisza KG Bydgoszcz"/>
    <s v="Yes"/>
    <x v="0"/>
    <x v="2"/>
    <x v="183"/>
  </r>
  <r>
    <s v="LEKHAC Tomasz"/>
    <x v="1"/>
    <n v="2008"/>
    <s v="CWZS Zawisza KG Bydgoszcz"/>
    <s v="Yes"/>
    <x v="1"/>
    <x v="0"/>
    <x v="39"/>
  </r>
  <r>
    <s v="LEKHAC Tomasz"/>
    <x v="1"/>
    <n v="2008"/>
    <s v="CWZS Zawisza KG Bydgoszcz"/>
    <s v="Yes"/>
    <x v="1"/>
    <x v="1"/>
    <x v="41"/>
  </r>
  <r>
    <s v="LEKHAC Tomasz"/>
    <x v="1"/>
    <n v="2008"/>
    <s v="CWZS Zawisza KG Bydgoszcz"/>
    <s v="Yes"/>
    <x v="1"/>
    <x v="2"/>
    <x v="42"/>
  </r>
  <r>
    <s v="LEKHAC Tomasz"/>
    <x v="1"/>
    <n v="2008"/>
    <s v="CWZS Zawisza KG Bydgoszcz"/>
    <s v="Yes"/>
    <x v="2"/>
    <x v="0"/>
    <x v="123"/>
  </r>
  <r>
    <s v="LEKHAC Tomasz"/>
    <x v="1"/>
    <n v="2008"/>
    <s v="CWZS Zawisza KG Bydgoszcz"/>
    <s v="Yes"/>
    <x v="2"/>
    <x v="1"/>
    <x v="14"/>
  </r>
  <r>
    <s v="LEKHAC Tomasz"/>
    <x v="1"/>
    <n v="2008"/>
    <s v="CWZS Zawisza KG Bydgoszcz"/>
    <s v="Yes"/>
    <x v="2"/>
    <x v="2"/>
    <x v="158"/>
  </r>
  <r>
    <s v="LEKHAC Tomasz"/>
    <x v="1"/>
    <n v="2008"/>
    <s v="CWZS Zawisza KG Bydgoszcz"/>
    <s v="Yes"/>
    <x v="3"/>
    <x v="0"/>
    <x v="184"/>
  </r>
  <r>
    <s v="LEKHAC Tomasz"/>
    <x v="1"/>
    <n v="2008"/>
    <s v="CWZS Zawisza KG Bydgoszcz"/>
    <s v="Yes"/>
    <x v="3"/>
    <x v="1"/>
    <x v="94"/>
  </r>
  <r>
    <s v="LEKHAC Tomasz"/>
    <x v="1"/>
    <n v="2008"/>
    <s v="CWZS Zawisza KG Bydgoszcz"/>
    <s v="Yes"/>
    <x v="3"/>
    <x v="2"/>
    <x v="75"/>
  </r>
  <r>
    <s v="LEKHAC Tomasz"/>
    <x v="1"/>
    <n v="2008"/>
    <s v="CWZS Zawisza KG Bydgoszcz"/>
    <s v="Yes"/>
    <x v="4"/>
    <x v="0"/>
    <x v="11"/>
  </r>
  <r>
    <s v="LEKHAC Tomasz"/>
    <x v="1"/>
    <n v="2008"/>
    <s v="CWZS Zawisza KG Bydgoszcz"/>
    <s v="Yes"/>
    <x v="4"/>
    <x v="1"/>
    <x v="185"/>
  </r>
  <r>
    <s v="LEKHAC Tomasz"/>
    <x v="1"/>
    <n v="2008"/>
    <s v="CWZS Zawisza KG Bydgoszcz"/>
    <s v="Yes"/>
    <x v="4"/>
    <x v="2"/>
    <x v="15"/>
  </r>
  <r>
    <s v="LEKHAC Tomasz"/>
    <x v="1"/>
    <n v="2008"/>
    <s v="CWZS Zawisza KG Bydgoszcz"/>
    <s v="Yes"/>
    <x v="5"/>
    <x v="0"/>
    <x v="127"/>
  </r>
  <r>
    <s v="LEKHAC Tomasz"/>
    <x v="1"/>
    <n v="2008"/>
    <s v="CWZS Zawisza KG Bydgoszcz"/>
    <s v="Yes"/>
    <x v="5"/>
    <x v="1"/>
    <x v="186"/>
  </r>
  <r>
    <s v="LEKHAC Tomasz"/>
    <x v="1"/>
    <n v="2008"/>
    <s v="CWZS Zawisza KG Bydgoszcz"/>
    <s v="Yes"/>
    <x v="5"/>
    <x v="2"/>
    <x v="8"/>
  </r>
  <r>
    <s v="LEKHAC Tomasz"/>
    <x v="1"/>
    <n v="2008"/>
    <s v="CWZS Zawisza KG Bydgoszcz"/>
    <s v="Yes"/>
    <x v="6"/>
    <x v="3"/>
    <x v="187"/>
  </r>
  <r>
    <s v="LEKHAC Tomasz"/>
    <x v="1"/>
    <n v="2008"/>
    <s v="CWZS Zawisza KG Bydgoszcz"/>
    <s v="Yes"/>
    <x v="6"/>
    <x v="4"/>
    <x v="188"/>
  </r>
  <r>
    <s v="LEKHAC Tomasz"/>
    <x v="1"/>
    <n v="2008"/>
    <s v="CWZS Zawisza KG Bydgoszcz"/>
    <s v="Yes"/>
    <x v="6"/>
    <x v="5"/>
    <x v="189"/>
  </r>
  <r>
    <s v="KUZDRA Christian"/>
    <x v="1"/>
    <n v="2006"/>
    <s v="MKS Gdańsk"/>
    <s v="Yes"/>
    <x v="0"/>
    <x v="0"/>
    <x v="104"/>
  </r>
  <r>
    <s v="KUZDRA Christian"/>
    <x v="1"/>
    <n v="2006"/>
    <s v="MKS Gdańsk"/>
    <s v="Yes"/>
    <x v="0"/>
    <x v="1"/>
    <x v="66"/>
  </r>
  <r>
    <s v="KUZDRA Christian"/>
    <x v="1"/>
    <n v="2006"/>
    <s v="MKS Gdańsk"/>
    <s v="Yes"/>
    <x v="0"/>
    <x v="2"/>
    <x v="61"/>
  </r>
  <r>
    <s v="KUZDRA Christian"/>
    <x v="1"/>
    <n v="2006"/>
    <s v="MKS Gdańsk"/>
    <s v="Yes"/>
    <x v="1"/>
    <x v="0"/>
    <x v="104"/>
  </r>
  <r>
    <s v="KUZDRA Christian"/>
    <x v="1"/>
    <n v="2006"/>
    <s v="MKS Gdańsk"/>
    <s v="Yes"/>
    <x v="1"/>
    <x v="1"/>
    <x v="14"/>
  </r>
  <r>
    <s v="KUZDRA Christian"/>
    <x v="1"/>
    <n v="2006"/>
    <s v="MKS Gdańsk"/>
    <s v="Yes"/>
    <x v="1"/>
    <x v="2"/>
    <x v="105"/>
  </r>
  <r>
    <s v="KUZDRA Christian"/>
    <x v="1"/>
    <n v="2006"/>
    <s v="MKS Gdańsk"/>
    <s v="Yes"/>
    <x v="2"/>
    <x v="0"/>
    <x v="60"/>
  </r>
  <r>
    <s v="KUZDRA Christian"/>
    <x v="1"/>
    <n v="2006"/>
    <s v="MKS Gdańsk"/>
    <s v="Yes"/>
    <x v="2"/>
    <x v="1"/>
    <x v="155"/>
  </r>
  <r>
    <s v="KUZDRA Christian"/>
    <x v="1"/>
    <n v="2006"/>
    <s v="MKS Gdańsk"/>
    <s v="Yes"/>
    <x v="2"/>
    <x v="2"/>
    <x v="190"/>
  </r>
  <r>
    <s v="KUZDRA Christian"/>
    <x v="1"/>
    <n v="2006"/>
    <s v="MKS Gdańsk"/>
    <s v="Yes"/>
    <x v="3"/>
    <x v="0"/>
    <x v="93"/>
  </r>
  <r>
    <s v="KUZDRA Christian"/>
    <x v="1"/>
    <n v="2006"/>
    <s v="MKS Gdańsk"/>
    <s v="Yes"/>
    <x v="3"/>
    <x v="1"/>
    <x v="157"/>
  </r>
  <r>
    <s v="KUZDRA Christian"/>
    <x v="1"/>
    <n v="2006"/>
    <s v="MKS Gdańsk"/>
    <s v="Yes"/>
    <x v="3"/>
    <x v="2"/>
    <x v="30"/>
  </r>
  <r>
    <s v="KUZDRA Christian"/>
    <x v="1"/>
    <n v="2006"/>
    <s v="MKS Gdańsk"/>
    <s v="Yes"/>
    <x v="4"/>
    <x v="0"/>
    <x v="60"/>
  </r>
  <r>
    <s v="KUZDRA Christian"/>
    <x v="1"/>
    <n v="2006"/>
    <s v="MKS Gdańsk"/>
    <s v="Yes"/>
    <x v="4"/>
    <x v="1"/>
    <x v="37"/>
  </r>
  <r>
    <s v="KUZDRA Christian"/>
    <x v="1"/>
    <n v="2006"/>
    <s v="MKS Gdańsk"/>
    <s v="Yes"/>
    <x v="4"/>
    <x v="2"/>
    <x v="191"/>
  </r>
  <r>
    <s v="KUZDRA Christian"/>
    <x v="1"/>
    <n v="2006"/>
    <s v="MKS Gdańsk"/>
    <s v="Yes"/>
    <x v="5"/>
    <x v="0"/>
    <x v="46"/>
  </r>
  <r>
    <s v="KUZDRA Christian"/>
    <x v="1"/>
    <n v="2006"/>
    <s v="MKS Gdańsk"/>
    <s v="Yes"/>
    <x v="5"/>
    <x v="1"/>
    <x v="185"/>
  </r>
  <r>
    <s v="KUZDRA Christian"/>
    <x v="1"/>
    <n v="2006"/>
    <s v="MKS Gdańsk"/>
    <s v="Yes"/>
    <x v="5"/>
    <x v="2"/>
    <x v="105"/>
  </r>
  <r>
    <s v="KUZDRA Christian"/>
    <x v="1"/>
    <n v="2006"/>
    <s v="MKS Gdańsk"/>
    <s v="Yes"/>
    <x v="6"/>
    <x v="3"/>
    <x v="192"/>
  </r>
  <r>
    <s v="KUZDRA Christian"/>
    <x v="1"/>
    <n v="2006"/>
    <s v="MKS Gdańsk"/>
    <s v="Yes"/>
    <x v="6"/>
    <x v="4"/>
    <x v="193"/>
  </r>
  <r>
    <s v="KUZDRA Christian"/>
    <x v="1"/>
    <n v="2006"/>
    <s v="MKS Gdańsk"/>
    <s v="Yes"/>
    <x v="6"/>
    <x v="5"/>
    <x v="194"/>
  </r>
  <r>
    <s v="KOPERSKI Filip"/>
    <x v="1"/>
    <n v="2007"/>
    <s v="KS AZS AWF Kraków"/>
    <s v="Yes"/>
    <x v="0"/>
    <x v="0"/>
    <x v="46"/>
  </r>
  <r>
    <s v="KOPERSKI Filip"/>
    <x v="1"/>
    <n v="2007"/>
    <s v="KS AZS AWF Kraków"/>
    <s v="Yes"/>
    <x v="0"/>
    <x v="1"/>
    <x v="150"/>
  </r>
  <r>
    <s v="KOPERSKI Filip"/>
    <x v="1"/>
    <n v="2007"/>
    <s v="KS AZS AWF Kraków"/>
    <s v="Yes"/>
    <x v="0"/>
    <x v="2"/>
    <x v="170"/>
  </r>
  <r>
    <s v="KOPERSKI Filip"/>
    <x v="1"/>
    <n v="2007"/>
    <s v="KS AZS AWF Kraków"/>
    <s v="Yes"/>
    <x v="1"/>
    <x v="0"/>
    <x v="133"/>
  </r>
  <r>
    <s v="KOPERSKI Filip"/>
    <x v="1"/>
    <n v="2007"/>
    <s v="KS AZS AWF Kraków"/>
    <s v="Yes"/>
    <x v="1"/>
    <x v="1"/>
    <x v="32"/>
  </r>
  <r>
    <s v="KOPERSKI Filip"/>
    <x v="1"/>
    <n v="2007"/>
    <s v="KS AZS AWF Kraków"/>
    <s v="Yes"/>
    <x v="1"/>
    <x v="2"/>
    <x v="195"/>
  </r>
  <r>
    <s v="KOPERSKI Filip"/>
    <x v="1"/>
    <n v="2007"/>
    <s v="KS AZS AWF Kraków"/>
    <s v="Yes"/>
    <x v="2"/>
    <x v="0"/>
    <x v="46"/>
  </r>
  <r>
    <s v="KOPERSKI Filip"/>
    <x v="1"/>
    <n v="2007"/>
    <s v="KS AZS AWF Kraków"/>
    <s v="Yes"/>
    <x v="2"/>
    <x v="1"/>
    <x v="89"/>
  </r>
  <r>
    <s v="KOPERSKI Filip"/>
    <x v="1"/>
    <n v="2007"/>
    <s v="KS AZS AWF Kraków"/>
    <s v="Yes"/>
    <x v="2"/>
    <x v="2"/>
    <x v="196"/>
  </r>
  <r>
    <s v="KOPERSKI Filip"/>
    <x v="1"/>
    <n v="2007"/>
    <s v="KS AZS AWF Kraków"/>
    <s v="Yes"/>
    <x v="3"/>
    <x v="0"/>
    <x v="43"/>
  </r>
  <r>
    <s v="KOPERSKI Filip"/>
    <x v="1"/>
    <n v="2007"/>
    <s v="KS AZS AWF Kraków"/>
    <s v="Yes"/>
    <x v="3"/>
    <x v="1"/>
    <x v="12"/>
  </r>
  <r>
    <s v="KOPERSKI Filip"/>
    <x v="1"/>
    <n v="2007"/>
    <s v="KS AZS AWF Kraków"/>
    <s v="Yes"/>
    <x v="3"/>
    <x v="2"/>
    <x v="15"/>
  </r>
  <r>
    <s v="KOPERSKI Filip"/>
    <x v="1"/>
    <n v="2007"/>
    <s v="KS AZS AWF Kraków"/>
    <s v="Yes"/>
    <x v="4"/>
    <x v="0"/>
    <x v="116"/>
  </r>
  <r>
    <s v="KOPERSKI Filip"/>
    <x v="1"/>
    <n v="2007"/>
    <s v="KS AZS AWF Kraków"/>
    <s v="Yes"/>
    <x v="4"/>
    <x v="1"/>
    <x v="25"/>
  </r>
  <r>
    <s v="KOPERSKI Filip"/>
    <x v="1"/>
    <n v="2007"/>
    <s v="KS AZS AWF Kraków"/>
    <s v="Yes"/>
    <x v="4"/>
    <x v="2"/>
    <x v="92"/>
  </r>
  <r>
    <s v="KOPERSKI Filip"/>
    <x v="1"/>
    <n v="2007"/>
    <s v="KS AZS AWF Kraków"/>
    <s v="Yes"/>
    <x v="5"/>
    <x v="0"/>
    <x v="48"/>
  </r>
  <r>
    <s v="KOPERSKI Filip"/>
    <x v="1"/>
    <n v="2007"/>
    <s v="KS AZS AWF Kraków"/>
    <s v="Yes"/>
    <x v="5"/>
    <x v="1"/>
    <x v="1"/>
  </r>
  <r>
    <s v="KOPERSKI Filip"/>
    <x v="1"/>
    <n v="2007"/>
    <s v="KS AZS AWF Kraków"/>
    <s v="Yes"/>
    <x v="5"/>
    <x v="2"/>
    <x v="197"/>
  </r>
  <r>
    <s v="KOPERSKI Filip"/>
    <x v="1"/>
    <n v="2007"/>
    <s v="KS AZS AWF Kraków"/>
    <s v="Yes"/>
    <x v="6"/>
    <x v="3"/>
    <x v="198"/>
  </r>
  <r>
    <s v="KOPERSKI Filip"/>
    <x v="1"/>
    <n v="2007"/>
    <s v="KS AZS AWF Kraków"/>
    <s v="Yes"/>
    <x v="6"/>
    <x v="4"/>
    <x v="199"/>
  </r>
  <r>
    <s v="KOPERSKI Filip"/>
    <x v="1"/>
    <n v="2007"/>
    <s v="KS AZS AWF Kraków"/>
    <s v="Yes"/>
    <x v="6"/>
    <x v="5"/>
    <x v="200"/>
  </r>
  <r>
    <s v="KWIATKOWSKI Michał"/>
    <x v="1"/>
    <n v="2005"/>
    <s v="MKS Kusy Szczecin"/>
    <s v="Yes"/>
    <x v="0"/>
    <x v="0"/>
    <x v="11"/>
  </r>
  <r>
    <s v="KWIATKOWSKI Michał"/>
    <x v="1"/>
    <n v="2005"/>
    <s v="MKS Kusy Szczecin"/>
    <s v="Yes"/>
    <x v="0"/>
    <x v="1"/>
    <x v="83"/>
  </r>
  <r>
    <s v="KWIATKOWSKI Michał"/>
    <x v="1"/>
    <n v="2005"/>
    <s v="MKS Kusy Szczecin"/>
    <s v="Yes"/>
    <x v="0"/>
    <x v="2"/>
    <x v="38"/>
  </r>
  <r>
    <s v="KWIATKOWSKI Michał"/>
    <x v="1"/>
    <n v="2005"/>
    <s v="MKS Kusy Szczecin"/>
    <s v="Yes"/>
    <x v="1"/>
    <x v="0"/>
    <x v="46"/>
  </r>
  <r>
    <s v="KWIATKOWSKI Michał"/>
    <x v="1"/>
    <n v="2005"/>
    <s v="MKS Kusy Szczecin"/>
    <s v="Yes"/>
    <x v="1"/>
    <x v="1"/>
    <x v="150"/>
  </r>
  <r>
    <s v="KWIATKOWSKI Michał"/>
    <x v="1"/>
    <n v="2005"/>
    <s v="MKS Kusy Szczecin"/>
    <s v="Yes"/>
    <x v="1"/>
    <x v="2"/>
    <x v="170"/>
  </r>
  <r>
    <s v="KWIATKOWSKI Michał"/>
    <x v="1"/>
    <n v="2005"/>
    <s v="MKS Kusy Szczecin"/>
    <s v="Yes"/>
    <x v="2"/>
    <x v="0"/>
    <x v="153"/>
  </r>
  <r>
    <s v="KWIATKOWSKI Michał"/>
    <x v="1"/>
    <n v="2005"/>
    <s v="MKS Kusy Szczecin"/>
    <s v="Yes"/>
    <x v="2"/>
    <x v="1"/>
    <x v="159"/>
  </r>
  <r>
    <s v="KWIATKOWSKI Michał"/>
    <x v="1"/>
    <n v="2005"/>
    <s v="MKS Kusy Szczecin"/>
    <s v="Yes"/>
    <x v="2"/>
    <x v="2"/>
    <x v="197"/>
  </r>
  <r>
    <s v="KWIATKOWSKI Michał"/>
    <x v="1"/>
    <n v="2005"/>
    <s v="MKS Kusy Szczecin"/>
    <s v="Yes"/>
    <x v="3"/>
    <x v="0"/>
    <x v="93"/>
  </r>
  <r>
    <s v="KWIATKOWSKI Michał"/>
    <x v="1"/>
    <n v="2005"/>
    <s v="MKS Kusy Szczecin"/>
    <s v="Yes"/>
    <x v="3"/>
    <x v="1"/>
    <x v="201"/>
  </r>
  <r>
    <s v="KWIATKOWSKI Michał"/>
    <x v="1"/>
    <n v="2005"/>
    <s v="MKS Kusy Szczecin"/>
    <s v="Yes"/>
    <x v="3"/>
    <x v="2"/>
    <x v="202"/>
  </r>
  <r>
    <s v="KWIATKOWSKI Michał"/>
    <x v="1"/>
    <n v="2005"/>
    <s v="MKS Kusy Szczecin"/>
    <s v="Yes"/>
    <x v="4"/>
    <x v="0"/>
    <x v="93"/>
  </r>
  <r>
    <s v="KWIATKOWSKI Michał"/>
    <x v="1"/>
    <n v="2005"/>
    <s v="MKS Kusy Szczecin"/>
    <s v="Yes"/>
    <x v="4"/>
    <x v="1"/>
    <x v="12"/>
  </r>
  <r>
    <s v="KWIATKOWSKI Michał"/>
    <x v="1"/>
    <n v="2005"/>
    <s v="MKS Kusy Szczecin"/>
    <s v="Yes"/>
    <x v="4"/>
    <x v="2"/>
    <x v="105"/>
  </r>
  <r>
    <s v="KWIATKOWSKI Michał"/>
    <x v="1"/>
    <n v="2005"/>
    <s v="MKS Kusy Szczecin"/>
    <s v="Yes"/>
    <x v="5"/>
    <x v="0"/>
    <x v="120"/>
  </r>
  <r>
    <s v="KWIATKOWSKI Michał"/>
    <x v="1"/>
    <n v="2005"/>
    <s v="MKS Kusy Szczecin"/>
    <s v="Yes"/>
    <x v="5"/>
    <x v="1"/>
    <x v="162"/>
  </r>
  <r>
    <s v="KWIATKOWSKI Michał"/>
    <x v="1"/>
    <n v="2005"/>
    <s v="MKS Kusy Szczecin"/>
    <s v="Yes"/>
    <x v="5"/>
    <x v="2"/>
    <x v="132"/>
  </r>
  <r>
    <s v="KWIATKOWSKI Michał"/>
    <x v="1"/>
    <n v="2005"/>
    <s v="MKS Kusy Szczecin"/>
    <s v="Yes"/>
    <x v="6"/>
    <x v="3"/>
    <x v="203"/>
  </r>
  <r>
    <s v="KWIATKOWSKI Michał"/>
    <x v="1"/>
    <n v="2005"/>
    <s v="MKS Kusy Szczecin"/>
    <s v="Yes"/>
    <x v="6"/>
    <x v="4"/>
    <x v="204"/>
  </r>
  <r>
    <s v="KWIATKOWSKI Michał"/>
    <x v="1"/>
    <n v="2005"/>
    <s v="MKS Kusy Szczecin"/>
    <s v="Yes"/>
    <x v="6"/>
    <x v="5"/>
    <x v="205"/>
  </r>
  <r>
    <s v="KOŁODZIEJCZYK Karol"/>
    <x v="1"/>
    <n v="2007"/>
    <s v="KS AZS AWF Kraków"/>
    <s v="Yes"/>
    <x v="0"/>
    <x v="0"/>
    <x v="46"/>
  </r>
  <r>
    <s v="KOŁODZIEJCZYK Karol"/>
    <x v="1"/>
    <n v="2007"/>
    <s v="KS AZS AWF Kraków"/>
    <s v="Yes"/>
    <x v="0"/>
    <x v="1"/>
    <x v="10"/>
  </r>
  <r>
    <s v="KOŁODZIEJCZYK Karol"/>
    <x v="1"/>
    <n v="2007"/>
    <s v="KS AZS AWF Kraków"/>
    <s v="Yes"/>
    <x v="0"/>
    <x v="2"/>
    <x v="169"/>
  </r>
  <r>
    <s v="KOŁODZIEJCZYK Karol"/>
    <x v="1"/>
    <n v="2007"/>
    <s v="KS AZS AWF Kraków"/>
    <s v="Yes"/>
    <x v="1"/>
    <x v="0"/>
    <x v="116"/>
  </r>
  <r>
    <s v="KOŁODZIEJCZYK Karol"/>
    <x v="1"/>
    <n v="2007"/>
    <s v="KS AZS AWF Kraków"/>
    <s v="Yes"/>
    <x v="1"/>
    <x v="1"/>
    <x v="180"/>
  </r>
  <r>
    <s v="KOŁODZIEJCZYK Karol"/>
    <x v="1"/>
    <n v="2007"/>
    <s v="KS AZS AWF Kraków"/>
    <s v="Yes"/>
    <x v="1"/>
    <x v="2"/>
    <x v="47"/>
  </r>
  <r>
    <s v="KOŁODZIEJCZYK Karol"/>
    <x v="1"/>
    <n v="2007"/>
    <s v="KS AZS AWF Kraków"/>
    <s v="Yes"/>
    <x v="2"/>
    <x v="0"/>
    <x v="206"/>
  </r>
  <r>
    <s v="KOŁODZIEJCZYK Karol"/>
    <x v="1"/>
    <n v="2007"/>
    <s v="KS AZS AWF Kraków"/>
    <s v="Yes"/>
    <x v="2"/>
    <x v="1"/>
    <x v="89"/>
  </r>
  <r>
    <s v="KOŁODZIEJCZYK Karol"/>
    <x v="1"/>
    <n v="2007"/>
    <s v="KS AZS AWF Kraków"/>
    <s v="Yes"/>
    <x v="2"/>
    <x v="2"/>
    <x v="207"/>
  </r>
  <r>
    <s v="KOŁODZIEJCZYK Karol"/>
    <x v="1"/>
    <n v="2007"/>
    <s v="KS AZS AWF Kraków"/>
    <s v="Yes"/>
    <x v="3"/>
    <x v="0"/>
    <x v="123"/>
  </r>
  <r>
    <s v="KOŁODZIEJCZYK Karol"/>
    <x v="1"/>
    <n v="2007"/>
    <s v="KS AZS AWF Kraków"/>
    <s v="Yes"/>
    <x v="3"/>
    <x v="1"/>
    <x v="47"/>
  </r>
  <r>
    <s v="KOŁODZIEJCZYK Karol"/>
    <x v="1"/>
    <n v="2007"/>
    <s v="KS AZS AWF Kraków"/>
    <s v="Yes"/>
    <x v="3"/>
    <x v="2"/>
    <x v="166"/>
  </r>
  <r>
    <s v="KOŁODZIEJCZYK Karol"/>
    <x v="1"/>
    <n v="2007"/>
    <s v="KS AZS AWF Kraków"/>
    <s v="Yes"/>
    <x v="4"/>
    <x v="0"/>
    <x v="116"/>
  </r>
  <r>
    <s v="KOŁODZIEJCZYK Karol"/>
    <x v="1"/>
    <n v="2007"/>
    <s v="KS AZS AWF Kraków"/>
    <s v="Yes"/>
    <x v="4"/>
    <x v="1"/>
    <x v="49"/>
  </r>
  <r>
    <s v="KOŁODZIEJCZYK Karol"/>
    <x v="1"/>
    <n v="2007"/>
    <s v="KS AZS AWF Kraków"/>
    <s v="Yes"/>
    <x v="4"/>
    <x v="2"/>
    <x v="30"/>
  </r>
  <r>
    <s v="KOŁODZIEJCZYK Karol"/>
    <x v="1"/>
    <n v="2007"/>
    <s v="KS AZS AWF Kraków"/>
    <s v="Yes"/>
    <x v="5"/>
    <x v="0"/>
    <x v="127"/>
  </r>
  <r>
    <s v="KOŁODZIEJCZYK Karol"/>
    <x v="1"/>
    <n v="2007"/>
    <s v="KS AZS AWF Kraków"/>
    <s v="Yes"/>
    <x v="5"/>
    <x v="1"/>
    <x v="32"/>
  </r>
  <r>
    <s v="KOŁODZIEJCZYK Karol"/>
    <x v="1"/>
    <n v="2007"/>
    <s v="KS AZS AWF Kraków"/>
    <s v="Yes"/>
    <x v="5"/>
    <x v="2"/>
    <x v="208"/>
  </r>
  <r>
    <s v="KOŁODZIEJCZYK Karol"/>
    <x v="1"/>
    <n v="2007"/>
    <s v="KS AZS AWF Kraków"/>
    <s v="Yes"/>
    <x v="6"/>
    <x v="3"/>
    <x v="209"/>
  </r>
  <r>
    <s v="KOŁODZIEJCZYK Karol"/>
    <x v="1"/>
    <n v="2007"/>
    <s v="KS AZS AWF Kraków"/>
    <s v="Yes"/>
    <x v="6"/>
    <x v="4"/>
    <x v="210"/>
  </r>
  <r>
    <s v="KOŁODZIEJCZYK Karol"/>
    <x v="1"/>
    <n v="2007"/>
    <s v="KS AZS AWF Kraków"/>
    <s v="Yes"/>
    <x v="6"/>
    <x v="5"/>
    <x v="211"/>
  </r>
  <r>
    <s v="JANKOWSKI Dominik"/>
    <x v="1"/>
    <n v="2007"/>
    <s v="MKS Gdańsk"/>
    <s v="Yes"/>
    <x v="0"/>
    <x v="0"/>
    <x v="39"/>
  </r>
  <r>
    <s v="JANKOWSKI Dominik"/>
    <x v="1"/>
    <n v="2007"/>
    <s v="MKS Gdańsk"/>
    <s v="Yes"/>
    <x v="0"/>
    <x v="1"/>
    <x v="59"/>
  </r>
  <r>
    <s v="JANKOWSKI Dominik"/>
    <x v="1"/>
    <n v="2007"/>
    <s v="MKS Gdańsk"/>
    <s v="Yes"/>
    <x v="0"/>
    <x v="2"/>
    <x v="128"/>
  </r>
  <r>
    <s v="JANKOWSKI Dominik"/>
    <x v="1"/>
    <n v="2007"/>
    <s v="MKS Gdańsk"/>
    <s v="Yes"/>
    <x v="1"/>
    <x v="0"/>
    <x v="48"/>
  </r>
  <r>
    <s v="JANKOWSKI Dominik"/>
    <x v="1"/>
    <n v="2007"/>
    <s v="MKS Gdańsk"/>
    <s v="Yes"/>
    <x v="1"/>
    <x v="1"/>
    <x v="1"/>
  </r>
  <r>
    <s v="JANKOWSKI Dominik"/>
    <x v="1"/>
    <n v="2007"/>
    <s v="MKS Gdańsk"/>
    <s v="Yes"/>
    <x v="1"/>
    <x v="2"/>
    <x v="197"/>
  </r>
  <r>
    <s v="JANKOWSKI Dominik"/>
    <x v="1"/>
    <n v="2007"/>
    <s v="MKS Gdańsk"/>
    <s v="Yes"/>
    <x v="2"/>
    <x v="0"/>
    <x v="212"/>
  </r>
  <r>
    <s v="JANKOWSKI Dominik"/>
    <x v="1"/>
    <n v="2007"/>
    <s v="MKS Gdańsk"/>
    <s v="Yes"/>
    <x v="2"/>
    <x v="1"/>
    <x v="10"/>
  </r>
  <r>
    <s v="JANKOWSKI Dominik"/>
    <x v="1"/>
    <n v="2007"/>
    <s v="MKS Gdańsk"/>
    <s v="Yes"/>
    <x v="2"/>
    <x v="2"/>
    <x v="213"/>
  </r>
  <r>
    <s v="JANKOWSKI Dominik"/>
    <x v="1"/>
    <n v="2007"/>
    <s v="MKS Gdańsk"/>
    <s v="Yes"/>
    <x v="3"/>
    <x v="0"/>
    <x v="123"/>
  </r>
  <r>
    <s v="JANKOWSKI Dominik"/>
    <x v="1"/>
    <n v="2007"/>
    <s v="MKS Gdańsk"/>
    <s v="Yes"/>
    <x v="3"/>
    <x v="1"/>
    <x v="201"/>
  </r>
  <r>
    <s v="JANKOWSKI Dominik"/>
    <x v="1"/>
    <n v="2007"/>
    <s v="MKS Gdańsk"/>
    <s v="Yes"/>
    <x v="3"/>
    <x v="2"/>
    <x v="105"/>
  </r>
  <r>
    <s v="JANKOWSKI Dominik"/>
    <x v="1"/>
    <n v="2007"/>
    <s v="MKS Gdańsk"/>
    <s v="Yes"/>
    <x v="4"/>
    <x v="0"/>
    <x v="120"/>
  </r>
  <r>
    <s v="JANKOWSKI Dominik"/>
    <x v="1"/>
    <n v="2007"/>
    <s v="MKS Gdańsk"/>
    <s v="Yes"/>
    <x v="4"/>
    <x v="1"/>
    <x v="59"/>
  </r>
  <r>
    <s v="JANKOWSKI Dominik"/>
    <x v="1"/>
    <n v="2007"/>
    <s v="MKS Gdańsk"/>
    <s v="Yes"/>
    <x v="4"/>
    <x v="2"/>
    <x v="207"/>
  </r>
  <r>
    <s v="JANKOWSKI Dominik"/>
    <x v="1"/>
    <n v="2007"/>
    <s v="MKS Gdańsk"/>
    <s v="Yes"/>
    <x v="5"/>
    <x v="0"/>
    <x v="214"/>
  </r>
  <r>
    <s v="JANKOWSKI Dominik"/>
    <x v="1"/>
    <n v="2007"/>
    <s v="MKS Gdańsk"/>
    <s v="Yes"/>
    <x v="5"/>
    <x v="1"/>
    <x v="14"/>
  </r>
  <r>
    <s v="JANKOWSKI Dominik"/>
    <x v="1"/>
    <n v="2007"/>
    <s v="MKS Gdańsk"/>
    <s v="Yes"/>
    <x v="5"/>
    <x v="2"/>
    <x v="207"/>
  </r>
  <r>
    <s v="JANKOWSKI Dominik"/>
    <x v="1"/>
    <n v="2007"/>
    <s v="MKS Gdańsk"/>
    <s v="Yes"/>
    <x v="6"/>
    <x v="3"/>
    <x v="215"/>
  </r>
  <r>
    <s v="JANKOWSKI Dominik"/>
    <x v="1"/>
    <n v="2007"/>
    <s v="MKS Gdańsk"/>
    <s v="Yes"/>
    <x v="6"/>
    <x v="4"/>
    <x v="210"/>
  </r>
  <r>
    <s v="JANKOWSKI Dominik"/>
    <x v="1"/>
    <n v="2007"/>
    <s v="MKS Gdańsk"/>
    <s v="Yes"/>
    <x v="6"/>
    <x v="5"/>
    <x v="216"/>
  </r>
  <r>
    <s v="KORBIEL Franciszek"/>
    <x v="1"/>
    <n v="2006"/>
    <s v="KS AZS AWF Kraków"/>
    <s v="Yes"/>
    <x v="0"/>
    <x v="0"/>
    <x v="153"/>
  </r>
  <r>
    <s v="KORBIEL Franciszek"/>
    <x v="1"/>
    <n v="2006"/>
    <s v="KS AZS AWF Kraków"/>
    <s v="Yes"/>
    <x v="0"/>
    <x v="1"/>
    <x v="20"/>
  </r>
  <r>
    <s v="KORBIEL Franciszek"/>
    <x v="1"/>
    <n v="2006"/>
    <s v="KS AZS AWF Kraków"/>
    <s v="Yes"/>
    <x v="0"/>
    <x v="2"/>
    <x v="126"/>
  </r>
  <r>
    <s v="KORBIEL Franciszek"/>
    <x v="1"/>
    <n v="2006"/>
    <s v="KS AZS AWF Kraków"/>
    <s v="Yes"/>
    <x v="1"/>
    <x v="0"/>
    <x v="104"/>
  </r>
  <r>
    <s v="KORBIEL Franciszek"/>
    <x v="1"/>
    <n v="2006"/>
    <s v="KS AZS AWF Kraków"/>
    <s v="Yes"/>
    <x v="1"/>
    <x v="1"/>
    <x v="155"/>
  </r>
  <r>
    <s v="KORBIEL Franciszek"/>
    <x v="1"/>
    <n v="2006"/>
    <s v="KS AZS AWF Kraków"/>
    <s v="Yes"/>
    <x v="1"/>
    <x v="2"/>
    <x v="195"/>
  </r>
  <r>
    <s v="KORBIEL Franciszek"/>
    <x v="1"/>
    <n v="2006"/>
    <s v="KS AZS AWF Kraków"/>
    <s v="Yes"/>
    <x v="2"/>
    <x v="0"/>
    <x v="206"/>
  </r>
  <r>
    <s v="KORBIEL Franciszek"/>
    <x v="1"/>
    <n v="2006"/>
    <s v="KS AZS AWF Kraków"/>
    <s v="Yes"/>
    <x v="2"/>
    <x v="1"/>
    <x v="125"/>
  </r>
  <r>
    <s v="KORBIEL Franciszek"/>
    <x v="1"/>
    <n v="2006"/>
    <s v="KS AZS AWF Kraków"/>
    <s v="Yes"/>
    <x v="2"/>
    <x v="2"/>
    <x v="27"/>
  </r>
  <r>
    <s v="KORBIEL Franciszek"/>
    <x v="1"/>
    <n v="2006"/>
    <s v="KS AZS AWF Kraków"/>
    <s v="Yes"/>
    <x v="3"/>
    <x v="0"/>
    <x v="212"/>
  </r>
  <r>
    <s v="KORBIEL Franciszek"/>
    <x v="1"/>
    <n v="2006"/>
    <s v="KS AZS AWF Kraków"/>
    <s v="Yes"/>
    <x v="3"/>
    <x v="1"/>
    <x v="83"/>
  </r>
  <r>
    <s v="KORBIEL Franciszek"/>
    <x v="1"/>
    <n v="2006"/>
    <s v="KS AZS AWF Kraków"/>
    <s v="Yes"/>
    <x v="3"/>
    <x v="2"/>
    <x v="69"/>
  </r>
  <r>
    <s v="KORBIEL Franciszek"/>
    <x v="1"/>
    <n v="2006"/>
    <s v="KS AZS AWF Kraków"/>
    <s v="Yes"/>
    <x v="4"/>
    <x v="0"/>
    <x v="120"/>
  </r>
  <r>
    <s v="KORBIEL Franciszek"/>
    <x v="1"/>
    <n v="2006"/>
    <s v="KS AZS AWF Kraków"/>
    <s v="Yes"/>
    <x v="4"/>
    <x v="1"/>
    <x v="14"/>
  </r>
  <r>
    <s v="KORBIEL Franciszek"/>
    <x v="1"/>
    <n v="2006"/>
    <s v="KS AZS AWF Kraków"/>
    <s v="Yes"/>
    <x v="4"/>
    <x v="2"/>
    <x v="50"/>
  </r>
  <r>
    <s v="KORBIEL Franciszek"/>
    <x v="1"/>
    <n v="2006"/>
    <s v="KS AZS AWF Kraków"/>
    <s v="Yes"/>
    <x v="5"/>
    <x v="0"/>
    <x v="120"/>
  </r>
  <r>
    <s v="KORBIEL Franciszek"/>
    <x v="1"/>
    <n v="2006"/>
    <s v="KS AZS AWF Kraków"/>
    <s v="Yes"/>
    <x v="5"/>
    <x v="1"/>
    <x v="1"/>
  </r>
  <r>
    <s v="KORBIEL Franciszek"/>
    <x v="1"/>
    <n v="2006"/>
    <s v="KS AZS AWF Kraków"/>
    <s v="Yes"/>
    <x v="5"/>
    <x v="2"/>
    <x v="217"/>
  </r>
  <r>
    <s v="KORBIEL Franciszek"/>
    <x v="1"/>
    <n v="2006"/>
    <s v="KS AZS AWF Kraków"/>
    <s v="Yes"/>
    <x v="6"/>
    <x v="3"/>
    <x v="218"/>
  </r>
  <r>
    <s v="KORBIEL Franciszek"/>
    <x v="1"/>
    <n v="2006"/>
    <s v="KS AZS AWF Kraków"/>
    <s v="Yes"/>
    <x v="6"/>
    <x v="4"/>
    <x v="219"/>
  </r>
  <r>
    <s v="KORBIEL Franciszek"/>
    <x v="1"/>
    <n v="2006"/>
    <s v="KS AZS AWF Kraków"/>
    <s v="Yes"/>
    <x v="6"/>
    <x v="5"/>
    <x v="220"/>
  </r>
  <r>
    <s v="MOSKAL Błażej"/>
    <x v="1"/>
    <n v="2006"/>
    <s v="MKS Gdańsk"/>
    <s v="Yes"/>
    <x v="0"/>
    <x v="0"/>
    <x v="96"/>
  </r>
  <r>
    <s v="MOSKAL Błażej"/>
    <x v="1"/>
    <n v="2006"/>
    <s v="MKS Gdańsk"/>
    <s v="Yes"/>
    <x v="0"/>
    <x v="1"/>
    <x v="1"/>
  </r>
  <r>
    <s v="MOSKAL Błażej"/>
    <x v="1"/>
    <n v="2006"/>
    <s v="MKS Gdańsk"/>
    <s v="Yes"/>
    <x v="0"/>
    <x v="2"/>
    <x v="190"/>
  </r>
  <r>
    <s v="MOSKAL Błażej"/>
    <x v="1"/>
    <n v="2006"/>
    <s v="MKS Gdańsk"/>
    <s v="Yes"/>
    <x v="1"/>
    <x v="0"/>
    <x v="184"/>
  </r>
  <r>
    <s v="MOSKAL Błażej"/>
    <x v="1"/>
    <n v="2006"/>
    <s v="MKS Gdańsk"/>
    <s v="Yes"/>
    <x v="1"/>
    <x v="1"/>
    <x v="221"/>
  </r>
  <r>
    <s v="MOSKAL Błażej"/>
    <x v="1"/>
    <n v="2006"/>
    <s v="MKS Gdańsk"/>
    <s v="Yes"/>
    <x v="1"/>
    <x v="2"/>
    <x v="144"/>
  </r>
  <r>
    <s v="MOSKAL Błażej"/>
    <x v="1"/>
    <n v="2006"/>
    <s v="MKS Gdańsk"/>
    <s v="Yes"/>
    <x v="2"/>
    <x v="0"/>
    <x v="99"/>
  </r>
  <r>
    <s v="MOSKAL Błażej"/>
    <x v="1"/>
    <n v="2006"/>
    <s v="MKS Gdańsk"/>
    <s v="Yes"/>
    <x v="2"/>
    <x v="1"/>
    <x v="74"/>
  </r>
  <r>
    <s v="MOSKAL Błażej"/>
    <x v="1"/>
    <n v="2006"/>
    <s v="MKS Gdańsk"/>
    <s v="Yes"/>
    <x v="2"/>
    <x v="2"/>
    <x v="27"/>
  </r>
  <r>
    <s v="MOSKAL Błażej"/>
    <x v="1"/>
    <n v="2006"/>
    <s v="MKS Gdańsk"/>
    <s v="Yes"/>
    <x v="3"/>
    <x v="0"/>
    <x v="212"/>
  </r>
  <r>
    <s v="MOSKAL Błażej"/>
    <x v="1"/>
    <n v="2006"/>
    <s v="MKS Gdańsk"/>
    <s v="Yes"/>
    <x v="3"/>
    <x v="1"/>
    <x v="110"/>
  </r>
  <r>
    <s v="MOSKAL Błażej"/>
    <x v="1"/>
    <n v="2006"/>
    <s v="MKS Gdańsk"/>
    <s v="Yes"/>
    <x v="3"/>
    <x v="2"/>
    <x v="75"/>
  </r>
  <r>
    <s v="MOSKAL Błażej"/>
    <x v="1"/>
    <n v="2006"/>
    <s v="MKS Gdańsk"/>
    <s v="Yes"/>
    <x v="4"/>
    <x v="0"/>
    <x v="120"/>
  </r>
  <r>
    <s v="MOSKAL Błażej"/>
    <x v="1"/>
    <n v="2006"/>
    <s v="MKS Gdańsk"/>
    <s v="Yes"/>
    <x v="4"/>
    <x v="1"/>
    <x v="155"/>
  </r>
  <r>
    <s v="MOSKAL Błażej"/>
    <x v="1"/>
    <n v="2006"/>
    <s v="MKS Gdańsk"/>
    <s v="Yes"/>
    <x v="4"/>
    <x v="2"/>
    <x v="126"/>
  </r>
  <r>
    <s v="MOSKAL Błażej"/>
    <x v="1"/>
    <n v="2006"/>
    <s v="MKS Gdańsk"/>
    <s v="Yes"/>
    <x v="5"/>
    <x v="0"/>
    <x v="222"/>
  </r>
  <r>
    <s v="MOSKAL Błażej"/>
    <x v="1"/>
    <n v="2006"/>
    <s v="MKS Gdańsk"/>
    <s v="Yes"/>
    <x v="5"/>
    <x v="1"/>
    <x v="185"/>
  </r>
  <r>
    <s v="MOSKAL Błażej"/>
    <x v="1"/>
    <n v="2006"/>
    <s v="MKS Gdańsk"/>
    <s v="Yes"/>
    <x v="5"/>
    <x v="2"/>
    <x v="223"/>
  </r>
  <r>
    <s v="MOSKAL Błażej"/>
    <x v="1"/>
    <n v="2006"/>
    <s v="MKS Gdańsk"/>
    <s v="Yes"/>
    <x v="6"/>
    <x v="3"/>
    <x v="224"/>
  </r>
  <r>
    <s v="MOSKAL Błażej"/>
    <x v="1"/>
    <n v="2006"/>
    <s v="MKS Gdańsk"/>
    <s v="Yes"/>
    <x v="6"/>
    <x v="4"/>
    <x v="225"/>
  </r>
  <r>
    <s v="MOSKAL Błażej"/>
    <x v="1"/>
    <n v="2006"/>
    <s v="MKS Gdańsk"/>
    <s v="Yes"/>
    <x v="6"/>
    <x v="5"/>
    <x v="226"/>
  </r>
  <r>
    <s v="ŻEMEŁKA Dawid"/>
    <x v="1"/>
    <n v="2006"/>
    <s v="MKS Gdańsk"/>
    <s v="Yes"/>
    <x v="0"/>
    <x v="0"/>
    <x v="120"/>
  </r>
  <r>
    <s v="ŻEMEŁKA Dawid"/>
    <x v="1"/>
    <n v="2006"/>
    <s v="MKS Gdańsk"/>
    <s v="Yes"/>
    <x v="0"/>
    <x v="1"/>
    <x v="22"/>
  </r>
  <r>
    <s v="ŻEMEŁKA Dawid"/>
    <x v="1"/>
    <n v="2006"/>
    <s v="MKS Gdańsk"/>
    <s v="Yes"/>
    <x v="0"/>
    <x v="2"/>
    <x v="78"/>
  </r>
  <r>
    <s v="ŻEMEŁKA Dawid"/>
    <x v="1"/>
    <n v="2006"/>
    <s v="MKS Gdańsk"/>
    <s v="Yes"/>
    <x v="1"/>
    <x v="0"/>
    <x v="184"/>
  </r>
  <r>
    <s v="ŻEMEŁKA Dawid"/>
    <x v="1"/>
    <n v="2006"/>
    <s v="MKS Gdańsk"/>
    <s v="Yes"/>
    <x v="1"/>
    <x v="1"/>
    <x v="227"/>
  </r>
  <r>
    <s v="ŻEMEŁKA Dawid"/>
    <x v="1"/>
    <n v="2006"/>
    <s v="MKS Gdańsk"/>
    <s v="Yes"/>
    <x v="1"/>
    <x v="2"/>
    <x v="221"/>
  </r>
  <r>
    <s v="ŻEMEŁKA Dawid"/>
    <x v="1"/>
    <n v="2006"/>
    <s v="MKS Gdańsk"/>
    <s v="Yes"/>
    <x v="2"/>
    <x v="0"/>
    <x v="176"/>
  </r>
  <r>
    <s v="ŻEMEŁKA Dawid"/>
    <x v="1"/>
    <n v="2006"/>
    <s v="MKS Gdańsk"/>
    <s v="Yes"/>
    <x v="2"/>
    <x v="1"/>
    <x v="74"/>
  </r>
  <r>
    <s v="ŻEMEŁKA Dawid"/>
    <x v="1"/>
    <n v="2006"/>
    <s v="MKS Gdańsk"/>
    <s v="Yes"/>
    <x v="2"/>
    <x v="2"/>
    <x v="47"/>
  </r>
  <r>
    <s v="ŻEMEŁKA Dawid"/>
    <x v="1"/>
    <n v="2006"/>
    <s v="MKS Gdańsk"/>
    <s v="Yes"/>
    <x v="3"/>
    <x v="0"/>
    <x v="228"/>
  </r>
  <r>
    <s v="ŻEMEŁKA Dawid"/>
    <x v="1"/>
    <n v="2006"/>
    <s v="MKS Gdańsk"/>
    <s v="Yes"/>
    <x v="3"/>
    <x v="1"/>
    <x v="229"/>
  </r>
  <r>
    <s v="ŻEMEŁKA Dawid"/>
    <x v="1"/>
    <n v="2006"/>
    <s v="MKS Gdańsk"/>
    <s v="Yes"/>
    <x v="3"/>
    <x v="2"/>
    <x v="177"/>
  </r>
  <r>
    <s v="ŻEMEŁKA Dawid"/>
    <x v="1"/>
    <n v="2006"/>
    <s v="MKS Gdańsk"/>
    <s v="Yes"/>
    <x v="4"/>
    <x v="0"/>
    <x v="120"/>
  </r>
  <r>
    <s v="ŻEMEŁKA Dawid"/>
    <x v="1"/>
    <n v="2006"/>
    <s v="MKS Gdańsk"/>
    <s v="Yes"/>
    <x v="4"/>
    <x v="1"/>
    <x v="185"/>
  </r>
  <r>
    <s v="ŻEMEŁKA Dawid"/>
    <x v="1"/>
    <n v="2006"/>
    <s v="MKS Gdańsk"/>
    <s v="Yes"/>
    <x v="4"/>
    <x v="2"/>
    <x v="191"/>
  </r>
  <r>
    <s v="ŻEMEŁKA Dawid"/>
    <x v="1"/>
    <n v="2006"/>
    <s v="MKS Gdańsk"/>
    <s v="Yes"/>
    <x v="5"/>
    <x v="0"/>
    <x v="222"/>
  </r>
  <r>
    <s v="ŻEMEŁKA Dawid"/>
    <x v="1"/>
    <n v="2006"/>
    <s v="MKS Gdańsk"/>
    <s v="Yes"/>
    <x v="5"/>
    <x v="1"/>
    <x v="230"/>
  </r>
  <r>
    <s v="ŻEMEŁKA Dawid"/>
    <x v="1"/>
    <n v="2006"/>
    <s v="MKS Gdańsk"/>
    <s v="Yes"/>
    <x v="5"/>
    <x v="2"/>
    <x v="145"/>
  </r>
  <r>
    <s v="ŻEMEŁKA Dawid"/>
    <x v="1"/>
    <n v="2006"/>
    <s v="MKS Gdańsk"/>
    <s v="Yes"/>
    <x v="6"/>
    <x v="3"/>
    <x v="231"/>
  </r>
  <r>
    <s v="ŻEMEŁKA Dawid"/>
    <x v="1"/>
    <n v="2006"/>
    <s v="MKS Gdańsk"/>
    <s v="Yes"/>
    <x v="6"/>
    <x v="4"/>
    <x v="232"/>
  </r>
  <r>
    <s v="ŻEMEŁKA Dawid"/>
    <x v="1"/>
    <n v="2006"/>
    <s v="MKS Gdańsk"/>
    <s v="Yes"/>
    <x v="6"/>
    <x v="5"/>
    <x v="233"/>
  </r>
  <r>
    <s v="KLIMCZUK Michał"/>
    <x v="1"/>
    <n v="2006"/>
    <s v="MKS Gdańsk"/>
    <s v="No"/>
    <x v="0"/>
    <x v="0"/>
    <x v="141"/>
  </r>
  <r>
    <s v="KLIMCZUK Michał"/>
    <x v="1"/>
    <n v="2006"/>
    <s v="MKS Gdańsk"/>
    <s v="No"/>
    <x v="0"/>
    <x v="1"/>
    <x v="141"/>
  </r>
  <r>
    <s v="KLIMCZUK Michał"/>
    <x v="1"/>
    <n v="2006"/>
    <s v="MKS Gdańsk"/>
    <s v="No"/>
    <x v="0"/>
    <x v="2"/>
    <x v="141"/>
  </r>
  <r>
    <s v="KLIMCZUK Michał"/>
    <x v="1"/>
    <n v="2006"/>
    <s v="MKS Gdańsk"/>
    <s v="No"/>
    <x v="1"/>
    <x v="0"/>
    <x v="48"/>
  </r>
  <r>
    <s v="KLIMCZUK Michał"/>
    <x v="1"/>
    <n v="2006"/>
    <s v="MKS Gdańsk"/>
    <s v="No"/>
    <x v="1"/>
    <x v="1"/>
    <x v="1"/>
  </r>
  <r>
    <s v="KLIMCZUK Michał"/>
    <x v="1"/>
    <n v="2006"/>
    <s v="MKS Gdańsk"/>
    <s v="No"/>
    <x v="1"/>
    <x v="2"/>
    <x v="197"/>
  </r>
  <r>
    <s v="KLIMCZUK Michał"/>
    <x v="1"/>
    <n v="2006"/>
    <s v="MKS Gdańsk"/>
    <s v="No"/>
    <x v="2"/>
    <x v="0"/>
    <x v="234"/>
  </r>
  <r>
    <s v="KLIMCZUK Michał"/>
    <x v="1"/>
    <n v="2006"/>
    <s v="MKS Gdańsk"/>
    <s v="No"/>
    <x v="2"/>
    <x v="1"/>
    <x v="7"/>
  </r>
  <r>
    <s v="KLIMCZUK Michał"/>
    <x v="1"/>
    <n v="2006"/>
    <s v="MKS Gdańsk"/>
    <s v="No"/>
    <x v="2"/>
    <x v="2"/>
    <x v="160"/>
  </r>
  <r>
    <s v="KLIMCZUK Michał"/>
    <x v="1"/>
    <n v="2006"/>
    <s v="MKS Gdańsk"/>
    <s v="No"/>
    <x v="3"/>
    <x v="0"/>
    <x v="228"/>
  </r>
  <r>
    <s v="KLIMCZUK Michał"/>
    <x v="1"/>
    <n v="2006"/>
    <s v="MKS Gdańsk"/>
    <s v="No"/>
    <x v="3"/>
    <x v="1"/>
    <x v="12"/>
  </r>
  <r>
    <s v="KLIMCZUK Michał"/>
    <x v="1"/>
    <n v="2006"/>
    <s v="MKS Gdańsk"/>
    <s v="No"/>
    <x v="3"/>
    <x v="2"/>
    <x v="235"/>
  </r>
  <r>
    <s v="KLIMCZUK Michał"/>
    <x v="1"/>
    <n v="2006"/>
    <s v="MKS Gdańsk"/>
    <s v="No"/>
    <x v="4"/>
    <x v="0"/>
    <x v="212"/>
  </r>
  <r>
    <s v="KLIMCZUK Michał"/>
    <x v="1"/>
    <n v="2006"/>
    <s v="MKS Gdańsk"/>
    <s v="No"/>
    <x v="4"/>
    <x v="1"/>
    <x v="37"/>
  </r>
  <r>
    <s v="KLIMCZUK Michał"/>
    <x v="1"/>
    <n v="2006"/>
    <s v="MKS Gdańsk"/>
    <s v="No"/>
    <x v="4"/>
    <x v="2"/>
    <x v="235"/>
  </r>
  <r>
    <s v="KLIMCZUK Michał"/>
    <x v="1"/>
    <n v="2006"/>
    <s v="MKS Gdańsk"/>
    <s v="No"/>
    <x v="5"/>
    <x v="0"/>
    <x v="214"/>
  </r>
  <r>
    <s v="KLIMCZUK Michał"/>
    <x v="1"/>
    <n v="2006"/>
    <s v="MKS Gdańsk"/>
    <s v="No"/>
    <x v="5"/>
    <x v="1"/>
    <x v="12"/>
  </r>
  <r>
    <s v="KLIMCZUK Michał"/>
    <x v="1"/>
    <n v="2006"/>
    <s v="MKS Gdańsk"/>
    <s v="No"/>
    <x v="5"/>
    <x v="2"/>
    <x v="177"/>
  </r>
  <r>
    <s v="KLIMCZUK Michał"/>
    <x v="1"/>
    <n v="2006"/>
    <s v="MKS Gdańsk"/>
    <s v="No"/>
    <x v="6"/>
    <x v="3"/>
    <x v="141"/>
  </r>
  <r>
    <s v="KLIMCZUK Michał"/>
    <x v="1"/>
    <n v="2006"/>
    <s v="MKS Gdańsk"/>
    <s v="No"/>
    <x v="6"/>
    <x v="4"/>
    <x v="141"/>
  </r>
  <r>
    <s v="KLIMCZUK Michał"/>
    <x v="1"/>
    <n v="2006"/>
    <s v="MKS Gdańsk"/>
    <s v="No"/>
    <x v="6"/>
    <x v="5"/>
    <x v="236"/>
  </r>
  <r>
    <s v="ĆWIEK Tymoteusz"/>
    <x v="1"/>
    <n v="2006"/>
    <s v="KS AZS AWF Kraków"/>
    <s v="No"/>
    <x v="0"/>
    <x v="0"/>
    <x v="48"/>
  </r>
  <r>
    <s v="ĆWIEK Tymoteusz"/>
    <x v="1"/>
    <n v="2006"/>
    <s v="KS AZS AWF Kraków"/>
    <s v="No"/>
    <x v="0"/>
    <x v="1"/>
    <x v="132"/>
  </r>
  <r>
    <s v="ĆWIEK Tymoteusz"/>
    <x v="1"/>
    <n v="2006"/>
    <s v="KS AZS AWF Kraków"/>
    <s v="No"/>
    <x v="0"/>
    <x v="2"/>
    <x v="235"/>
  </r>
  <r>
    <s v="ĆWIEK Tymoteusz"/>
    <x v="1"/>
    <n v="2006"/>
    <s v="KS AZS AWF Kraków"/>
    <s v="No"/>
    <x v="1"/>
    <x v="0"/>
    <x v="212"/>
  </r>
  <r>
    <s v="ĆWIEK Tymoteusz"/>
    <x v="1"/>
    <n v="2006"/>
    <s v="KS AZS AWF Kraków"/>
    <s v="No"/>
    <x v="1"/>
    <x v="1"/>
    <x v="237"/>
  </r>
  <r>
    <s v="ĆWIEK Tymoteusz"/>
    <x v="1"/>
    <n v="2006"/>
    <s v="KS AZS AWF Kraków"/>
    <s v="No"/>
    <x v="1"/>
    <x v="2"/>
    <x v="25"/>
  </r>
  <r>
    <s v="ĆWIEK Tymoteusz"/>
    <x v="1"/>
    <n v="2006"/>
    <s v="KS AZS AWF Kraków"/>
    <s v="No"/>
    <x v="2"/>
    <x v="0"/>
    <x v="214"/>
  </r>
  <r>
    <s v="ĆWIEK Tymoteusz"/>
    <x v="1"/>
    <n v="2006"/>
    <s v="KS AZS AWF Kraków"/>
    <s v="No"/>
    <x v="2"/>
    <x v="1"/>
    <x v="163"/>
  </r>
  <r>
    <s v="ĆWIEK Tymoteusz"/>
    <x v="1"/>
    <n v="2006"/>
    <s v="KS AZS AWF Kraków"/>
    <s v="No"/>
    <x v="2"/>
    <x v="2"/>
    <x v="185"/>
  </r>
  <r>
    <s v="ĆWIEK Tymoteusz"/>
    <x v="1"/>
    <n v="2006"/>
    <s v="KS AZS AWF Kraków"/>
    <s v="No"/>
    <x v="3"/>
    <x v="0"/>
    <x v="212"/>
  </r>
  <r>
    <s v="ĆWIEK Tymoteusz"/>
    <x v="1"/>
    <n v="2006"/>
    <s v="KS AZS AWF Kraków"/>
    <s v="No"/>
    <x v="3"/>
    <x v="1"/>
    <x v="132"/>
  </r>
  <r>
    <s v="ĆWIEK Tymoteusz"/>
    <x v="1"/>
    <n v="2006"/>
    <s v="KS AZS AWF Kraków"/>
    <s v="No"/>
    <x v="3"/>
    <x v="2"/>
    <x v="207"/>
  </r>
  <r>
    <s v="ĆWIEK Tymoteusz"/>
    <x v="1"/>
    <n v="2006"/>
    <s v="KS AZS AWF Kraków"/>
    <s v="No"/>
    <x v="4"/>
    <x v="0"/>
    <x v="206"/>
  </r>
  <r>
    <s v="ĆWIEK Tymoteusz"/>
    <x v="1"/>
    <n v="2006"/>
    <s v="KS AZS AWF Kraków"/>
    <s v="No"/>
    <x v="4"/>
    <x v="1"/>
    <x v="155"/>
  </r>
  <r>
    <s v="ĆWIEK Tymoteusz"/>
    <x v="1"/>
    <n v="2006"/>
    <s v="KS AZS AWF Kraków"/>
    <s v="No"/>
    <x v="4"/>
    <x v="2"/>
    <x v="238"/>
  </r>
  <r>
    <s v="ĆWIEK Tymoteusz"/>
    <x v="1"/>
    <n v="2006"/>
    <s v="KS AZS AWF Kraków"/>
    <s v="No"/>
    <x v="5"/>
    <x v="0"/>
    <x v="141"/>
  </r>
  <r>
    <s v="ĆWIEK Tymoteusz"/>
    <x v="1"/>
    <n v="2006"/>
    <s v="KS AZS AWF Kraków"/>
    <s v="No"/>
    <x v="5"/>
    <x v="1"/>
    <x v="141"/>
  </r>
  <r>
    <s v="ĆWIEK Tymoteusz"/>
    <x v="1"/>
    <n v="2006"/>
    <s v="KS AZS AWF Kraków"/>
    <s v="No"/>
    <x v="5"/>
    <x v="2"/>
    <x v="141"/>
  </r>
  <r>
    <s v="ĆWIEK Tymoteusz"/>
    <x v="1"/>
    <n v="2006"/>
    <s v="KS AZS AWF Kraków"/>
    <s v="No"/>
    <x v="6"/>
    <x v="3"/>
    <x v="141"/>
  </r>
  <r>
    <s v="ĆWIEK Tymoteusz"/>
    <x v="1"/>
    <n v="2006"/>
    <s v="KS AZS AWF Kraków"/>
    <s v="No"/>
    <x v="6"/>
    <x v="4"/>
    <x v="141"/>
  </r>
  <r>
    <s v="ĆWIEK Tymoteusz"/>
    <x v="1"/>
    <n v="2006"/>
    <s v="KS AZS AWF Kraków"/>
    <s v="No"/>
    <x v="6"/>
    <x v="5"/>
    <x v="239"/>
  </r>
  <r>
    <s v="ŁUCKI Miłosz"/>
    <x v="1"/>
    <n v="2006"/>
    <s v="KG Radlin"/>
    <s v="No"/>
    <x v="0"/>
    <x v="0"/>
    <x v="120"/>
  </r>
  <r>
    <s v="ŁUCKI Miłosz"/>
    <x v="1"/>
    <n v="2006"/>
    <s v="KG Radlin"/>
    <s v="No"/>
    <x v="0"/>
    <x v="1"/>
    <x v="172"/>
  </r>
  <r>
    <s v="ŁUCKI Miłosz"/>
    <x v="1"/>
    <n v="2006"/>
    <s v="KG Radlin"/>
    <s v="No"/>
    <x v="0"/>
    <x v="2"/>
    <x v="100"/>
  </r>
  <r>
    <s v="ŁUCKI Miłosz"/>
    <x v="1"/>
    <n v="2006"/>
    <s v="KG Radlin"/>
    <s v="No"/>
    <x v="1"/>
    <x v="0"/>
    <x v="141"/>
  </r>
  <r>
    <s v="ŁUCKI Miłosz"/>
    <x v="1"/>
    <n v="2006"/>
    <s v="KG Radlin"/>
    <s v="No"/>
    <x v="1"/>
    <x v="1"/>
    <x v="141"/>
  </r>
  <r>
    <s v="ŁUCKI Miłosz"/>
    <x v="1"/>
    <n v="2006"/>
    <s v="KG Radlin"/>
    <s v="No"/>
    <x v="1"/>
    <x v="2"/>
    <x v="141"/>
  </r>
  <r>
    <s v="ŁUCKI Miłosz"/>
    <x v="1"/>
    <n v="2006"/>
    <s v="KG Radlin"/>
    <s v="No"/>
    <x v="2"/>
    <x v="0"/>
    <x v="240"/>
  </r>
  <r>
    <s v="ŁUCKI Miłosz"/>
    <x v="1"/>
    <n v="2006"/>
    <s v="KG Radlin"/>
    <s v="No"/>
    <x v="2"/>
    <x v="1"/>
    <x v="241"/>
  </r>
  <r>
    <s v="ŁUCKI Miłosz"/>
    <x v="1"/>
    <n v="2006"/>
    <s v="KG Radlin"/>
    <s v="No"/>
    <x v="2"/>
    <x v="2"/>
    <x v="44"/>
  </r>
  <r>
    <s v="ŁUCKI Miłosz"/>
    <x v="1"/>
    <n v="2006"/>
    <s v="KG Radlin"/>
    <s v="No"/>
    <x v="3"/>
    <x v="0"/>
    <x v="184"/>
  </r>
  <r>
    <s v="ŁUCKI Miłosz"/>
    <x v="1"/>
    <n v="2006"/>
    <s v="KG Radlin"/>
    <s v="No"/>
    <x v="3"/>
    <x v="1"/>
    <x v="12"/>
  </r>
  <r>
    <s v="ŁUCKI Miłosz"/>
    <x v="1"/>
    <n v="2006"/>
    <s v="KG Radlin"/>
    <s v="No"/>
    <x v="3"/>
    <x v="2"/>
    <x v="164"/>
  </r>
  <r>
    <s v="ŁUCKI Miłosz"/>
    <x v="1"/>
    <n v="2006"/>
    <s v="KG Radlin"/>
    <s v="No"/>
    <x v="4"/>
    <x v="0"/>
    <x v="141"/>
  </r>
  <r>
    <s v="ŁUCKI Miłosz"/>
    <x v="1"/>
    <n v="2006"/>
    <s v="KG Radlin"/>
    <s v="No"/>
    <x v="4"/>
    <x v="1"/>
    <x v="141"/>
  </r>
  <r>
    <s v="ŁUCKI Miłosz"/>
    <x v="1"/>
    <n v="2006"/>
    <s v="KG Radlin"/>
    <s v="No"/>
    <x v="4"/>
    <x v="2"/>
    <x v="141"/>
  </r>
  <r>
    <s v="ŁUCKI Miłosz"/>
    <x v="1"/>
    <n v="2006"/>
    <s v="KG Radlin"/>
    <s v="No"/>
    <x v="5"/>
    <x v="0"/>
    <x v="240"/>
  </r>
  <r>
    <s v="ŁUCKI Miłosz"/>
    <x v="1"/>
    <n v="2006"/>
    <s v="KG Radlin"/>
    <s v="No"/>
    <x v="5"/>
    <x v="1"/>
    <x v="29"/>
  </r>
  <r>
    <s v="ŁUCKI Miłosz"/>
    <x v="1"/>
    <n v="2006"/>
    <s v="KG Radlin"/>
    <s v="No"/>
    <x v="5"/>
    <x v="2"/>
    <x v="185"/>
  </r>
  <r>
    <s v="ŁUCKI Miłosz"/>
    <x v="1"/>
    <n v="2006"/>
    <s v="KG Radlin"/>
    <s v="No"/>
    <x v="6"/>
    <x v="3"/>
    <x v="141"/>
  </r>
  <r>
    <s v="ŁUCKI Miłosz"/>
    <x v="1"/>
    <n v="2006"/>
    <s v="KG Radlin"/>
    <s v="No"/>
    <x v="6"/>
    <x v="4"/>
    <x v="141"/>
  </r>
  <r>
    <s v="ŁUCKI Miłosz"/>
    <x v="1"/>
    <n v="2006"/>
    <s v="KG Radlin"/>
    <s v="No"/>
    <x v="6"/>
    <x v="5"/>
    <x v="242"/>
  </r>
  <r>
    <s v="AZUMI Vincent"/>
    <x v="1"/>
    <n v="2007"/>
    <s v="MKS Gdańsk"/>
    <s v="No"/>
    <x v="0"/>
    <x v="0"/>
    <x v="88"/>
  </r>
  <r>
    <s v="AZUMI Vincent"/>
    <x v="1"/>
    <n v="2007"/>
    <s v="MKS Gdańsk"/>
    <s v="No"/>
    <x v="0"/>
    <x v="1"/>
    <x v="241"/>
  </r>
  <r>
    <s v="AZUMI Vincent"/>
    <x v="1"/>
    <n v="2007"/>
    <s v="MKS Gdańsk"/>
    <s v="No"/>
    <x v="0"/>
    <x v="2"/>
    <x v="75"/>
  </r>
  <r>
    <s v="AZUMI Vincent"/>
    <x v="1"/>
    <n v="2007"/>
    <s v="MKS Gdańsk"/>
    <s v="No"/>
    <x v="1"/>
    <x v="0"/>
    <x v="141"/>
  </r>
  <r>
    <s v="AZUMI Vincent"/>
    <x v="1"/>
    <n v="2007"/>
    <s v="MKS Gdańsk"/>
    <s v="No"/>
    <x v="1"/>
    <x v="1"/>
    <x v="141"/>
  </r>
  <r>
    <s v="AZUMI Vincent"/>
    <x v="1"/>
    <n v="2007"/>
    <s v="MKS Gdańsk"/>
    <s v="No"/>
    <x v="1"/>
    <x v="2"/>
    <x v="141"/>
  </r>
  <r>
    <s v="AZUMI Vincent"/>
    <x v="1"/>
    <n v="2007"/>
    <s v="MKS Gdańsk"/>
    <s v="No"/>
    <x v="2"/>
    <x v="0"/>
    <x v="60"/>
  </r>
  <r>
    <s v="AZUMI Vincent"/>
    <x v="1"/>
    <n v="2007"/>
    <s v="MKS Gdańsk"/>
    <s v="No"/>
    <x v="2"/>
    <x v="1"/>
    <x v="132"/>
  </r>
  <r>
    <s v="AZUMI Vincent"/>
    <x v="1"/>
    <n v="2007"/>
    <s v="MKS Gdańsk"/>
    <s v="No"/>
    <x v="2"/>
    <x v="2"/>
    <x v="50"/>
  </r>
  <r>
    <s v="AZUMI Vincent"/>
    <x v="1"/>
    <n v="2007"/>
    <s v="MKS Gdańsk"/>
    <s v="No"/>
    <x v="3"/>
    <x v="0"/>
    <x v="141"/>
  </r>
  <r>
    <s v="AZUMI Vincent"/>
    <x v="1"/>
    <n v="2007"/>
    <s v="MKS Gdańsk"/>
    <s v="No"/>
    <x v="3"/>
    <x v="1"/>
    <x v="141"/>
  </r>
  <r>
    <s v="AZUMI Vincent"/>
    <x v="1"/>
    <n v="2007"/>
    <s v="MKS Gdańsk"/>
    <s v="No"/>
    <x v="3"/>
    <x v="2"/>
    <x v="141"/>
  </r>
  <r>
    <s v="AZUMI Vincent"/>
    <x v="1"/>
    <n v="2007"/>
    <s v="MKS Gdańsk"/>
    <s v="No"/>
    <x v="4"/>
    <x v="0"/>
    <x v="141"/>
  </r>
  <r>
    <s v="AZUMI Vincent"/>
    <x v="1"/>
    <n v="2007"/>
    <s v="MKS Gdańsk"/>
    <s v="No"/>
    <x v="4"/>
    <x v="1"/>
    <x v="141"/>
  </r>
  <r>
    <s v="AZUMI Vincent"/>
    <x v="1"/>
    <n v="2007"/>
    <s v="MKS Gdańsk"/>
    <s v="No"/>
    <x v="4"/>
    <x v="2"/>
    <x v="141"/>
  </r>
  <r>
    <s v="AZUMI Vincent"/>
    <x v="1"/>
    <n v="2007"/>
    <s v="MKS Gdańsk"/>
    <s v="No"/>
    <x v="5"/>
    <x v="0"/>
    <x v="127"/>
  </r>
  <r>
    <s v="AZUMI Vincent"/>
    <x v="1"/>
    <n v="2007"/>
    <s v="MKS Gdańsk"/>
    <s v="No"/>
    <x v="5"/>
    <x v="1"/>
    <x v="97"/>
  </r>
  <r>
    <s v="AZUMI Vincent"/>
    <x v="1"/>
    <n v="2007"/>
    <s v="MKS Gdańsk"/>
    <s v="No"/>
    <x v="5"/>
    <x v="2"/>
    <x v="40"/>
  </r>
  <r>
    <s v="AZUMI Vincent"/>
    <x v="1"/>
    <n v="2007"/>
    <s v="MKS Gdańsk"/>
    <s v="No"/>
    <x v="6"/>
    <x v="3"/>
    <x v="141"/>
  </r>
  <r>
    <s v="AZUMI Vincent"/>
    <x v="1"/>
    <n v="2007"/>
    <s v="MKS Gdańsk"/>
    <s v="No"/>
    <x v="6"/>
    <x v="4"/>
    <x v="141"/>
  </r>
  <r>
    <s v="AZUMI Vincent"/>
    <x v="1"/>
    <n v="2007"/>
    <s v="MKS Gdańsk"/>
    <s v="No"/>
    <x v="6"/>
    <x v="5"/>
    <x v="243"/>
  </r>
  <r>
    <s v="KUBALA Kacper"/>
    <x v="1"/>
    <n v="2006"/>
    <s v="MKS Gdańsk"/>
    <s v="No"/>
    <x v="0"/>
    <x v="0"/>
    <x v="141"/>
  </r>
  <r>
    <s v="KUBALA Kacper"/>
    <x v="1"/>
    <n v="2006"/>
    <s v="MKS Gdańsk"/>
    <s v="No"/>
    <x v="0"/>
    <x v="1"/>
    <x v="141"/>
  </r>
  <r>
    <s v="KUBALA Kacper"/>
    <x v="1"/>
    <n v="2006"/>
    <s v="MKS Gdańsk"/>
    <s v="No"/>
    <x v="0"/>
    <x v="2"/>
    <x v="141"/>
  </r>
  <r>
    <s v="KUBALA Kacper"/>
    <x v="1"/>
    <n v="2006"/>
    <s v="MKS Gdańsk"/>
    <s v="No"/>
    <x v="1"/>
    <x v="0"/>
    <x v="184"/>
  </r>
  <r>
    <s v="KUBALA Kacper"/>
    <x v="1"/>
    <n v="2006"/>
    <s v="MKS Gdańsk"/>
    <s v="No"/>
    <x v="1"/>
    <x v="1"/>
    <x v="244"/>
  </r>
  <r>
    <s v="KUBALA Kacper"/>
    <x v="1"/>
    <n v="2006"/>
    <s v="MKS Gdańsk"/>
    <s v="No"/>
    <x v="1"/>
    <x v="2"/>
    <x v="14"/>
  </r>
  <r>
    <s v="KUBALA Kacper"/>
    <x v="1"/>
    <n v="2006"/>
    <s v="MKS Gdańsk"/>
    <s v="No"/>
    <x v="2"/>
    <x v="0"/>
    <x v="141"/>
  </r>
  <r>
    <s v="KUBALA Kacper"/>
    <x v="1"/>
    <n v="2006"/>
    <s v="MKS Gdańsk"/>
    <s v="No"/>
    <x v="2"/>
    <x v="1"/>
    <x v="141"/>
  </r>
  <r>
    <s v="KUBALA Kacper"/>
    <x v="1"/>
    <n v="2006"/>
    <s v="MKS Gdańsk"/>
    <s v="No"/>
    <x v="2"/>
    <x v="2"/>
    <x v="141"/>
  </r>
  <r>
    <s v="KUBALA Kacper"/>
    <x v="1"/>
    <n v="2006"/>
    <s v="MKS Gdańsk"/>
    <s v="No"/>
    <x v="3"/>
    <x v="0"/>
    <x v="228"/>
  </r>
  <r>
    <s v="KUBALA Kacper"/>
    <x v="1"/>
    <n v="2006"/>
    <s v="MKS Gdańsk"/>
    <s v="No"/>
    <x v="3"/>
    <x v="1"/>
    <x v="186"/>
  </r>
  <r>
    <s v="KUBALA Kacper"/>
    <x v="1"/>
    <n v="2006"/>
    <s v="MKS Gdańsk"/>
    <s v="No"/>
    <x v="3"/>
    <x v="2"/>
    <x v="195"/>
  </r>
  <r>
    <s v="KUBALA Kacper"/>
    <x v="1"/>
    <n v="2006"/>
    <s v="MKS Gdańsk"/>
    <s v="No"/>
    <x v="4"/>
    <x v="0"/>
    <x v="212"/>
  </r>
  <r>
    <s v="KUBALA Kacper"/>
    <x v="1"/>
    <n v="2006"/>
    <s v="MKS Gdańsk"/>
    <s v="No"/>
    <x v="4"/>
    <x v="1"/>
    <x v="97"/>
  </r>
  <r>
    <s v="KUBALA Kacper"/>
    <x v="1"/>
    <n v="2006"/>
    <s v="MKS Gdańsk"/>
    <s v="No"/>
    <x v="4"/>
    <x v="2"/>
    <x v="50"/>
  </r>
  <r>
    <s v="KUBALA Kacper"/>
    <x v="1"/>
    <n v="2006"/>
    <s v="MKS Gdańsk"/>
    <s v="No"/>
    <x v="5"/>
    <x v="0"/>
    <x v="141"/>
  </r>
  <r>
    <s v="KUBALA Kacper"/>
    <x v="1"/>
    <n v="2006"/>
    <s v="MKS Gdańsk"/>
    <s v="No"/>
    <x v="5"/>
    <x v="1"/>
    <x v="141"/>
  </r>
  <r>
    <s v="KUBALA Kacper"/>
    <x v="1"/>
    <n v="2006"/>
    <s v="MKS Gdańsk"/>
    <s v="No"/>
    <x v="5"/>
    <x v="2"/>
    <x v="141"/>
  </r>
  <r>
    <s v="KUBALA Kacper"/>
    <x v="1"/>
    <n v="2006"/>
    <s v="MKS Gdańsk"/>
    <s v="No"/>
    <x v="6"/>
    <x v="3"/>
    <x v="141"/>
  </r>
  <r>
    <s v="KUBALA Kacper"/>
    <x v="1"/>
    <n v="2006"/>
    <s v="MKS Gdańsk"/>
    <s v="No"/>
    <x v="6"/>
    <x v="4"/>
    <x v="141"/>
  </r>
  <r>
    <s v="KUBALA Kacper"/>
    <x v="1"/>
    <n v="2006"/>
    <s v="MKS Gdańsk"/>
    <s v="No"/>
    <x v="6"/>
    <x v="5"/>
    <x v="245"/>
  </r>
  <r>
    <s v="SADZA Jakub"/>
    <x v="1"/>
    <n v="2006"/>
    <s v="NTG Nysa"/>
    <s v="No"/>
    <x v="0"/>
    <x v="0"/>
    <x v="96"/>
  </r>
  <r>
    <s v="SADZA Jakub"/>
    <x v="1"/>
    <n v="2006"/>
    <s v="NTG Nysa"/>
    <s v="No"/>
    <x v="0"/>
    <x v="1"/>
    <x v="7"/>
  </r>
  <r>
    <s v="SADZA Jakub"/>
    <x v="1"/>
    <n v="2006"/>
    <s v="NTG Nysa"/>
    <s v="No"/>
    <x v="0"/>
    <x v="2"/>
    <x v="170"/>
  </r>
  <r>
    <s v="SADZA Jakub"/>
    <x v="1"/>
    <n v="2006"/>
    <s v="NTG Nysa"/>
    <s v="No"/>
    <x v="1"/>
    <x v="0"/>
    <x v="141"/>
  </r>
  <r>
    <s v="SADZA Jakub"/>
    <x v="1"/>
    <n v="2006"/>
    <s v="NTG Nysa"/>
    <s v="No"/>
    <x v="1"/>
    <x v="1"/>
    <x v="141"/>
  </r>
  <r>
    <s v="SADZA Jakub"/>
    <x v="1"/>
    <n v="2006"/>
    <s v="NTG Nysa"/>
    <s v="No"/>
    <x v="1"/>
    <x v="2"/>
    <x v="141"/>
  </r>
  <r>
    <s v="SADZA Jakub"/>
    <x v="1"/>
    <n v="2006"/>
    <s v="NTG Nysa"/>
    <s v="No"/>
    <x v="2"/>
    <x v="0"/>
    <x v="141"/>
  </r>
  <r>
    <s v="SADZA Jakub"/>
    <x v="1"/>
    <n v="2006"/>
    <s v="NTG Nysa"/>
    <s v="No"/>
    <x v="2"/>
    <x v="1"/>
    <x v="141"/>
  </r>
  <r>
    <s v="SADZA Jakub"/>
    <x v="1"/>
    <n v="2006"/>
    <s v="NTG Nysa"/>
    <s v="No"/>
    <x v="2"/>
    <x v="2"/>
    <x v="141"/>
  </r>
  <r>
    <s v="SADZA Jakub"/>
    <x v="1"/>
    <n v="2006"/>
    <s v="NTG Nysa"/>
    <s v="No"/>
    <x v="3"/>
    <x v="0"/>
    <x v="93"/>
  </r>
  <r>
    <s v="SADZA Jakub"/>
    <x v="1"/>
    <n v="2006"/>
    <s v="NTG Nysa"/>
    <s v="No"/>
    <x v="3"/>
    <x v="1"/>
    <x v="106"/>
  </r>
  <r>
    <s v="SADZA Jakub"/>
    <x v="1"/>
    <n v="2006"/>
    <s v="NTG Nysa"/>
    <s v="No"/>
    <x v="3"/>
    <x v="2"/>
    <x v="5"/>
  </r>
  <r>
    <s v="SADZA Jakub"/>
    <x v="1"/>
    <n v="2006"/>
    <s v="NTG Nysa"/>
    <s v="No"/>
    <x v="4"/>
    <x v="0"/>
    <x v="141"/>
  </r>
  <r>
    <s v="SADZA Jakub"/>
    <x v="1"/>
    <n v="2006"/>
    <s v="NTG Nysa"/>
    <s v="No"/>
    <x v="4"/>
    <x v="1"/>
    <x v="141"/>
  </r>
  <r>
    <s v="SADZA Jakub"/>
    <x v="1"/>
    <n v="2006"/>
    <s v="NTG Nysa"/>
    <s v="No"/>
    <x v="4"/>
    <x v="2"/>
    <x v="141"/>
  </r>
  <r>
    <s v="SADZA Jakub"/>
    <x v="1"/>
    <n v="2006"/>
    <s v="NTG Nysa"/>
    <s v="No"/>
    <x v="5"/>
    <x v="0"/>
    <x v="141"/>
  </r>
  <r>
    <s v="SADZA Jakub"/>
    <x v="1"/>
    <n v="2006"/>
    <s v="NTG Nysa"/>
    <s v="No"/>
    <x v="5"/>
    <x v="1"/>
    <x v="141"/>
  </r>
  <r>
    <s v="SADZA Jakub"/>
    <x v="1"/>
    <n v="2006"/>
    <s v="NTG Nysa"/>
    <s v="No"/>
    <x v="5"/>
    <x v="2"/>
    <x v="141"/>
  </r>
  <r>
    <s v="SADZA Jakub"/>
    <x v="1"/>
    <n v="2006"/>
    <s v="NTG Nysa"/>
    <s v="No"/>
    <x v="6"/>
    <x v="3"/>
    <x v="141"/>
  </r>
  <r>
    <s v="SADZA Jakub"/>
    <x v="1"/>
    <n v="2006"/>
    <s v="NTG Nysa"/>
    <s v="No"/>
    <x v="6"/>
    <x v="4"/>
    <x v="141"/>
  </r>
  <r>
    <s v="SADZA Jakub"/>
    <x v="1"/>
    <n v="2006"/>
    <s v="NTG Nysa"/>
    <s v="No"/>
    <x v="6"/>
    <x v="5"/>
    <x v="246"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93">
  <r>
    <s v="SASNAL Filip"/>
    <x v="0"/>
    <n v="1997"/>
    <s v="KS AZS AWF Kraków"/>
    <s v="Yes"/>
    <x v="0"/>
    <x v="0"/>
    <x v="0"/>
  </r>
  <r>
    <s v="SASNAL Filip"/>
    <x v="0"/>
    <n v="1997"/>
    <s v="KS AZS AWF Kraków"/>
    <s v="Yes"/>
    <x v="0"/>
    <x v="1"/>
    <x v="1"/>
  </r>
  <r>
    <s v="SASNAL Filip"/>
    <x v="0"/>
    <n v="1997"/>
    <s v="KS AZS AWF Kraków"/>
    <s v="Yes"/>
    <x v="0"/>
    <x v="2"/>
    <x v="2"/>
  </r>
  <r>
    <s v="SASNAL Filip"/>
    <x v="0"/>
    <n v="1997"/>
    <s v="KS AZS AWF Kraków"/>
    <s v="Yes"/>
    <x v="1"/>
    <x v="0"/>
    <x v="3"/>
  </r>
  <r>
    <s v="SASNAL Filip"/>
    <x v="0"/>
    <n v="1997"/>
    <s v="KS AZS AWF Kraków"/>
    <s v="Yes"/>
    <x v="1"/>
    <x v="1"/>
    <x v="4"/>
  </r>
  <r>
    <s v="SASNAL Filip"/>
    <x v="0"/>
    <n v="1997"/>
    <s v="KS AZS AWF Kraków"/>
    <s v="Yes"/>
    <x v="1"/>
    <x v="2"/>
    <x v="5"/>
  </r>
  <r>
    <s v="SASNAL Filip"/>
    <x v="0"/>
    <n v="1997"/>
    <s v="KS AZS AWF Kraków"/>
    <s v="Yes"/>
    <x v="2"/>
    <x v="0"/>
    <x v="6"/>
  </r>
  <r>
    <s v="SASNAL Filip"/>
    <x v="0"/>
    <n v="1997"/>
    <s v="KS AZS AWF Kraków"/>
    <s v="Yes"/>
    <x v="2"/>
    <x v="1"/>
    <x v="7"/>
  </r>
  <r>
    <s v="SASNAL Filip"/>
    <x v="0"/>
    <n v="1997"/>
    <s v="KS AZS AWF Kraków"/>
    <s v="Yes"/>
    <x v="2"/>
    <x v="2"/>
    <x v="8"/>
  </r>
  <r>
    <s v="SASNAL Filip"/>
    <x v="0"/>
    <n v="1997"/>
    <s v="KS AZS AWF Kraków"/>
    <s v="Yes"/>
    <x v="3"/>
    <x v="0"/>
    <x v="9"/>
  </r>
  <r>
    <s v="SASNAL Filip"/>
    <x v="0"/>
    <n v="1997"/>
    <s v="KS AZS AWF Kraków"/>
    <s v="Yes"/>
    <x v="3"/>
    <x v="1"/>
    <x v="10"/>
  </r>
  <r>
    <s v="SASNAL Filip"/>
    <x v="0"/>
    <n v="1997"/>
    <s v="KS AZS AWF Kraków"/>
    <s v="Yes"/>
    <x v="3"/>
    <x v="2"/>
    <x v="11"/>
  </r>
  <r>
    <s v="SASNAL Filip"/>
    <x v="0"/>
    <n v="1997"/>
    <s v="KS AZS AWF Kraków"/>
    <s v="Yes"/>
    <x v="4"/>
    <x v="0"/>
    <x v="6"/>
  </r>
  <r>
    <s v="SASNAL Filip"/>
    <x v="0"/>
    <n v="1997"/>
    <s v="KS AZS AWF Kraków"/>
    <s v="Yes"/>
    <x v="4"/>
    <x v="1"/>
    <x v="12"/>
  </r>
  <r>
    <s v="SASNAL Filip"/>
    <x v="0"/>
    <n v="1997"/>
    <s v="KS AZS AWF Kraków"/>
    <s v="Yes"/>
    <x v="4"/>
    <x v="2"/>
    <x v="13"/>
  </r>
  <r>
    <s v="SASNAL Filip"/>
    <x v="0"/>
    <n v="1997"/>
    <s v="KS AZS AWF Kraków"/>
    <s v="Yes"/>
    <x v="5"/>
    <x v="0"/>
    <x v="6"/>
  </r>
  <r>
    <s v="SASNAL Filip"/>
    <x v="0"/>
    <n v="1997"/>
    <s v="KS AZS AWF Kraków"/>
    <s v="Yes"/>
    <x v="5"/>
    <x v="1"/>
    <x v="7"/>
  </r>
  <r>
    <s v="SASNAL Filip"/>
    <x v="0"/>
    <n v="1997"/>
    <s v="KS AZS AWF Kraków"/>
    <s v="Yes"/>
    <x v="5"/>
    <x v="2"/>
    <x v="8"/>
  </r>
  <r>
    <s v="SASNAL Filip"/>
    <x v="0"/>
    <n v="1997"/>
    <s v="KS AZS AWF Kraków"/>
    <s v="Yes"/>
    <x v="6"/>
    <x v="3"/>
    <x v="14"/>
  </r>
  <r>
    <s v="SASNAL Filip"/>
    <x v="0"/>
    <n v="1997"/>
    <s v="KS AZS AWF Kraków"/>
    <s v="Yes"/>
    <x v="6"/>
    <x v="4"/>
    <x v="15"/>
  </r>
  <r>
    <s v="SASNAL Filip"/>
    <x v="0"/>
    <n v="1997"/>
    <s v="KS AZS AWF Kraków"/>
    <s v="Yes"/>
    <x v="6"/>
    <x v="5"/>
    <x v="16"/>
  </r>
  <r>
    <s v="GARNCZAREK Kacper"/>
    <x v="0"/>
    <n v="2002"/>
    <s v="KS AZS AWF Katowice"/>
    <s v="Yes"/>
    <x v="0"/>
    <x v="0"/>
    <x v="17"/>
  </r>
  <r>
    <s v="GARNCZAREK Kacper"/>
    <x v="0"/>
    <n v="2002"/>
    <s v="KS AZS AWF Katowice"/>
    <s v="Yes"/>
    <x v="0"/>
    <x v="1"/>
    <x v="18"/>
  </r>
  <r>
    <s v="GARNCZAREK Kacper"/>
    <x v="0"/>
    <n v="2002"/>
    <s v="KS AZS AWF Katowice"/>
    <s v="Yes"/>
    <x v="0"/>
    <x v="2"/>
    <x v="19"/>
  </r>
  <r>
    <s v="GARNCZAREK Kacper"/>
    <x v="0"/>
    <n v="2002"/>
    <s v="KS AZS AWF Katowice"/>
    <s v="Yes"/>
    <x v="1"/>
    <x v="0"/>
    <x v="20"/>
  </r>
  <r>
    <s v="GARNCZAREK Kacper"/>
    <x v="0"/>
    <n v="2002"/>
    <s v="KS AZS AWF Katowice"/>
    <s v="Yes"/>
    <x v="1"/>
    <x v="1"/>
    <x v="21"/>
  </r>
  <r>
    <s v="GARNCZAREK Kacper"/>
    <x v="0"/>
    <n v="2002"/>
    <s v="KS AZS AWF Katowice"/>
    <s v="Yes"/>
    <x v="1"/>
    <x v="2"/>
    <x v="22"/>
  </r>
  <r>
    <s v="GARNCZAREK Kacper"/>
    <x v="0"/>
    <n v="2002"/>
    <s v="KS AZS AWF Katowice"/>
    <s v="Yes"/>
    <x v="2"/>
    <x v="0"/>
    <x v="23"/>
  </r>
  <r>
    <s v="GARNCZAREK Kacper"/>
    <x v="0"/>
    <n v="2002"/>
    <s v="KS AZS AWF Katowice"/>
    <s v="Yes"/>
    <x v="2"/>
    <x v="1"/>
    <x v="12"/>
  </r>
  <r>
    <s v="GARNCZAREK Kacper"/>
    <x v="0"/>
    <n v="2002"/>
    <s v="KS AZS AWF Katowice"/>
    <s v="Yes"/>
    <x v="2"/>
    <x v="2"/>
    <x v="24"/>
  </r>
  <r>
    <s v="GARNCZAREK Kacper"/>
    <x v="0"/>
    <n v="2002"/>
    <s v="KS AZS AWF Katowice"/>
    <s v="Yes"/>
    <x v="3"/>
    <x v="0"/>
    <x v="3"/>
  </r>
  <r>
    <s v="GARNCZAREK Kacper"/>
    <x v="0"/>
    <n v="2002"/>
    <s v="KS AZS AWF Katowice"/>
    <s v="Yes"/>
    <x v="3"/>
    <x v="1"/>
    <x v="10"/>
  </r>
  <r>
    <s v="GARNCZAREK Kacper"/>
    <x v="0"/>
    <n v="2002"/>
    <s v="KS AZS AWF Katowice"/>
    <s v="Yes"/>
    <x v="3"/>
    <x v="2"/>
    <x v="25"/>
  </r>
  <r>
    <s v="GARNCZAREK Kacper"/>
    <x v="0"/>
    <n v="2002"/>
    <s v="KS AZS AWF Katowice"/>
    <s v="Yes"/>
    <x v="4"/>
    <x v="0"/>
    <x v="26"/>
  </r>
  <r>
    <s v="GARNCZAREK Kacper"/>
    <x v="0"/>
    <n v="2002"/>
    <s v="KS AZS AWF Katowice"/>
    <s v="Yes"/>
    <x v="4"/>
    <x v="1"/>
    <x v="27"/>
  </r>
  <r>
    <s v="GARNCZAREK Kacper"/>
    <x v="0"/>
    <n v="2002"/>
    <s v="KS AZS AWF Katowice"/>
    <s v="Yes"/>
    <x v="4"/>
    <x v="2"/>
    <x v="28"/>
  </r>
  <r>
    <s v="GARNCZAREK Kacper"/>
    <x v="0"/>
    <n v="2002"/>
    <s v="KS AZS AWF Katowice"/>
    <s v="Yes"/>
    <x v="5"/>
    <x v="0"/>
    <x v="20"/>
  </r>
  <r>
    <s v="GARNCZAREK Kacper"/>
    <x v="0"/>
    <n v="2002"/>
    <s v="KS AZS AWF Katowice"/>
    <s v="Yes"/>
    <x v="5"/>
    <x v="1"/>
    <x v="29"/>
  </r>
  <r>
    <s v="GARNCZAREK Kacper"/>
    <x v="0"/>
    <n v="2002"/>
    <s v="KS AZS AWF Katowice"/>
    <s v="Yes"/>
    <x v="5"/>
    <x v="2"/>
    <x v="30"/>
  </r>
  <r>
    <s v="GARNCZAREK Kacper"/>
    <x v="0"/>
    <n v="2002"/>
    <s v="KS AZS AWF Katowice"/>
    <s v="Yes"/>
    <x v="6"/>
    <x v="3"/>
    <x v="31"/>
  </r>
  <r>
    <s v="GARNCZAREK Kacper"/>
    <x v="0"/>
    <n v="2002"/>
    <s v="KS AZS AWF Katowice"/>
    <s v="Yes"/>
    <x v="6"/>
    <x v="4"/>
    <x v="32"/>
  </r>
  <r>
    <s v="GARNCZAREK Kacper"/>
    <x v="0"/>
    <n v="2002"/>
    <s v="KS AZS AWF Katowice"/>
    <s v="Yes"/>
    <x v="6"/>
    <x v="5"/>
    <x v="33"/>
  </r>
  <r>
    <s v="GAWROŃSKI Sebastian"/>
    <x v="0"/>
    <n v="1996"/>
    <s v="KS AZS AWF Katowice"/>
    <s v="Yes"/>
    <x v="0"/>
    <x v="0"/>
    <x v="34"/>
  </r>
  <r>
    <s v="GAWROŃSKI Sebastian"/>
    <x v="0"/>
    <n v="1996"/>
    <s v="KS AZS AWF Katowice"/>
    <s v="Yes"/>
    <x v="0"/>
    <x v="1"/>
    <x v="17"/>
  </r>
  <r>
    <s v="GAWROŃSKI Sebastian"/>
    <x v="0"/>
    <n v="1996"/>
    <s v="KS AZS AWF Katowice"/>
    <s v="Yes"/>
    <x v="0"/>
    <x v="2"/>
    <x v="35"/>
  </r>
  <r>
    <s v="GAWROŃSKI Sebastian"/>
    <x v="0"/>
    <n v="1996"/>
    <s v="KS AZS AWF Katowice"/>
    <s v="Yes"/>
    <x v="1"/>
    <x v="0"/>
    <x v="36"/>
  </r>
  <r>
    <s v="GAWROŃSKI Sebastian"/>
    <x v="0"/>
    <n v="1996"/>
    <s v="KS AZS AWF Katowice"/>
    <s v="Yes"/>
    <x v="1"/>
    <x v="1"/>
    <x v="37"/>
  </r>
  <r>
    <s v="GAWROŃSKI Sebastian"/>
    <x v="0"/>
    <n v="1996"/>
    <s v="KS AZS AWF Katowice"/>
    <s v="Yes"/>
    <x v="1"/>
    <x v="2"/>
    <x v="24"/>
  </r>
  <r>
    <s v="GAWROŃSKI Sebastian"/>
    <x v="0"/>
    <n v="1996"/>
    <s v="KS AZS AWF Katowice"/>
    <s v="Yes"/>
    <x v="2"/>
    <x v="0"/>
    <x v="26"/>
  </r>
  <r>
    <s v="GAWROŃSKI Sebastian"/>
    <x v="0"/>
    <n v="1996"/>
    <s v="KS AZS AWF Katowice"/>
    <s v="Yes"/>
    <x v="2"/>
    <x v="1"/>
    <x v="38"/>
  </r>
  <r>
    <s v="GAWROŃSKI Sebastian"/>
    <x v="0"/>
    <n v="1996"/>
    <s v="KS AZS AWF Katowice"/>
    <s v="Yes"/>
    <x v="2"/>
    <x v="2"/>
    <x v="39"/>
  </r>
  <r>
    <s v="GAWROŃSKI Sebastian"/>
    <x v="0"/>
    <n v="1996"/>
    <s v="KS AZS AWF Katowice"/>
    <s v="Yes"/>
    <x v="3"/>
    <x v="0"/>
    <x v="40"/>
  </r>
  <r>
    <s v="GAWROŃSKI Sebastian"/>
    <x v="0"/>
    <n v="1996"/>
    <s v="KS AZS AWF Katowice"/>
    <s v="Yes"/>
    <x v="3"/>
    <x v="1"/>
    <x v="7"/>
  </r>
  <r>
    <s v="GAWROŃSKI Sebastian"/>
    <x v="0"/>
    <n v="1996"/>
    <s v="KS AZS AWF Katowice"/>
    <s v="Yes"/>
    <x v="3"/>
    <x v="2"/>
    <x v="41"/>
  </r>
  <r>
    <s v="GAWROŃSKI Sebastian"/>
    <x v="0"/>
    <n v="1996"/>
    <s v="KS AZS AWF Katowice"/>
    <s v="Yes"/>
    <x v="4"/>
    <x v="0"/>
    <x v="20"/>
  </r>
  <r>
    <s v="GAWROŃSKI Sebastian"/>
    <x v="0"/>
    <n v="1996"/>
    <s v="KS AZS AWF Katowice"/>
    <s v="Yes"/>
    <x v="4"/>
    <x v="1"/>
    <x v="18"/>
  </r>
  <r>
    <s v="GAWROŃSKI Sebastian"/>
    <x v="0"/>
    <n v="1996"/>
    <s v="KS AZS AWF Katowice"/>
    <s v="Yes"/>
    <x v="4"/>
    <x v="2"/>
    <x v="28"/>
  </r>
  <r>
    <s v="GAWROŃSKI Sebastian"/>
    <x v="0"/>
    <n v="1996"/>
    <s v="KS AZS AWF Katowice"/>
    <s v="Yes"/>
    <x v="5"/>
    <x v="0"/>
    <x v="9"/>
  </r>
  <r>
    <s v="GAWROŃSKI Sebastian"/>
    <x v="0"/>
    <n v="1996"/>
    <s v="KS AZS AWF Katowice"/>
    <s v="Yes"/>
    <x v="5"/>
    <x v="1"/>
    <x v="42"/>
  </r>
  <r>
    <s v="GAWROŃSKI Sebastian"/>
    <x v="0"/>
    <n v="1996"/>
    <s v="KS AZS AWF Katowice"/>
    <s v="Yes"/>
    <x v="5"/>
    <x v="2"/>
    <x v="43"/>
  </r>
  <r>
    <s v="GAWROŃSKI Sebastian"/>
    <x v="0"/>
    <n v="1996"/>
    <s v="KS AZS AWF Katowice"/>
    <s v="Yes"/>
    <x v="6"/>
    <x v="3"/>
    <x v="44"/>
  </r>
  <r>
    <s v="GAWROŃSKI Sebastian"/>
    <x v="0"/>
    <n v="1996"/>
    <s v="KS AZS AWF Katowice"/>
    <s v="Yes"/>
    <x v="6"/>
    <x v="4"/>
    <x v="45"/>
  </r>
  <r>
    <s v="GAWROŃSKI Sebastian"/>
    <x v="0"/>
    <n v="1996"/>
    <s v="KS AZS AWF Katowice"/>
    <s v="Yes"/>
    <x v="6"/>
    <x v="5"/>
    <x v="46"/>
  </r>
  <r>
    <s v="WROŃSKI Filip"/>
    <x v="0"/>
    <n v="2001"/>
    <s v="NTG Nysa"/>
    <s v="Yes"/>
    <x v="0"/>
    <x v="0"/>
    <x v="47"/>
  </r>
  <r>
    <s v="WROŃSKI Filip"/>
    <x v="0"/>
    <n v="2001"/>
    <s v="NTG Nysa"/>
    <s v="Yes"/>
    <x v="0"/>
    <x v="1"/>
    <x v="48"/>
  </r>
  <r>
    <s v="WROŃSKI Filip"/>
    <x v="0"/>
    <n v="2001"/>
    <s v="NTG Nysa"/>
    <s v="Yes"/>
    <x v="0"/>
    <x v="2"/>
    <x v="35"/>
  </r>
  <r>
    <s v="WROŃSKI Filip"/>
    <x v="0"/>
    <n v="2001"/>
    <s v="NTG Nysa"/>
    <s v="Yes"/>
    <x v="1"/>
    <x v="0"/>
    <x v="49"/>
  </r>
  <r>
    <s v="WROŃSKI Filip"/>
    <x v="0"/>
    <n v="2001"/>
    <s v="NTG Nysa"/>
    <s v="Yes"/>
    <x v="1"/>
    <x v="1"/>
    <x v="50"/>
  </r>
  <r>
    <s v="WROŃSKI Filip"/>
    <x v="0"/>
    <n v="2001"/>
    <s v="NTG Nysa"/>
    <s v="Yes"/>
    <x v="1"/>
    <x v="2"/>
    <x v="51"/>
  </r>
  <r>
    <s v="WROŃSKI Filip"/>
    <x v="0"/>
    <n v="2001"/>
    <s v="NTG Nysa"/>
    <s v="Yes"/>
    <x v="2"/>
    <x v="0"/>
    <x v="47"/>
  </r>
  <r>
    <s v="WROŃSKI Filip"/>
    <x v="0"/>
    <n v="2001"/>
    <s v="NTG Nysa"/>
    <s v="Yes"/>
    <x v="2"/>
    <x v="1"/>
    <x v="52"/>
  </r>
  <r>
    <s v="WROŃSKI Filip"/>
    <x v="0"/>
    <n v="2001"/>
    <s v="NTG Nysa"/>
    <s v="Yes"/>
    <x v="2"/>
    <x v="2"/>
    <x v="53"/>
  </r>
  <r>
    <s v="WROŃSKI Filip"/>
    <x v="0"/>
    <n v="2001"/>
    <s v="NTG Nysa"/>
    <s v="Yes"/>
    <x v="3"/>
    <x v="0"/>
    <x v="54"/>
  </r>
  <r>
    <s v="WROŃSKI Filip"/>
    <x v="0"/>
    <n v="2001"/>
    <s v="NTG Nysa"/>
    <s v="Yes"/>
    <x v="3"/>
    <x v="1"/>
    <x v="55"/>
  </r>
  <r>
    <s v="WROŃSKI Filip"/>
    <x v="0"/>
    <n v="2001"/>
    <s v="NTG Nysa"/>
    <s v="Yes"/>
    <x v="3"/>
    <x v="2"/>
    <x v="25"/>
  </r>
  <r>
    <s v="WROŃSKI Filip"/>
    <x v="0"/>
    <n v="2001"/>
    <s v="NTG Nysa"/>
    <s v="Yes"/>
    <x v="4"/>
    <x v="0"/>
    <x v="56"/>
  </r>
  <r>
    <s v="WROŃSKI Filip"/>
    <x v="0"/>
    <n v="2001"/>
    <s v="NTG Nysa"/>
    <s v="Yes"/>
    <x v="4"/>
    <x v="1"/>
    <x v="57"/>
  </r>
  <r>
    <s v="WROŃSKI Filip"/>
    <x v="0"/>
    <n v="2001"/>
    <s v="NTG Nysa"/>
    <s v="Yes"/>
    <x v="4"/>
    <x v="2"/>
    <x v="58"/>
  </r>
  <r>
    <s v="WROŃSKI Filip"/>
    <x v="0"/>
    <n v="2001"/>
    <s v="NTG Nysa"/>
    <s v="Yes"/>
    <x v="5"/>
    <x v="0"/>
    <x v="59"/>
  </r>
  <r>
    <s v="WROŃSKI Filip"/>
    <x v="0"/>
    <n v="2001"/>
    <s v="NTG Nysa"/>
    <s v="Yes"/>
    <x v="5"/>
    <x v="1"/>
    <x v="10"/>
  </r>
  <r>
    <s v="WROŃSKI Filip"/>
    <x v="0"/>
    <n v="2001"/>
    <s v="NTG Nysa"/>
    <s v="Yes"/>
    <x v="5"/>
    <x v="2"/>
    <x v="39"/>
  </r>
  <r>
    <s v="WROŃSKI Filip"/>
    <x v="0"/>
    <n v="2001"/>
    <s v="NTG Nysa"/>
    <s v="Yes"/>
    <x v="6"/>
    <x v="3"/>
    <x v="60"/>
  </r>
  <r>
    <s v="WROŃSKI Filip"/>
    <x v="0"/>
    <n v="2001"/>
    <s v="NTG Nysa"/>
    <s v="Yes"/>
    <x v="6"/>
    <x v="4"/>
    <x v="61"/>
  </r>
  <r>
    <s v="WROŃSKI Filip"/>
    <x v="0"/>
    <n v="2001"/>
    <s v="NTG Nysa"/>
    <s v="Yes"/>
    <x v="6"/>
    <x v="5"/>
    <x v="62"/>
  </r>
  <r>
    <s v="WIERZBA Kacper"/>
    <x v="0"/>
    <n v="2003"/>
    <s v="MKS Gdańsk"/>
    <s v="Yes"/>
    <x v="0"/>
    <x v="0"/>
    <x v="47"/>
  </r>
  <r>
    <s v="WIERZBA Kacper"/>
    <x v="0"/>
    <n v="2003"/>
    <s v="MKS Gdańsk"/>
    <s v="Yes"/>
    <x v="0"/>
    <x v="1"/>
    <x v="37"/>
  </r>
  <r>
    <s v="WIERZBA Kacper"/>
    <x v="0"/>
    <n v="2003"/>
    <s v="MKS Gdańsk"/>
    <s v="Yes"/>
    <x v="0"/>
    <x v="2"/>
    <x v="30"/>
  </r>
  <r>
    <s v="WIERZBA Kacper"/>
    <x v="0"/>
    <n v="2003"/>
    <s v="MKS Gdańsk"/>
    <s v="Yes"/>
    <x v="1"/>
    <x v="0"/>
    <x v="56"/>
  </r>
  <r>
    <s v="WIERZBA Kacper"/>
    <x v="0"/>
    <n v="2003"/>
    <s v="MKS Gdańsk"/>
    <s v="Yes"/>
    <x v="1"/>
    <x v="1"/>
    <x v="63"/>
  </r>
  <r>
    <s v="WIERZBA Kacper"/>
    <x v="0"/>
    <n v="2003"/>
    <s v="MKS Gdańsk"/>
    <s v="Yes"/>
    <x v="1"/>
    <x v="2"/>
    <x v="64"/>
  </r>
  <r>
    <s v="WIERZBA Kacper"/>
    <x v="0"/>
    <n v="2003"/>
    <s v="MKS Gdańsk"/>
    <s v="Yes"/>
    <x v="2"/>
    <x v="0"/>
    <x v="65"/>
  </r>
  <r>
    <s v="WIERZBA Kacper"/>
    <x v="0"/>
    <n v="2003"/>
    <s v="MKS Gdańsk"/>
    <s v="Yes"/>
    <x v="2"/>
    <x v="1"/>
    <x v="37"/>
  </r>
  <r>
    <s v="WIERZBA Kacper"/>
    <x v="0"/>
    <n v="2003"/>
    <s v="MKS Gdańsk"/>
    <s v="Yes"/>
    <x v="2"/>
    <x v="2"/>
    <x v="66"/>
  </r>
  <r>
    <s v="WIERZBA Kacper"/>
    <x v="0"/>
    <n v="2003"/>
    <s v="MKS Gdańsk"/>
    <s v="Yes"/>
    <x v="3"/>
    <x v="0"/>
    <x v="54"/>
  </r>
  <r>
    <s v="WIERZBA Kacper"/>
    <x v="0"/>
    <n v="2003"/>
    <s v="MKS Gdańsk"/>
    <s v="Yes"/>
    <x v="3"/>
    <x v="1"/>
    <x v="57"/>
  </r>
  <r>
    <s v="WIERZBA Kacper"/>
    <x v="0"/>
    <n v="2003"/>
    <s v="MKS Gdańsk"/>
    <s v="Yes"/>
    <x v="3"/>
    <x v="2"/>
    <x v="67"/>
  </r>
  <r>
    <s v="WIERZBA Kacper"/>
    <x v="0"/>
    <n v="2003"/>
    <s v="MKS Gdańsk"/>
    <s v="Yes"/>
    <x v="4"/>
    <x v="0"/>
    <x v="68"/>
  </r>
  <r>
    <s v="WIERZBA Kacper"/>
    <x v="0"/>
    <n v="2003"/>
    <s v="MKS Gdańsk"/>
    <s v="Yes"/>
    <x v="4"/>
    <x v="1"/>
    <x v="69"/>
  </r>
  <r>
    <s v="WIERZBA Kacper"/>
    <x v="0"/>
    <n v="2003"/>
    <s v="MKS Gdańsk"/>
    <s v="Yes"/>
    <x v="4"/>
    <x v="2"/>
    <x v="30"/>
  </r>
  <r>
    <s v="WIERZBA Kacper"/>
    <x v="0"/>
    <n v="2003"/>
    <s v="MKS Gdańsk"/>
    <s v="Yes"/>
    <x v="5"/>
    <x v="0"/>
    <x v="70"/>
  </r>
  <r>
    <s v="WIERZBA Kacper"/>
    <x v="0"/>
    <n v="2003"/>
    <s v="MKS Gdańsk"/>
    <s v="Yes"/>
    <x v="5"/>
    <x v="1"/>
    <x v="7"/>
  </r>
  <r>
    <s v="WIERZBA Kacper"/>
    <x v="0"/>
    <n v="2003"/>
    <s v="MKS Gdańsk"/>
    <s v="Yes"/>
    <x v="5"/>
    <x v="2"/>
    <x v="71"/>
  </r>
  <r>
    <s v="WIERZBA Kacper"/>
    <x v="0"/>
    <n v="2003"/>
    <s v="MKS Gdańsk"/>
    <s v="Yes"/>
    <x v="6"/>
    <x v="3"/>
    <x v="72"/>
  </r>
  <r>
    <s v="WIERZBA Kacper"/>
    <x v="0"/>
    <n v="2003"/>
    <s v="MKS Gdańsk"/>
    <s v="Yes"/>
    <x v="6"/>
    <x v="4"/>
    <x v="73"/>
  </r>
  <r>
    <s v="WIERZBA Kacper"/>
    <x v="0"/>
    <n v="2003"/>
    <s v="MKS Gdańsk"/>
    <s v="Yes"/>
    <x v="6"/>
    <x v="5"/>
    <x v="74"/>
  </r>
  <r>
    <s v="KORNIICHUK Yehor"/>
    <x v="0"/>
    <n v="2001"/>
    <s v="KS AZS AWFiS Gdańsk"/>
    <s v="Yes"/>
    <x v="0"/>
    <x v="0"/>
    <x v="75"/>
  </r>
  <r>
    <s v="KORNIICHUK Yehor"/>
    <x v="0"/>
    <n v="2001"/>
    <s v="KS AZS AWFiS Gdańsk"/>
    <s v="Yes"/>
    <x v="0"/>
    <x v="1"/>
    <x v="76"/>
  </r>
  <r>
    <s v="KORNIICHUK Yehor"/>
    <x v="0"/>
    <n v="2001"/>
    <s v="KS AZS AWFiS Gdańsk"/>
    <s v="Yes"/>
    <x v="0"/>
    <x v="2"/>
    <x v="39"/>
  </r>
  <r>
    <s v="KORNIICHUK Yehor"/>
    <x v="0"/>
    <n v="2001"/>
    <s v="KS AZS AWFiS Gdańsk"/>
    <s v="Yes"/>
    <x v="1"/>
    <x v="0"/>
    <x v="77"/>
  </r>
  <r>
    <s v="KORNIICHUK Yehor"/>
    <x v="0"/>
    <n v="2001"/>
    <s v="KS AZS AWFiS Gdańsk"/>
    <s v="Yes"/>
    <x v="1"/>
    <x v="1"/>
    <x v="21"/>
  </r>
  <r>
    <s v="KORNIICHUK Yehor"/>
    <x v="0"/>
    <n v="2001"/>
    <s v="KS AZS AWFiS Gdańsk"/>
    <s v="Yes"/>
    <x v="1"/>
    <x v="2"/>
    <x v="55"/>
  </r>
  <r>
    <s v="KORNIICHUK Yehor"/>
    <x v="0"/>
    <n v="2001"/>
    <s v="KS AZS AWFiS Gdańsk"/>
    <s v="Yes"/>
    <x v="2"/>
    <x v="0"/>
    <x v="56"/>
  </r>
  <r>
    <s v="KORNIICHUK Yehor"/>
    <x v="0"/>
    <n v="2001"/>
    <s v="KS AZS AWFiS Gdańsk"/>
    <s v="Yes"/>
    <x v="2"/>
    <x v="1"/>
    <x v="78"/>
  </r>
  <r>
    <s v="KORNIICHUK Yehor"/>
    <x v="0"/>
    <n v="2001"/>
    <s v="KS AZS AWFiS Gdańsk"/>
    <s v="Yes"/>
    <x v="2"/>
    <x v="2"/>
    <x v="43"/>
  </r>
  <r>
    <s v="KORNIICHUK Yehor"/>
    <x v="0"/>
    <n v="2001"/>
    <s v="KS AZS AWFiS Gdańsk"/>
    <s v="Yes"/>
    <x v="3"/>
    <x v="0"/>
    <x v="40"/>
  </r>
  <r>
    <s v="KORNIICHUK Yehor"/>
    <x v="0"/>
    <n v="2001"/>
    <s v="KS AZS AWFiS Gdańsk"/>
    <s v="Yes"/>
    <x v="3"/>
    <x v="1"/>
    <x v="52"/>
  </r>
  <r>
    <s v="KORNIICHUK Yehor"/>
    <x v="0"/>
    <n v="2001"/>
    <s v="KS AZS AWFiS Gdańsk"/>
    <s v="Yes"/>
    <x v="3"/>
    <x v="2"/>
    <x v="13"/>
  </r>
  <r>
    <s v="KORNIICHUK Yehor"/>
    <x v="0"/>
    <n v="2001"/>
    <s v="KS AZS AWFiS Gdańsk"/>
    <s v="Yes"/>
    <x v="4"/>
    <x v="0"/>
    <x v="79"/>
  </r>
  <r>
    <s v="KORNIICHUK Yehor"/>
    <x v="0"/>
    <n v="2001"/>
    <s v="KS AZS AWFiS Gdańsk"/>
    <s v="Yes"/>
    <x v="4"/>
    <x v="1"/>
    <x v="7"/>
  </r>
  <r>
    <s v="KORNIICHUK Yehor"/>
    <x v="0"/>
    <n v="2001"/>
    <s v="KS AZS AWFiS Gdańsk"/>
    <s v="Yes"/>
    <x v="4"/>
    <x v="2"/>
    <x v="28"/>
  </r>
  <r>
    <s v="KORNIICHUK Yehor"/>
    <x v="0"/>
    <n v="2001"/>
    <s v="KS AZS AWFiS Gdańsk"/>
    <s v="Yes"/>
    <x v="5"/>
    <x v="0"/>
    <x v="80"/>
  </r>
  <r>
    <s v="KORNIICHUK Yehor"/>
    <x v="0"/>
    <n v="2001"/>
    <s v="KS AZS AWFiS Gdańsk"/>
    <s v="Yes"/>
    <x v="5"/>
    <x v="1"/>
    <x v="48"/>
  </r>
  <r>
    <s v="KORNIICHUK Yehor"/>
    <x v="0"/>
    <n v="2001"/>
    <s v="KS AZS AWFiS Gdańsk"/>
    <s v="Yes"/>
    <x v="5"/>
    <x v="2"/>
    <x v="51"/>
  </r>
  <r>
    <s v="KORNIICHUK Yehor"/>
    <x v="0"/>
    <n v="2001"/>
    <s v="KS AZS AWFiS Gdańsk"/>
    <s v="Yes"/>
    <x v="6"/>
    <x v="3"/>
    <x v="81"/>
  </r>
  <r>
    <s v="KORNIICHUK Yehor"/>
    <x v="0"/>
    <n v="2001"/>
    <s v="KS AZS AWFiS Gdańsk"/>
    <s v="Yes"/>
    <x v="6"/>
    <x v="4"/>
    <x v="82"/>
  </r>
  <r>
    <s v="KORNIICHUK Yehor"/>
    <x v="0"/>
    <n v="2001"/>
    <s v="KS AZS AWFiS Gdańsk"/>
    <s v="Yes"/>
    <x v="6"/>
    <x v="5"/>
    <x v="83"/>
  </r>
  <r>
    <s v="LUKIANIENKO Illia"/>
    <x v="0"/>
    <n v="2000"/>
    <s v="MKS Kusy Szczecin"/>
    <s v="Yes"/>
    <x v="0"/>
    <x v="0"/>
    <x v="6"/>
  </r>
  <r>
    <s v="LUKIANIENKO Illia"/>
    <x v="0"/>
    <n v="2000"/>
    <s v="MKS Kusy Szczecin"/>
    <s v="Yes"/>
    <x v="0"/>
    <x v="1"/>
    <x v="84"/>
  </r>
  <r>
    <s v="LUKIANIENKO Illia"/>
    <x v="0"/>
    <n v="2000"/>
    <s v="MKS Kusy Szczecin"/>
    <s v="Yes"/>
    <x v="0"/>
    <x v="2"/>
    <x v="85"/>
  </r>
  <r>
    <s v="LUKIANIENKO Illia"/>
    <x v="0"/>
    <n v="2000"/>
    <s v="MKS Kusy Szczecin"/>
    <s v="Yes"/>
    <x v="1"/>
    <x v="0"/>
    <x v="70"/>
  </r>
  <r>
    <s v="LUKIANIENKO Illia"/>
    <x v="0"/>
    <n v="2000"/>
    <s v="MKS Kusy Szczecin"/>
    <s v="Yes"/>
    <x v="1"/>
    <x v="1"/>
    <x v="18"/>
  </r>
  <r>
    <s v="LUKIANIENKO Illia"/>
    <x v="0"/>
    <n v="2000"/>
    <s v="MKS Kusy Szczecin"/>
    <s v="Yes"/>
    <x v="1"/>
    <x v="2"/>
    <x v="86"/>
  </r>
  <r>
    <s v="LUKIANIENKO Illia"/>
    <x v="0"/>
    <n v="2000"/>
    <s v="MKS Kusy Szczecin"/>
    <s v="Yes"/>
    <x v="2"/>
    <x v="0"/>
    <x v="36"/>
  </r>
  <r>
    <s v="LUKIANIENKO Illia"/>
    <x v="0"/>
    <n v="2000"/>
    <s v="MKS Kusy Szczecin"/>
    <s v="Yes"/>
    <x v="2"/>
    <x v="1"/>
    <x v="87"/>
  </r>
  <r>
    <s v="LUKIANIENKO Illia"/>
    <x v="0"/>
    <n v="2000"/>
    <s v="MKS Kusy Szczecin"/>
    <s v="Yes"/>
    <x v="2"/>
    <x v="2"/>
    <x v="88"/>
  </r>
  <r>
    <s v="LUKIANIENKO Illia"/>
    <x v="0"/>
    <n v="2000"/>
    <s v="MKS Kusy Szczecin"/>
    <s v="Yes"/>
    <x v="3"/>
    <x v="0"/>
    <x v="54"/>
  </r>
  <r>
    <s v="LUKIANIENKO Illia"/>
    <x v="0"/>
    <n v="2000"/>
    <s v="MKS Kusy Szczecin"/>
    <s v="Yes"/>
    <x v="3"/>
    <x v="1"/>
    <x v="89"/>
  </r>
  <r>
    <s v="LUKIANIENKO Illia"/>
    <x v="0"/>
    <n v="2000"/>
    <s v="MKS Kusy Szczecin"/>
    <s v="Yes"/>
    <x v="3"/>
    <x v="2"/>
    <x v="90"/>
  </r>
  <r>
    <s v="LUKIANIENKO Illia"/>
    <x v="0"/>
    <n v="2000"/>
    <s v="MKS Kusy Szczecin"/>
    <s v="Yes"/>
    <x v="4"/>
    <x v="0"/>
    <x v="59"/>
  </r>
  <r>
    <s v="LUKIANIENKO Illia"/>
    <x v="0"/>
    <n v="2000"/>
    <s v="MKS Kusy Szczecin"/>
    <s v="Yes"/>
    <x v="4"/>
    <x v="1"/>
    <x v="27"/>
  </r>
  <r>
    <s v="LUKIANIENKO Illia"/>
    <x v="0"/>
    <n v="2000"/>
    <s v="MKS Kusy Szczecin"/>
    <s v="Yes"/>
    <x v="4"/>
    <x v="2"/>
    <x v="91"/>
  </r>
  <r>
    <s v="LUKIANIENKO Illia"/>
    <x v="0"/>
    <n v="2000"/>
    <s v="MKS Kusy Szczecin"/>
    <s v="Yes"/>
    <x v="5"/>
    <x v="0"/>
    <x v="70"/>
  </r>
  <r>
    <s v="LUKIANIENKO Illia"/>
    <x v="0"/>
    <n v="2000"/>
    <s v="MKS Kusy Szczecin"/>
    <s v="Yes"/>
    <x v="5"/>
    <x v="1"/>
    <x v="18"/>
  </r>
  <r>
    <s v="LUKIANIENKO Illia"/>
    <x v="0"/>
    <n v="2000"/>
    <s v="MKS Kusy Szczecin"/>
    <s v="Yes"/>
    <x v="5"/>
    <x v="2"/>
    <x v="86"/>
  </r>
  <r>
    <s v="LUKIANIENKO Illia"/>
    <x v="0"/>
    <n v="2000"/>
    <s v="MKS Kusy Szczecin"/>
    <s v="Yes"/>
    <x v="6"/>
    <x v="3"/>
    <x v="92"/>
  </r>
  <r>
    <s v="LUKIANIENKO Illia"/>
    <x v="0"/>
    <n v="2000"/>
    <s v="MKS Kusy Szczecin"/>
    <s v="Yes"/>
    <x v="6"/>
    <x v="4"/>
    <x v="93"/>
  </r>
  <r>
    <s v="LUKIANIENKO Illia"/>
    <x v="0"/>
    <n v="2000"/>
    <s v="MKS Kusy Szczecin"/>
    <s v="Yes"/>
    <x v="6"/>
    <x v="5"/>
    <x v="94"/>
  </r>
  <r>
    <s v="CHRUŚCIEL Szymon"/>
    <x v="0"/>
    <n v="2004"/>
    <s v="KS AZS AWF Kraków"/>
    <s v="Yes"/>
    <x v="0"/>
    <x v="0"/>
    <x v="36"/>
  </r>
  <r>
    <s v="CHRUŚCIEL Szymon"/>
    <x v="0"/>
    <n v="2004"/>
    <s v="KS AZS AWF Kraków"/>
    <s v="Yes"/>
    <x v="0"/>
    <x v="1"/>
    <x v="48"/>
  </r>
  <r>
    <s v="CHRUŚCIEL Szymon"/>
    <x v="0"/>
    <n v="2004"/>
    <s v="KS AZS AWF Kraków"/>
    <s v="Yes"/>
    <x v="0"/>
    <x v="2"/>
    <x v="95"/>
  </r>
  <r>
    <s v="CHRUŚCIEL Szymon"/>
    <x v="0"/>
    <n v="2004"/>
    <s v="KS AZS AWF Kraków"/>
    <s v="Yes"/>
    <x v="1"/>
    <x v="0"/>
    <x v="96"/>
  </r>
  <r>
    <s v="CHRUŚCIEL Szymon"/>
    <x v="0"/>
    <n v="2004"/>
    <s v="KS AZS AWF Kraków"/>
    <s v="Yes"/>
    <x v="1"/>
    <x v="1"/>
    <x v="97"/>
  </r>
  <r>
    <s v="CHRUŚCIEL Szymon"/>
    <x v="0"/>
    <n v="2004"/>
    <s v="KS AZS AWF Kraków"/>
    <s v="Yes"/>
    <x v="1"/>
    <x v="2"/>
    <x v="57"/>
  </r>
  <r>
    <s v="CHRUŚCIEL Szymon"/>
    <x v="0"/>
    <n v="2004"/>
    <s v="KS AZS AWF Kraków"/>
    <s v="Yes"/>
    <x v="2"/>
    <x v="0"/>
    <x v="98"/>
  </r>
  <r>
    <s v="CHRUŚCIEL Szymon"/>
    <x v="0"/>
    <n v="2004"/>
    <s v="KS AZS AWF Kraków"/>
    <s v="Yes"/>
    <x v="2"/>
    <x v="1"/>
    <x v="48"/>
  </r>
  <r>
    <s v="CHRUŚCIEL Szymon"/>
    <x v="0"/>
    <n v="2004"/>
    <s v="KS AZS AWF Kraków"/>
    <s v="Yes"/>
    <x v="2"/>
    <x v="2"/>
    <x v="85"/>
  </r>
  <r>
    <s v="CHRUŚCIEL Szymon"/>
    <x v="0"/>
    <n v="2004"/>
    <s v="KS AZS AWF Kraków"/>
    <s v="Yes"/>
    <x v="3"/>
    <x v="0"/>
    <x v="49"/>
  </r>
  <r>
    <s v="CHRUŚCIEL Szymon"/>
    <x v="0"/>
    <n v="2004"/>
    <s v="KS AZS AWF Kraków"/>
    <s v="Yes"/>
    <x v="3"/>
    <x v="1"/>
    <x v="10"/>
  </r>
  <r>
    <s v="CHRUŚCIEL Szymon"/>
    <x v="0"/>
    <n v="2004"/>
    <s v="KS AZS AWF Kraków"/>
    <s v="Yes"/>
    <x v="3"/>
    <x v="2"/>
    <x v="99"/>
  </r>
  <r>
    <s v="CHRUŚCIEL Szymon"/>
    <x v="0"/>
    <n v="2004"/>
    <s v="KS AZS AWF Kraków"/>
    <s v="Yes"/>
    <x v="4"/>
    <x v="0"/>
    <x v="6"/>
  </r>
  <r>
    <s v="CHRUŚCIEL Szymon"/>
    <x v="0"/>
    <n v="2004"/>
    <s v="KS AZS AWF Kraków"/>
    <s v="Yes"/>
    <x v="4"/>
    <x v="1"/>
    <x v="78"/>
  </r>
  <r>
    <s v="CHRUŚCIEL Szymon"/>
    <x v="0"/>
    <n v="2004"/>
    <s v="KS AZS AWF Kraków"/>
    <s v="Yes"/>
    <x v="4"/>
    <x v="2"/>
    <x v="39"/>
  </r>
  <r>
    <s v="CHRUŚCIEL Szymon"/>
    <x v="0"/>
    <n v="2004"/>
    <s v="KS AZS AWF Kraków"/>
    <s v="Yes"/>
    <x v="5"/>
    <x v="0"/>
    <x v="100"/>
  </r>
  <r>
    <s v="CHRUŚCIEL Szymon"/>
    <x v="0"/>
    <n v="2004"/>
    <s v="KS AZS AWF Kraków"/>
    <s v="Yes"/>
    <x v="5"/>
    <x v="1"/>
    <x v="55"/>
  </r>
  <r>
    <s v="CHRUŚCIEL Szymon"/>
    <x v="0"/>
    <n v="2004"/>
    <s v="KS AZS AWF Kraków"/>
    <s v="Yes"/>
    <x v="5"/>
    <x v="2"/>
    <x v="35"/>
  </r>
  <r>
    <s v="CHRUŚCIEL Szymon"/>
    <x v="0"/>
    <n v="2004"/>
    <s v="KS AZS AWF Kraków"/>
    <s v="Yes"/>
    <x v="6"/>
    <x v="3"/>
    <x v="101"/>
  </r>
  <r>
    <s v="CHRUŚCIEL Szymon"/>
    <x v="0"/>
    <n v="2004"/>
    <s v="KS AZS AWF Kraków"/>
    <s v="Yes"/>
    <x v="6"/>
    <x v="4"/>
    <x v="102"/>
  </r>
  <r>
    <s v="CHRUŚCIEL Szymon"/>
    <x v="0"/>
    <n v="2004"/>
    <s v="KS AZS AWF Kraków"/>
    <s v="Yes"/>
    <x v="6"/>
    <x v="5"/>
    <x v="103"/>
  </r>
  <r>
    <s v="KUROWSKI Jakub"/>
    <x v="0"/>
    <n v="2004"/>
    <s v="MKS Kusy Szczecin"/>
    <s v="Yes"/>
    <x v="0"/>
    <x v="0"/>
    <x v="54"/>
  </r>
  <r>
    <s v="KUROWSKI Jakub"/>
    <x v="0"/>
    <n v="2004"/>
    <s v="MKS Kusy Szczecin"/>
    <s v="Yes"/>
    <x v="0"/>
    <x v="1"/>
    <x v="42"/>
  </r>
  <r>
    <s v="KUROWSKI Jakub"/>
    <x v="0"/>
    <n v="2004"/>
    <s v="MKS Kusy Szczecin"/>
    <s v="Yes"/>
    <x v="0"/>
    <x v="2"/>
    <x v="104"/>
  </r>
  <r>
    <s v="KUROWSKI Jakub"/>
    <x v="0"/>
    <n v="2004"/>
    <s v="MKS Kusy Szczecin"/>
    <s v="Yes"/>
    <x v="1"/>
    <x v="0"/>
    <x v="49"/>
  </r>
  <r>
    <s v="KUROWSKI Jakub"/>
    <x v="0"/>
    <n v="2004"/>
    <s v="MKS Kusy Szczecin"/>
    <s v="Yes"/>
    <x v="1"/>
    <x v="1"/>
    <x v="18"/>
  </r>
  <r>
    <s v="KUROWSKI Jakub"/>
    <x v="0"/>
    <n v="2004"/>
    <s v="MKS Kusy Szczecin"/>
    <s v="Yes"/>
    <x v="1"/>
    <x v="2"/>
    <x v="91"/>
  </r>
  <r>
    <s v="KUROWSKI Jakub"/>
    <x v="0"/>
    <n v="2004"/>
    <s v="MKS Kusy Szczecin"/>
    <s v="Yes"/>
    <x v="2"/>
    <x v="0"/>
    <x v="80"/>
  </r>
  <r>
    <s v="KUROWSKI Jakub"/>
    <x v="0"/>
    <n v="2004"/>
    <s v="MKS Kusy Szczecin"/>
    <s v="Yes"/>
    <x v="2"/>
    <x v="1"/>
    <x v="48"/>
  </r>
  <r>
    <s v="KUROWSKI Jakub"/>
    <x v="0"/>
    <n v="2004"/>
    <s v="MKS Kusy Szczecin"/>
    <s v="Yes"/>
    <x v="2"/>
    <x v="2"/>
    <x v="51"/>
  </r>
  <r>
    <s v="KUROWSKI Jakub"/>
    <x v="0"/>
    <n v="2004"/>
    <s v="MKS Kusy Szczecin"/>
    <s v="Yes"/>
    <x v="3"/>
    <x v="0"/>
    <x v="54"/>
  </r>
  <r>
    <s v="KUROWSKI Jakub"/>
    <x v="0"/>
    <n v="2004"/>
    <s v="MKS Kusy Szczecin"/>
    <s v="Yes"/>
    <x v="3"/>
    <x v="1"/>
    <x v="69"/>
  </r>
  <r>
    <s v="KUROWSKI Jakub"/>
    <x v="0"/>
    <n v="2004"/>
    <s v="MKS Kusy Szczecin"/>
    <s v="Yes"/>
    <x v="3"/>
    <x v="2"/>
    <x v="19"/>
  </r>
  <r>
    <s v="KUROWSKI Jakub"/>
    <x v="0"/>
    <n v="2004"/>
    <s v="MKS Kusy Szczecin"/>
    <s v="Yes"/>
    <x v="4"/>
    <x v="0"/>
    <x v="49"/>
  </r>
  <r>
    <s v="KUROWSKI Jakub"/>
    <x v="0"/>
    <n v="2004"/>
    <s v="MKS Kusy Szczecin"/>
    <s v="Yes"/>
    <x v="4"/>
    <x v="1"/>
    <x v="34"/>
  </r>
  <r>
    <s v="KUROWSKI Jakub"/>
    <x v="0"/>
    <n v="2004"/>
    <s v="MKS Kusy Szczecin"/>
    <s v="Yes"/>
    <x v="4"/>
    <x v="2"/>
    <x v="57"/>
  </r>
  <r>
    <s v="KUROWSKI Jakub"/>
    <x v="0"/>
    <n v="2004"/>
    <s v="MKS Kusy Szczecin"/>
    <s v="Yes"/>
    <x v="5"/>
    <x v="0"/>
    <x v="105"/>
  </r>
  <r>
    <s v="KUROWSKI Jakub"/>
    <x v="0"/>
    <n v="2004"/>
    <s v="MKS Kusy Szczecin"/>
    <s v="Yes"/>
    <x v="5"/>
    <x v="1"/>
    <x v="106"/>
  </r>
  <r>
    <s v="KUROWSKI Jakub"/>
    <x v="0"/>
    <n v="2004"/>
    <s v="MKS Kusy Szczecin"/>
    <s v="Yes"/>
    <x v="5"/>
    <x v="2"/>
    <x v="107"/>
  </r>
  <r>
    <s v="KUROWSKI Jakub"/>
    <x v="0"/>
    <n v="2004"/>
    <s v="MKS Kusy Szczecin"/>
    <s v="Yes"/>
    <x v="6"/>
    <x v="3"/>
    <x v="108"/>
  </r>
  <r>
    <s v="KUROWSKI Jakub"/>
    <x v="0"/>
    <n v="2004"/>
    <s v="MKS Kusy Szczecin"/>
    <s v="Yes"/>
    <x v="6"/>
    <x v="4"/>
    <x v="109"/>
  </r>
  <r>
    <s v="KUROWSKI Jakub"/>
    <x v="0"/>
    <n v="2004"/>
    <s v="MKS Kusy Szczecin"/>
    <s v="Yes"/>
    <x v="6"/>
    <x v="5"/>
    <x v="110"/>
  </r>
  <r>
    <s v="LUDYNIA Marceli"/>
    <x v="0"/>
    <n v="2001"/>
    <s v="KS AZS AWF Katowice"/>
    <s v="Yes"/>
    <x v="0"/>
    <x v="0"/>
    <x v="111"/>
  </r>
  <r>
    <s v="LUDYNIA Marceli"/>
    <x v="0"/>
    <n v="2001"/>
    <s v="KS AZS AWF Katowice"/>
    <s v="Yes"/>
    <x v="0"/>
    <x v="1"/>
    <x v="112"/>
  </r>
  <r>
    <s v="LUDYNIA Marceli"/>
    <x v="0"/>
    <n v="2001"/>
    <s v="KS AZS AWF Katowice"/>
    <s v="Yes"/>
    <x v="0"/>
    <x v="2"/>
    <x v="95"/>
  </r>
  <r>
    <s v="LUDYNIA Marceli"/>
    <x v="0"/>
    <n v="2001"/>
    <s v="KS AZS AWF Katowice"/>
    <s v="Yes"/>
    <x v="1"/>
    <x v="0"/>
    <x v="113"/>
  </r>
  <r>
    <s v="LUDYNIA Marceli"/>
    <x v="0"/>
    <n v="2001"/>
    <s v="KS AZS AWF Katowice"/>
    <s v="Yes"/>
    <x v="1"/>
    <x v="1"/>
    <x v="114"/>
  </r>
  <r>
    <s v="LUDYNIA Marceli"/>
    <x v="0"/>
    <n v="2001"/>
    <s v="KS AZS AWF Katowice"/>
    <s v="Yes"/>
    <x v="1"/>
    <x v="2"/>
    <x v="115"/>
  </r>
  <r>
    <s v="LUDYNIA Marceli"/>
    <x v="0"/>
    <n v="2001"/>
    <s v="KS AZS AWF Katowice"/>
    <s v="Yes"/>
    <x v="2"/>
    <x v="0"/>
    <x v="77"/>
  </r>
  <r>
    <s v="LUDYNIA Marceli"/>
    <x v="0"/>
    <n v="2001"/>
    <s v="KS AZS AWF Katowice"/>
    <s v="Yes"/>
    <x v="2"/>
    <x v="1"/>
    <x v="18"/>
  </r>
  <r>
    <s v="LUDYNIA Marceli"/>
    <x v="0"/>
    <n v="2001"/>
    <s v="KS AZS AWF Katowice"/>
    <s v="Yes"/>
    <x v="2"/>
    <x v="2"/>
    <x v="116"/>
  </r>
  <r>
    <s v="LUDYNIA Marceli"/>
    <x v="0"/>
    <n v="2001"/>
    <s v="KS AZS AWF Katowice"/>
    <s v="Yes"/>
    <x v="3"/>
    <x v="0"/>
    <x v="54"/>
  </r>
  <r>
    <s v="LUDYNIA Marceli"/>
    <x v="0"/>
    <n v="2001"/>
    <s v="KS AZS AWF Katowice"/>
    <s v="Yes"/>
    <x v="3"/>
    <x v="1"/>
    <x v="55"/>
  </r>
  <r>
    <s v="LUDYNIA Marceli"/>
    <x v="0"/>
    <n v="2001"/>
    <s v="KS AZS AWF Katowice"/>
    <s v="Yes"/>
    <x v="3"/>
    <x v="2"/>
    <x v="25"/>
  </r>
  <r>
    <s v="LUDYNIA Marceli"/>
    <x v="0"/>
    <n v="2001"/>
    <s v="KS AZS AWF Katowice"/>
    <s v="Yes"/>
    <x v="4"/>
    <x v="0"/>
    <x v="59"/>
  </r>
  <r>
    <s v="LUDYNIA Marceli"/>
    <x v="0"/>
    <n v="2001"/>
    <s v="KS AZS AWF Katowice"/>
    <s v="Yes"/>
    <x v="4"/>
    <x v="1"/>
    <x v="18"/>
  </r>
  <r>
    <s v="LUDYNIA Marceli"/>
    <x v="0"/>
    <n v="2001"/>
    <s v="KS AZS AWF Katowice"/>
    <s v="Yes"/>
    <x v="4"/>
    <x v="2"/>
    <x v="51"/>
  </r>
  <r>
    <s v="LUDYNIA Marceli"/>
    <x v="0"/>
    <n v="2001"/>
    <s v="KS AZS AWF Katowice"/>
    <s v="Yes"/>
    <x v="5"/>
    <x v="0"/>
    <x v="105"/>
  </r>
  <r>
    <s v="LUDYNIA Marceli"/>
    <x v="0"/>
    <n v="2001"/>
    <s v="KS AZS AWF Katowice"/>
    <s v="Yes"/>
    <x v="5"/>
    <x v="1"/>
    <x v="34"/>
  </r>
  <r>
    <s v="LUDYNIA Marceli"/>
    <x v="0"/>
    <n v="2001"/>
    <s v="KS AZS AWF Katowice"/>
    <s v="Yes"/>
    <x v="5"/>
    <x v="2"/>
    <x v="117"/>
  </r>
  <r>
    <s v="LUDYNIA Marceli"/>
    <x v="0"/>
    <n v="2001"/>
    <s v="KS AZS AWF Katowice"/>
    <s v="Yes"/>
    <x v="6"/>
    <x v="3"/>
    <x v="118"/>
  </r>
  <r>
    <s v="LUDYNIA Marceli"/>
    <x v="0"/>
    <n v="2001"/>
    <s v="KS AZS AWF Katowice"/>
    <s v="Yes"/>
    <x v="6"/>
    <x v="4"/>
    <x v="119"/>
  </r>
  <r>
    <s v="LUDYNIA Marceli"/>
    <x v="0"/>
    <n v="2001"/>
    <s v="KS AZS AWF Katowice"/>
    <s v="Yes"/>
    <x v="6"/>
    <x v="5"/>
    <x v="120"/>
  </r>
  <r>
    <s v="BOBER Michał"/>
    <x v="0"/>
    <n v="2002"/>
    <s v="UKS SP7 Łódź"/>
    <s v="Yes"/>
    <x v="0"/>
    <x v="0"/>
    <x v="65"/>
  </r>
  <r>
    <s v="BOBER Michał"/>
    <x v="0"/>
    <n v="2002"/>
    <s v="UKS SP7 Łódź"/>
    <s v="Yes"/>
    <x v="0"/>
    <x v="1"/>
    <x v="18"/>
  </r>
  <r>
    <s v="BOBER Michał"/>
    <x v="0"/>
    <n v="2002"/>
    <s v="UKS SP7 Łódź"/>
    <s v="Yes"/>
    <x v="0"/>
    <x v="2"/>
    <x v="35"/>
  </r>
  <r>
    <s v="BOBER Michał"/>
    <x v="0"/>
    <n v="2002"/>
    <s v="UKS SP7 Łódź"/>
    <s v="Yes"/>
    <x v="1"/>
    <x v="0"/>
    <x v="98"/>
  </r>
  <r>
    <s v="BOBER Michał"/>
    <x v="0"/>
    <n v="2002"/>
    <s v="UKS SP7 Łódź"/>
    <s v="Yes"/>
    <x v="1"/>
    <x v="1"/>
    <x v="106"/>
  </r>
  <r>
    <s v="BOBER Michał"/>
    <x v="0"/>
    <n v="2002"/>
    <s v="UKS SP7 Łódź"/>
    <s v="Yes"/>
    <x v="1"/>
    <x v="2"/>
    <x v="86"/>
  </r>
  <r>
    <s v="BOBER Michał"/>
    <x v="0"/>
    <n v="2002"/>
    <s v="UKS SP7 Łódź"/>
    <s v="Yes"/>
    <x v="2"/>
    <x v="0"/>
    <x v="56"/>
  </r>
  <r>
    <s v="BOBER Michał"/>
    <x v="0"/>
    <n v="2002"/>
    <s v="UKS SP7 Łódź"/>
    <s v="Yes"/>
    <x v="2"/>
    <x v="1"/>
    <x v="21"/>
  </r>
  <r>
    <s v="BOBER Michał"/>
    <x v="0"/>
    <n v="2002"/>
    <s v="UKS SP7 Łódź"/>
    <s v="Yes"/>
    <x v="2"/>
    <x v="2"/>
    <x v="5"/>
  </r>
  <r>
    <s v="BOBER Michał"/>
    <x v="0"/>
    <n v="2002"/>
    <s v="UKS SP7 Łódź"/>
    <s v="Yes"/>
    <x v="3"/>
    <x v="0"/>
    <x v="49"/>
  </r>
  <r>
    <s v="BOBER Michał"/>
    <x v="0"/>
    <n v="2002"/>
    <s v="UKS SP7 Łódź"/>
    <s v="Yes"/>
    <x v="3"/>
    <x v="1"/>
    <x v="10"/>
  </r>
  <r>
    <s v="BOBER Michał"/>
    <x v="0"/>
    <n v="2002"/>
    <s v="UKS SP7 Łódź"/>
    <s v="Yes"/>
    <x v="3"/>
    <x v="2"/>
    <x v="99"/>
  </r>
  <r>
    <s v="BOBER Michał"/>
    <x v="0"/>
    <n v="2002"/>
    <s v="UKS SP7 Łódź"/>
    <s v="Yes"/>
    <x v="4"/>
    <x v="0"/>
    <x v="98"/>
  </r>
  <r>
    <s v="BOBER Michał"/>
    <x v="0"/>
    <n v="2002"/>
    <s v="UKS SP7 Łódź"/>
    <s v="Yes"/>
    <x v="4"/>
    <x v="1"/>
    <x v="29"/>
  </r>
  <r>
    <s v="BOBER Michał"/>
    <x v="0"/>
    <n v="2002"/>
    <s v="UKS SP7 Łódź"/>
    <s v="Yes"/>
    <x v="4"/>
    <x v="2"/>
    <x v="115"/>
  </r>
  <r>
    <s v="BOBER Michał"/>
    <x v="0"/>
    <n v="2002"/>
    <s v="UKS SP7 Łódź"/>
    <s v="Yes"/>
    <x v="5"/>
    <x v="0"/>
    <x v="105"/>
  </r>
  <r>
    <s v="BOBER Michał"/>
    <x v="0"/>
    <n v="2002"/>
    <s v="UKS SP7 Łódź"/>
    <s v="Yes"/>
    <x v="5"/>
    <x v="1"/>
    <x v="48"/>
  </r>
  <r>
    <s v="BOBER Michał"/>
    <x v="0"/>
    <n v="2002"/>
    <s v="UKS SP7 Łódź"/>
    <s v="Yes"/>
    <x v="5"/>
    <x v="2"/>
    <x v="121"/>
  </r>
  <r>
    <s v="BOBER Michał"/>
    <x v="0"/>
    <n v="2002"/>
    <s v="UKS SP7 Łódź"/>
    <s v="Yes"/>
    <x v="6"/>
    <x v="3"/>
    <x v="122"/>
  </r>
  <r>
    <s v="BOBER Michał"/>
    <x v="0"/>
    <n v="2002"/>
    <s v="UKS SP7 Łódź"/>
    <s v="Yes"/>
    <x v="6"/>
    <x v="4"/>
    <x v="123"/>
  </r>
  <r>
    <s v="BOBER Michał"/>
    <x v="0"/>
    <n v="2002"/>
    <s v="UKS SP7 Łódź"/>
    <s v="Yes"/>
    <x v="6"/>
    <x v="5"/>
    <x v="124"/>
  </r>
  <r>
    <s v="BRACKI Borys"/>
    <x v="0"/>
    <n v="2004"/>
    <s v="KS AZS AWF Katowice"/>
    <s v="Yes"/>
    <x v="0"/>
    <x v="0"/>
    <x v="59"/>
  </r>
  <r>
    <s v="BRACKI Borys"/>
    <x v="0"/>
    <n v="2004"/>
    <s v="KS AZS AWF Katowice"/>
    <s v="Yes"/>
    <x v="0"/>
    <x v="1"/>
    <x v="125"/>
  </r>
  <r>
    <s v="BRACKI Borys"/>
    <x v="0"/>
    <n v="2004"/>
    <s v="KS AZS AWF Katowice"/>
    <s v="Yes"/>
    <x v="0"/>
    <x v="2"/>
    <x v="126"/>
  </r>
  <r>
    <s v="BRACKI Borys"/>
    <x v="0"/>
    <n v="2004"/>
    <s v="KS AZS AWF Katowice"/>
    <s v="Yes"/>
    <x v="1"/>
    <x v="0"/>
    <x v="36"/>
  </r>
  <r>
    <s v="BRACKI Borys"/>
    <x v="0"/>
    <n v="2004"/>
    <s v="KS AZS AWF Katowice"/>
    <s v="Yes"/>
    <x v="1"/>
    <x v="1"/>
    <x v="112"/>
  </r>
  <r>
    <s v="BRACKI Borys"/>
    <x v="0"/>
    <n v="2004"/>
    <s v="KS AZS AWF Katowice"/>
    <s v="Yes"/>
    <x v="1"/>
    <x v="2"/>
    <x v="127"/>
  </r>
  <r>
    <s v="BRACKI Borys"/>
    <x v="0"/>
    <n v="2004"/>
    <s v="KS AZS AWF Katowice"/>
    <s v="Yes"/>
    <x v="2"/>
    <x v="0"/>
    <x v="96"/>
  </r>
  <r>
    <s v="BRACKI Borys"/>
    <x v="0"/>
    <n v="2004"/>
    <s v="KS AZS AWF Katowice"/>
    <s v="Yes"/>
    <x v="2"/>
    <x v="1"/>
    <x v="10"/>
  </r>
  <r>
    <s v="BRACKI Borys"/>
    <x v="0"/>
    <n v="2004"/>
    <s v="KS AZS AWF Katowice"/>
    <s v="Yes"/>
    <x v="2"/>
    <x v="2"/>
    <x v="30"/>
  </r>
  <r>
    <s v="BRACKI Borys"/>
    <x v="0"/>
    <n v="2004"/>
    <s v="KS AZS AWF Katowice"/>
    <s v="Yes"/>
    <x v="3"/>
    <x v="0"/>
    <x v="128"/>
  </r>
  <r>
    <s v="BRACKI Borys"/>
    <x v="0"/>
    <n v="2004"/>
    <s v="KS AZS AWF Katowice"/>
    <s v="Yes"/>
    <x v="3"/>
    <x v="1"/>
    <x v="10"/>
  </r>
  <r>
    <s v="BRACKI Borys"/>
    <x v="0"/>
    <n v="2004"/>
    <s v="KS AZS AWF Katowice"/>
    <s v="Yes"/>
    <x v="3"/>
    <x v="2"/>
    <x v="86"/>
  </r>
  <r>
    <s v="BRACKI Borys"/>
    <x v="0"/>
    <n v="2004"/>
    <s v="KS AZS AWF Katowice"/>
    <s v="Yes"/>
    <x v="4"/>
    <x v="0"/>
    <x v="77"/>
  </r>
  <r>
    <s v="BRACKI Borys"/>
    <x v="0"/>
    <n v="2004"/>
    <s v="KS AZS AWF Katowice"/>
    <s v="Yes"/>
    <x v="4"/>
    <x v="1"/>
    <x v="21"/>
  </r>
  <r>
    <s v="BRACKI Borys"/>
    <x v="0"/>
    <n v="2004"/>
    <s v="KS AZS AWF Katowice"/>
    <s v="Yes"/>
    <x v="4"/>
    <x v="2"/>
    <x v="55"/>
  </r>
  <r>
    <s v="BRACKI Borys"/>
    <x v="0"/>
    <n v="2004"/>
    <s v="KS AZS AWF Katowice"/>
    <s v="Yes"/>
    <x v="5"/>
    <x v="0"/>
    <x v="129"/>
  </r>
  <r>
    <s v="BRACKI Borys"/>
    <x v="0"/>
    <n v="2004"/>
    <s v="KS AZS AWF Katowice"/>
    <s v="Yes"/>
    <x v="5"/>
    <x v="1"/>
    <x v="130"/>
  </r>
  <r>
    <s v="BRACKI Borys"/>
    <x v="0"/>
    <n v="2004"/>
    <s v="KS AZS AWF Katowice"/>
    <s v="Yes"/>
    <x v="5"/>
    <x v="2"/>
    <x v="49"/>
  </r>
  <r>
    <s v="BRACKI Borys"/>
    <x v="0"/>
    <n v="2004"/>
    <s v="KS AZS AWF Katowice"/>
    <s v="Yes"/>
    <x v="6"/>
    <x v="3"/>
    <x v="131"/>
  </r>
  <r>
    <s v="BRACKI Borys"/>
    <x v="0"/>
    <n v="2004"/>
    <s v="KS AZS AWF Katowice"/>
    <s v="Yes"/>
    <x v="6"/>
    <x v="4"/>
    <x v="132"/>
  </r>
  <r>
    <s v="BRACKI Borys"/>
    <x v="0"/>
    <n v="2004"/>
    <s v="KS AZS AWF Katowice"/>
    <s v="Yes"/>
    <x v="6"/>
    <x v="5"/>
    <x v="133"/>
  </r>
  <r>
    <s v="KUZDRA Konrad"/>
    <x v="0"/>
    <n v="2003"/>
    <s v="MKS Gdańsk"/>
    <s v="Yes"/>
    <x v="0"/>
    <x v="0"/>
    <x v="49"/>
  </r>
  <r>
    <s v="KUZDRA Konrad"/>
    <x v="0"/>
    <n v="2003"/>
    <s v="MKS Gdańsk"/>
    <s v="Yes"/>
    <x v="0"/>
    <x v="1"/>
    <x v="27"/>
  </r>
  <r>
    <s v="KUZDRA Konrad"/>
    <x v="0"/>
    <n v="2003"/>
    <s v="MKS Gdańsk"/>
    <s v="Yes"/>
    <x v="0"/>
    <x v="2"/>
    <x v="107"/>
  </r>
  <r>
    <s v="KUZDRA Konrad"/>
    <x v="0"/>
    <n v="2003"/>
    <s v="MKS Gdańsk"/>
    <s v="Yes"/>
    <x v="1"/>
    <x v="0"/>
    <x v="128"/>
  </r>
  <r>
    <s v="KUZDRA Konrad"/>
    <x v="0"/>
    <n v="2003"/>
    <s v="MKS Gdańsk"/>
    <s v="Yes"/>
    <x v="1"/>
    <x v="1"/>
    <x v="34"/>
  </r>
  <r>
    <s v="KUZDRA Konrad"/>
    <x v="0"/>
    <n v="2003"/>
    <s v="MKS Gdańsk"/>
    <s v="Yes"/>
    <x v="1"/>
    <x v="2"/>
    <x v="52"/>
  </r>
  <r>
    <s v="KUZDRA Konrad"/>
    <x v="0"/>
    <n v="2003"/>
    <s v="MKS Gdańsk"/>
    <s v="Yes"/>
    <x v="2"/>
    <x v="0"/>
    <x v="129"/>
  </r>
  <r>
    <s v="KUZDRA Konrad"/>
    <x v="0"/>
    <n v="2003"/>
    <s v="MKS Gdańsk"/>
    <s v="Yes"/>
    <x v="2"/>
    <x v="1"/>
    <x v="78"/>
  </r>
  <r>
    <s v="KUZDRA Konrad"/>
    <x v="0"/>
    <n v="2003"/>
    <s v="MKS Gdańsk"/>
    <s v="Yes"/>
    <x v="2"/>
    <x v="2"/>
    <x v="121"/>
  </r>
  <r>
    <s v="KUZDRA Konrad"/>
    <x v="0"/>
    <n v="2003"/>
    <s v="MKS Gdańsk"/>
    <s v="Yes"/>
    <x v="3"/>
    <x v="0"/>
    <x v="128"/>
  </r>
  <r>
    <s v="KUZDRA Konrad"/>
    <x v="0"/>
    <n v="2003"/>
    <s v="MKS Gdańsk"/>
    <s v="Yes"/>
    <x v="3"/>
    <x v="1"/>
    <x v="7"/>
  </r>
  <r>
    <s v="KUZDRA Konrad"/>
    <x v="0"/>
    <n v="2003"/>
    <s v="MKS Gdańsk"/>
    <s v="Yes"/>
    <x v="3"/>
    <x v="2"/>
    <x v="85"/>
  </r>
  <r>
    <s v="KUZDRA Konrad"/>
    <x v="0"/>
    <n v="2003"/>
    <s v="MKS Gdańsk"/>
    <s v="Yes"/>
    <x v="4"/>
    <x v="0"/>
    <x v="77"/>
  </r>
  <r>
    <s v="KUZDRA Konrad"/>
    <x v="0"/>
    <n v="2003"/>
    <s v="MKS Gdańsk"/>
    <s v="Yes"/>
    <x v="4"/>
    <x v="1"/>
    <x v="37"/>
  </r>
  <r>
    <s v="KUZDRA Konrad"/>
    <x v="0"/>
    <n v="2003"/>
    <s v="MKS Gdańsk"/>
    <s v="Yes"/>
    <x v="4"/>
    <x v="2"/>
    <x v="91"/>
  </r>
  <r>
    <s v="KUZDRA Konrad"/>
    <x v="0"/>
    <n v="2003"/>
    <s v="MKS Gdańsk"/>
    <s v="Yes"/>
    <x v="5"/>
    <x v="0"/>
    <x v="134"/>
  </r>
  <r>
    <s v="KUZDRA Konrad"/>
    <x v="0"/>
    <n v="2003"/>
    <s v="MKS Gdańsk"/>
    <s v="Yes"/>
    <x v="5"/>
    <x v="1"/>
    <x v="6"/>
  </r>
  <r>
    <s v="KUZDRA Konrad"/>
    <x v="0"/>
    <n v="2003"/>
    <s v="MKS Gdańsk"/>
    <s v="Yes"/>
    <x v="5"/>
    <x v="2"/>
    <x v="135"/>
  </r>
  <r>
    <s v="KUZDRA Konrad"/>
    <x v="0"/>
    <n v="2003"/>
    <s v="MKS Gdańsk"/>
    <s v="Yes"/>
    <x v="6"/>
    <x v="3"/>
    <x v="136"/>
  </r>
  <r>
    <s v="KUZDRA Konrad"/>
    <x v="0"/>
    <n v="2003"/>
    <s v="MKS Gdańsk"/>
    <s v="Yes"/>
    <x v="6"/>
    <x v="4"/>
    <x v="137"/>
  </r>
  <r>
    <s v="KUZDRA Konrad"/>
    <x v="0"/>
    <n v="2003"/>
    <s v="MKS Gdańsk"/>
    <s v="Yes"/>
    <x v="6"/>
    <x v="5"/>
    <x v="138"/>
  </r>
  <r>
    <s v="JAKUBOWSKI Jakub"/>
    <x v="0"/>
    <n v="2003"/>
    <s v="KS AZS AWFiS Gdańsk"/>
    <s v="No"/>
    <x v="0"/>
    <x v="0"/>
    <x v="47"/>
  </r>
  <r>
    <s v="JAKUBOWSKI Jakub"/>
    <x v="0"/>
    <n v="2003"/>
    <s v="KS AZS AWFiS Gdańsk"/>
    <s v="No"/>
    <x v="0"/>
    <x v="1"/>
    <x v="139"/>
  </r>
  <r>
    <s v="JAKUBOWSKI Jakub"/>
    <x v="0"/>
    <n v="2003"/>
    <s v="KS AZS AWFiS Gdańsk"/>
    <s v="No"/>
    <x v="0"/>
    <x v="2"/>
    <x v="43"/>
  </r>
  <r>
    <s v="JAKUBOWSKI Jakub"/>
    <x v="0"/>
    <n v="2003"/>
    <s v="KS AZS AWFiS Gdańsk"/>
    <s v="No"/>
    <x v="1"/>
    <x v="0"/>
    <x v="65"/>
  </r>
  <r>
    <s v="JAKUBOWSKI Jakub"/>
    <x v="0"/>
    <n v="2003"/>
    <s v="KS AZS AWFiS Gdańsk"/>
    <s v="No"/>
    <x v="1"/>
    <x v="1"/>
    <x v="106"/>
  </r>
  <r>
    <s v="JAKUBOWSKI Jakub"/>
    <x v="0"/>
    <n v="2003"/>
    <s v="KS AZS AWFiS Gdańsk"/>
    <s v="No"/>
    <x v="1"/>
    <x v="2"/>
    <x v="95"/>
  </r>
  <r>
    <s v="JAKUBOWSKI Jakub"/>
    <x v="0"/>
    <n v="2003"/>
    <s v="KS AZS AWFiS Gdańsk"/>
    <s v="No"/>
    <x v="2"/>
    <x v="0"/>
    <x v="77"/>
  </r>
  <r>
    <s v="JAKUBOWSKI Jakub"/>
    <x v="0"/>
    <n v="2003"/>
    <s v="KS AZS AWFiS Gdańsk"/>
    <s v="No"/>
    <x v="2"/>
    <x v="1"/>
    <x v="21"/>
  </r>
  <r>
    <s v="JAKUBOWSKI Jakub"/>
    <x v="0"/>
    <n v="2003"/>
    <s v="KS AZS AWFiS Gdańsk"/>
    <s v="No"/>
    <x v="2"/>
    <x v="2"/>
    <x v="55"/>
  </r>
  <r>
    <s v="JAKUBOWSKI Jakub"/>
    <x v="0"/>
    <n v="2003"/>
    <s v="KS AZS AWFiS Gdańsk"/>
    <s v="No"/>
    <x v="3"/>
    <x v="0"/>
    <x v="23"/>
  </r>
  <r>
    <s v="JAKUBOWSKI Jakub"/>
    <x v="0"/>
    <n v="2003"/>
    <s v="KS AZS AWFiS Gdańsk"/>
    <s v="No"/>
    <x v="3"/>
    <x v="1"/>
    <x v="10"/>
  </r>
  <r>
    <s v="JAKUBOWSKI Jakub"/>
    <x v="0"/>
    <n v="2003"/>
    <s v="KS AZS AWFiS Gdańsk"/>
    <s v="No"/>
    <x v="3"/>
    <x v="2"/>
    <x v="43"/>
  </r>
  <r>
    <s v="JAKUBOWSKI Jakub"/>
    <x v="0"/>
    <n v="2003"/>
    <s v="KS AZS AWFiS Gdańsk"/>
    <s v="No"/>
    <x v="4"/>
    <x v="0"/>
    <x v="128"/>
  </r>
  <r>
    <s v="JAKUBOWSKI Jakub"/>
    <x v="0"/>
    <n v="2003"/>
    <s v="KS AZS AWFiS Gdańsk"/>
    <s v="No"/>
    <x v="4"/>
    <x v="1"/>
    <x v="54"/>
  </r>
  <r>
    <s v="JAKUBOWSKI Jakub"/>
    <x v="0"/>
    <n v="2003"/>
    <s v="KS AZS AWFiS Gdańsk"/>
    <s v="No"/>
    <x v="4"/>
    <x v="2"/>
    <x v="63"/>
  </r>
  <r>
    <s v="JAKUBOWSKI Jakub"/>
    <x v="0"/>
    <n v="2003"/>
    <s v="KS AZS AWFiS Gdańsk"/>
    <s v="No"/>
    <x v="5"/>
    <x v="0"/>
    <x v="140"/>
  </r>
  <r>
    <s v="JAKUBOWSKI Jakub"/>
    <x v="0"/>
    <n v="2003"/>
    <s v="KS AZS AWFiS Gdańsk"/>
    <s v="No"/>
    <x v="5"/>
    <x v="1"/>
    <x v="140"/>
  </r>
  <r>
    <s v="JAKUBOWSKI Jakub"/>
    <x v="0"/>
    <n v="2003"/>
    <s v="KS AZS AWFiS Gdańsk"/>
    <s v="No"/>
    <x v="5"/>
    <x v="2"/>
    <x v="140"/>
  </r>
  <r>
    <s v="JAKUBOWSKI Jakub"/>
    <x v="0"/>
    <n v="2003"/>
    <s v="KS AZS AWFiS Gdańsk"/>
    <s v="No"/>
    <x v="6"/>
    <x v="3"/>
    <x v="140"/>
  </r>
  <r>
    <s v="JAKUBOWSKI Jakub"/>
    <x v="0"/>
    <n v="2003"/>
    <s v="KS AZS AWFiS Gdańsk"/>
    <s v="No"/>
    <x v="6"/>
    <x v="4"/>
    <x v="140"/>
  </r>
  <r>
    <s v="JAKUBOWSKI Jakub"/>
    <x v="0"/>
    <n v="2003"/>
    <s v="KS AZS AWFiS Gdańsk"/>
    <s v="No"/>
    <x v="6"/>
    <x v="5"/>
    <x v="141"/>
  </r>
  <r>
    <s v="PAWŁOWSKI Jakub"/>
    <x v="0"/>
    <n v="2004"/>
    <s v="MKS Gdańsk"/>
    <s v="No"/>
    <x v="0"/>
    <x v="0"/>
    <x v="59"/>
  </r>
  <r>
    <s v="PAWŁOWSKI Jakub"/>
    <x v="0"/>
    <n v="2004"/>
    <s v="MKS Gdańsk"/>
    <s v="No"/>
    <x v="0"/>
    <x v="1"/>
    <x v="142"/>
  </r>
  <r>
    <s v="PAWŁOWSKI Jakub"/>
    <x v="0"/>
    <n v="2004"/>
    <s v="MKS Gdańsk"/>
    <s v="No"/>
    <x v="0"/>
    <x v="2"/>
    <x v="143"/>
  </r>
  <r>
    <s v="PAWŁOWSKI Jakub"/>
    <x v="0"/>
    <n v="2004"/>
    <s v="MKS Gdańsk"/>
    <s v="No"/>
    <x v="1"/>
    <x v="0"/>
    <x v="56"/>
  </r>
  <r>
    <s v="PAWŁOWSKI Jakub"/>
    <x v="0"/>
    <n v="2004"/>
    <s v="MKS Gdańsk"/>
    <s v="No"/>
    <x v="1"/>
    <x v="1"/>
    <x v="117"/>
  </r>
  <r>
    <s v="PAWŁOWSKI Jakub"/>
    <x v="0"/>
    <n v="2004"/>
    <s v="MKS Gdańsk"/>
    <s v="No"/>
    <x v="1"/>
    <x v="2"/>
    <x v="30"/>
  </r>
  <r>
    <s v="PAWŁOWSKI Jakub"/>
    <x v="0"/>
    <n v="2004"/>
    <s v="MKS Gdańsk"/>
    <s v="No"/>
    <x v="2"/>
    <x v="0"/>
    <x v="140"/>
  </r>
  <r>
    <s v="PAWŁOWSKI Jakub"/>
    <x v="0"/>
    <n v="2004"/>
    <s v="MKS Gdańsk"/>
    <s v="No"/>
    <x v="2"/>
    <x v="1"/>
    <x v="140"/>
  </r>
  <r>
    <s v="PAWŁOWSKI Jakub"/>
    <x v="0"/>
    <n v="2004"/>
    <s v="MKS Gdańsk"/>
    <s v="No"/>
    <x v="2"/>
    <x v="2"/>
    <x v="140"/>
  </r>
  <r>
    <s v="PAWŁOWSKI Jakub"/>
    <x v="0"/>
    <n v="2004"/>
    <s v="MKS Gdańsk"/>
    <s v="No"/>
    <x v="3"/>
    <x v="0"/>
    <x v="54"/>
  </r>
  <r>
    <s v="PAWŁOWSKI Jakub"/>
    <x v="0"/>
    <n v="2004"/>
    <s v="MKS Gdańsk"/>
    <s v="No"/>
    <x v="3"/>
    <x v="1"/>
    <x v="89"/>
  </r>
  <r>
    <s v="PAWŁOWSKI Jakub"/>
    <x v="0"/>
    <n v="2004"/>
    <s v="MKS Gdańsk"/>
    <s v="No"/>
    <x v="3"/>
    <x v="2"/>
    <x v="90"/>
  </r>
  <r>
    <s v="PAWŁOWSKI Jakub"/>
    <x v="0"/>
    <n v="2004"/>
    <s v="MKS Gdańsk"/>
    <s v="No"/>
    <x v="4"/>
    <x v="0"/>
    <x v="140"/>
  </r>
  <r>
    <s v="PAWŁOWSKI Jakub"/>
    <x v="0"/>
    <n v="2004"/>
    <s v="MKS Gdańsk"/>
    <s v="No"/>
    <x v="4"/>
    <x v="1"/>
    <x v="140"/>
  </r>
  <r>
    <s v="PAWŁOWSKI Jakub"/>
    <x v="0"/>
    <n v="2004"/>
    <s v="MKS Gdańsk"/>
    <s v="No"/>
    <x v="4"/>
    <x v="2"/>
    <x v="140"/>
  </r>
  <r>
    <s v="PAWŁOWSKI Jakub"/>
    <x v="0"/>
    <n v="2004"/>
    <s v="MKS Gdańsk"/>
    <s v="No"/>
    <x v="5"/>
    <x v="0"/>
    <x v="140"/>
  </r>
  <r>
    <s v="PAWŁOWSKI Jakub"/>
    <x v="0"/>
    <n v="2004"/>
    <s v="MKS Gdańsk"/>
    <s v="No"/>
    <x v="5"/>
    <x v="1"/>
    <x v="140"/>
  </r>
  <r>
    <s v="PAWŁOWSKI Jakub"/>
    <x v="0"/>
    <n v="2004"/>
    <s v="MKS Gdańsk"/>
    <s v="No"/>
    <x v="5"/>
    <x v="2"/>
    <x v="140"/>
  </r>
  <r>
    <s v="PAWŁOWSKI Jakub"/>
    <x v="0"/>
    <n v="2004"/>
    <s v="MKS Gdańsk"/>
    <s v="No"/>
    <x v="6"/>
    <x v="3"/>
    <x v="140"/>
  </r>
  <r>
    <s v="PAWŁOWSKI Jakub"/>
    <x v="0"/>
    <n v="2004"/>
    <s v="MKS Gdańsk"/>
    <s v="No"/>
    <x v="6"/>
    <x v="4"/>
    <x v="140"/>
  </r>
  <r>
    <s v="PAWŁOWSKI Jakub"/>
    <x v="0"/>
    <n v="2004"/>
    <s v="MKS Gdańsk"/>
    <s v="No"/>
    <x v="6"/>
    <x v="5"/>
    <x v="144"/>
  </r>
  <r>
    <s v="HERASYMOV Mykyta"/>
    <x v="0"/>
    <n v="2003"/>
    <s v="KS AZS AWFiS Gdańsk"/>
    <s v="No"/>
    <x v="0"/>
    <x v="0"/>
    <x v="96"/>
  </r>
  <r>
    <s v="HERASYMOV Mykyta"/>
    <x v="0"/>
    <n v="2003"/>
    <s v="KS AZS AWFiS Gdańsk"/>
    <s v="No"/>
    <x v="0"/>
    <x v="1"/>
    <x v="114"/>
  </r>
  <r>
    <s v="HERASYMOV Mykyta"/>
    <x v="0"/>
    <n v="2003"/>
    <s v="KS AZS AWFiS Gdańsk"/>
    <s v="No"/>
    <x v="0"/>
    <x v="2"/>
    <x v="91"/>
  </r>
  <r>
    <s v="HERASYMOV Mykyta"/>
    <x v="0"/>
    <n v="2003"/>
    <s v="KS AZS AWFiS Gdańsk"/>
    <s v="No"/>
    <x v="1"/>
    <x v="0"/>
    <x v="105"/>
  </r>
  <r>
    <s v="HERASYMOV Mykyta"/>
    <x v="0"/>
    <n v="2003"/>
    <s v="KS AZS AWFiS Gdańsk"/>
    <s v="No"/>
    <x v="1"/>
    <x v="1"/>
    <x v="3"/>
  </r>
  <r>
    <s v="HERASYMOV Mykyta"/>
    <x v="0"/>
    <n v="2003"/>
    <s v="KS AZS AWFiS Gdańsk"/>
    <s v="No"/>
    <x v="1"/>
    <x v="2"/>
    <x v="27"/>
  </r>
  <r>
    <s v="HERASYMOV Mykyta"/>
    <x v="0"/>
    <n v="2003"/>
    <s v="KS AZS AWFiS Gdańsk"/>
    <s v="No"/>
    <x v="2"/>
    <x v="0"/>
    <x v="140"/>
  </r>
  <r>
    <s v="HERASYMOV Mykyta"/>
    <x v="0"/>
    <n v="2003"/>
    <s v="KS AZS AWFiS Gdańsk"/>
    <s v="No"/>
    <x v="2"/>
    <x v="1"/>
    <x v="140"/>
  </r>
  <r>
    <s v="HERASYMOV Mykyta"/>
    <x v="0"/>
    <n v="2003"/>
    <s v="KS AZS AWFiS Gdańsk"/>
    <s v="No"/>
    <x v="2"/>
    <x v="2"/>
    <x v="140"/>
  </r>
  <r>
    <s v="HERASYMOV Mykyta"/>
    <x v="0"/>
    <n v="2003"/>
    <s v="KS AZS AWFiS Gdańsk"/>
    <s v="No"/>
    <x v="3"/>
    <x v="0"/>
    <x v="140"/>
  </r>
  <r>
    <s v="HERASYMOV Mykyta"/>
    <x v="0"/>
    <n v="2003"/>
    <s v="KS AZS AWFiS Gdańsk"/>
    <s v="No"/>
    <x v="3"/>
    <x v="1"/>
    <x v="140"/>
  </r>
  <r>
    <s v="HERASYMOV Mykyta"/>
    <x v="0"/>
    <n v="2003"/>
    <s v="KS AZS AWFiS Gdańsk"/>
    <s v="No"/>
    <x v="3"/>
    <x v="2"/>
    <x v="140"/>
  </r>
  <r>
    <s v="HERASYMOV Mykyta"/>
    <x v="0"/>
    <n v="2003"/>
    <s v="KS AZS AWFiS Gdańsk"/>
    <s v="No"/>
    <x v="4"/>
    <x v="0"/>
    <x v="100"/>
  </r>
  <r>
    <s v="HERASYMOV Mykyta"/>
    <x v="0"/>
    <n v="2003"/>
    <s v="KS AZS AWFiS Gdańsk"/>
    <s v="No"/>
    <x v="4"/>
    <x v="1"/>
    <x v="117"/>
  </r>
  <r>
    <s v="HERASYMOV Mykyta"/>
    <x v="0"/>
    <n v="2003"/>
    <s v="KS AZS AWFiS Gdańsk"/>
    <s v="No"/>
    <x v="4"/>
    <x v="2"/>
    <x v="22"/>
  </r>
  <r>
    <s v="HERASYMOV Mykyta"/>
    <x v="0"/>
    <n v="2003"/>
    <s v="KS AZS AWFiS Gdańsk"/>
    <s v="No"/>
    <x v="5"/>
    <x v="0"/>
    <x v="140"/>
  </r>
  <r>
    <s v="HERASYMOV Mykyta"/>
    <x v="0"/>
    <n v="2003"/>
    <s v="KS AZS AWFiS Gdańsk"/>
    <s v="No"/>
    <x v="5"/>
    <x v="1"/>
    <x v="140"/>
  </r>
  <r>
    <s v="HERASYMOV Mykyta"/>
    <x v="0"/>
    <n v="2003"/>
    <s v="KS AZS AWFiS Gdańsk"/>
    <s v="No"/>
    <x v="5"/>
    <x v="2"/>
    <x v="140"/>
  </r>
  <r>
    <s v="HERASYMOV Mykyta"/>
    <x v="0"/>
    <n v="2003"/>
    <s v="KS AZS AWFiS Gdańsk"/>
    <s v="No"/>
    <x v="6"/>
    <x v="3"/>
    <x v="140"/>
  </r>
  <r>
    <s v="HERASYMOV Mykyta"/>
    <x v="0"/>
    <n v="2003"/>
    <s v="KS AZS AWFiS Gdańsk"/>
    <s v="No"/>
    <x v="6"/>
    <x v="4"/>
    <x v="140"/>
  </r>
  <r>
    <s v="HERASYMOV Mykyta"/>
    <x v="0"/>
    <n v="2003"/>
    <s v="KS AZS AWFiS Gdańsk"/>
    <s v="No"/>
    <x v="6"/>
    <x v="5"/>
    <x v="145"/>
  </r>
  <r>
    <s v="LAKHIN Yaroslav"/>
    <x v="0"/>
    <n v="2003"/>
    <s v="CWZS Zawisza KG Bydgoszcz"/>
    <s v="No"/>
    <x v="0"/>
    <x v="0"/>
    <x v="140"/>
  </r>
  <r>
    <s v="LAKHIN Yaroslav"/>
    <x v="0"/>
    <n v="2003"/>
    <s v="CWZS Zawisza KG Bydgoszcz"/>
    <s v="No"/>
    <x v="0"/>
    <x v="1"/>
    <x v="140"/>
  </r>
  <r>
    <s v="LAKHIN Yaroslav"/>
    <x v="0"/>
    <n v="2003"/>
    <s v="CWZS Zawisza KG Bydgoszcz"/>
    <s v="No"/>
    <x v="0"/>
    <x v="2"/>
    <x v="140"/>
  </r>
  <r>
    <s v="LAKHIN Yaroslav"/>
    <x v="0"/>
    <n v="2003"/>
    <s v="CWZS Zawisza KG Bydgoszcz"/>
    <s v="No"/>
    <x v="1"/>
    <x v="0"/>
    <x v="6"/>
  </r>
  <r>
    <s v="LAKHIN Yaroslav"/>
    <x v="0"/>
    <n v="2003"/>
    <s v="CWZS Zawisza KG Bydgoszcz"/>
    <s v="No"/>
    <x v="1"/>
    <x v="1"/>
    <x v="10"/>
  </r>
  <r>
    <s v="LAKHIN Yaroslav"/>
    <x v="0"/>
    <n v="2003"/>
    <s v="CWZS Zawisza KG Bydgoszcz"/>
    <s v="No"/>
    <x v="1"/>
    <x v="2"/>
    <x v="146"/>
  </r>
  <r>
    <s v="LAKHIN Yaroslav"/>
    <x v="0"/>
    <n v="2003"/>
    <s v="CWZS Zawisza KG Bydgoszcz"/>
    <s v="No"/>
    <x v="2"/>
    <x v="0"/>
    <x v="140"/>
  </r>
  <r>
    <s v="LAKHIN Yaroslav"/>
    <x v="0"/>
    <n v="2003"/>
    <s v="CWZS Zawisza KG Bydgoszcz"/>
    <s v="No"/>
    <x v="2"/>
    <x v="1"/>
    <x v="140"/>
  </r>
  <r>
    <s v="LAKHIN Yaroslav"/>
    <x v="0"/>
    <n v="2003"/>
    <s v="CWZS Zawisza KG Bydgoszcz"/>
    <s v="No"/>
    <x v="2"/>
    <x v="2"/>
    <x v="140"/>
  </r>
  <r>
    <s v="LAKHIN Yaroslav"/>
    <x v="0"/>
    <n v="2003"/>
    <s v="CWZS Zawisza KG Bydgoszcz"/>
    <s v="No"/>
    <x v="3"/>
    <x v="0"/>
    <x v="140"/>
  </r>
  <r>
    <s v="LAKHIN Yaroslav"/>
    <x v="0"/>
    <n v="2003"/>
    <s v="CWZS Zawisza KG Bydgoszcz"/>
    <s v="No"/>
    <x v="3"/>
    <x v="1"/>
    <x v="140"/>
  </r>
  <r>
    <s v="LAKHIN Yaroslav"/>
    <x v="0"/>
    <n v="2003"/>
    <s v="CWZS Zawisza KG Bydgoszcz"/>
    <s v="No"/>
    <x v="3"/>
    <x v="2"/>
    <x v="140"/>
  </r>
  <r>
    <s v="LAKHIN Yaroslav"/>
    <x v="0"/>
    <n v="2003"/>
    <s v="CWZS Zawisza KG Bydgoszcz"/>
    <s v="No"/>
    <x v="4"/>
    <x v="0"/>
    <x v="98"/>
  </r>
  <r>
    <s v="LAKHIN Yaroslav"/>
    <x v="0"/>
    <n v="2003"/>
    <s v="CWZS Zawisza KG Bydgoszcz"/>
    <s v="No"/>
    <x v="4"/>
    <x v="1"/>
    <x v="57"/>
  </r>
  <r>
    <s v="LAKHIN Yaroslav"/>
    <x v="0"/>
    <n v="2003"/>
    <s v="CWZS Zawisza KG Bydgoszcz"/>
    <s v="No"/>
    <x v="4"/>
    <x v="2"/>
    <x v="53"/>
  </r>
  <r>
    <s v="LAKHIN Yaroslav"/>
    <x v="0"/>
    <n v="2003"/>
    <s v="CWZS Zawisza KG Bydgoszcz"/>
    <s v="No"/>
    <x v="5"/>
    <x v="0"/>
    <x v="140"/>
  </r>
  <r>
    <s v="LAKHIN Yaroslav"/>
    <x v="0"/>
    <n v="2003"/>
    <s v="CWZS Zawisza KG Bydgoszcz"/>
    <s v="No"/>
    <x v="5"/>
    <x v="1"/>
    <x v="140"/>
  </r>
  <r>
    <s v="LAKHIN Yaroslav"/>
    <x v="0"/>
    <n v="2003"/>
    <s v="CWZS Zawisza KG Bydgoszcz"/>
    <s v="No"/>
    <x v="5"/>
    <x v="2"/>
    <x v="140"/>
  </r>
  <r>
    <s v="LAKHIN Yaroslav"/>
    <x v="0"/>
    <n v="2003"/>
    <s v="CWZS Zawisza KG Bydgoszcz"/>
    <s v="No"/>
    <x v="6"/>
    <x v="3"/>
    <x v="140"/>
  </r>
  <r>
    <s v="LAKHIN Yaroslav"/>
    <x v="0"/>
    <n v="2003"/>
    <s v="CWZS Zawisza KG Bydgoszcz"/>
    <s v="No"/>
    <x v="6"/>
    <x v="4"/>
    <x v="140"/>
  </r>
  <r>
    <s v="LAKHIN Yaroslav"/>
    <x v="0"/>
    <n v="2003"/>
    <s v="CWZS Zawisza KG Bydgoszcz"/>
    <s v="No"/>
    <x v="6"/>
    <x v="5"/>
    <x v="147"/>
  </r>
  <r>
    <s v="IAREMCHUK Vladyslav"/>
    <x v="0"/>
    <n v="2002"/>
    <s v="KS AZS AWF Katowice"/>
    <s v="No"/>
    <x v="0"/>
    <x v="0"/>
    <x v="140"/>
  </r>
  <r>
    <s v="IAREMCHUK Vladyslav"/>
    <x v="0"/>
    <n v="2002"/>
    <s v="KS AZS AWF Katowice"/>
    <s v="No"/>
    <x v="0"/>
    <x v="1"/>
    <x v="140"/>
  </r>
  <r>
    <s v="IAREMCHUK Vladyslav"/>
    <x v="0"/>
    <n v="2002"/>
    <s v="KS AZS AWF Katowice"/>
    <s v="No"/>
    <x v="0"/>
    <x v="2"/>
    <x v="140"/>
  </r>
  <r>
    <s v="IAREMCHUK Vladyslav"/>
    <x v="0"/>
    <n v="2002"/>
    <s v="KS AZS AWF Katowice"/>
    <s v="No"/>
    <x v="1"/>
    <x v="0"/>
    <x v="148"/>
  </r>
  <r>
    <s v="IAREMCHUK Vladyslav"/>
    <x v="0"/>
    <n v="2002"/>
    <s v="KS AZS AWF Katowice"/>
    <s v="No"/>
    <x v="1"/>
    <x v="1"/>
    <x v="42"/>
  </r>
  <r>
    <s v="IAREMCHUK Vladyslav"/>
    <x v="0"/>
    <n v="2002"/>
    <s v="KS AZS AWF Katowice"/>
    <s v="No"/>
    <x v="1"/>
    <x v="2"/>
    <x v="127"/>
  </r>
  <r>
    <s v="IAREMCHUK Vladyslav"/>
    <x v="0"/>
    <n v="2002"/>
    <s v="KS AZS AWF Katowice"/>
    <s v="No"/>
    <x v="2"/>
    <x v="0"/>
    <x v="140"/>
  </r>
  <r>
    <s v="IAREMCHUK Vladyslav"/>
    <x v="0"/>
    <n v="2002"/>
    <s v="KS AZS AWF Katowice"/>
    <s v="No"/>
    <x v="2"/>
    <x v="1"/>
    <x v="140"/>
  </r>
  <r>
    <s v="IAREMCHUK Vladyslav"/>
    <x v="0"/>
    <n v="2002"/>
    <s v="KS AZS AWF Katowice"/>
    <s v="No"/>
    <x v="2"/>
    <x v="2"/>
    <x v="140"/>
  </r>
  <r>
    <s v="IAREMCHUK Vladyslav"/>
    <x v="0"/>
    <n v="2002"/>
    <s v="KS AZS AWF Katowice"/>
    <s v="No"/>
    <x v="3"/>
    <x v="0"/>
    <x v="140"/>
  </r>
  <r>
    <s v="IAREMCHUK Vladyslav"/>
    <x v="0"/>
    <n v="2002"/>
    <s v="KS AZS AWF Katowice"/>
    <s v="No"/>
    <x v="3"/>
    <x v="1"/>
    <x v="140"/>
  </r>
  <r>
    <s v="IAREMCHUK Vladyslav"/>
    <x v="0"/>
    <n v="2002"/>
    <s v="KS AZS AWF Katowice"/>
    <s v="No"/>
    <x v="3"/>
    <x v="2"/>
    <x v="140"/>
  </r>
  <r>
    <s v="IAREMCHUK Vladyslav"/>
    <x v="0"/>
    <n v="2002"/>
    <s v="KS AZS AWF Katowice"/>
    <s v="No"/>
    <x v="4"/>
    <x v="0"/>
    <x v="96"/>
  </r>
  <r>
    <s v="IAREMCHUK Vladyslav"/>
    <x v="0"/>
    <n v="2002"/>
    <s v="KS AZS AWF Katowice"/>
    <s v="No"/>
    <x v="4"/>
    <x v="1"/>
    <x v="68"/>
  </r>
  <r>
    <s v="IAREMCHUK Vladyslav"/>
    <x v="0"/>
    <n v="2002"/>
    <s v="KS AZS AWF Katowice"/>
    <s v="No"/>
    <x v="4"/>
    <x v="2"/>
    <x v="149"/>
  </r>
  <r>
    <s v="IAREMCHUK Vladyslav"/>
    <x v="0"/>
    <n v="2002"/>
    <s v="KS AZS AWF Katowice"/>
    <s v="No"/>
    <x v="5"/>
    <x v="0"/>
    <x v="140"/>
  </r>
  <r>
    <s v="IAREMCHUK Vladyslav"/>
    <x v="0"/>
    <n v="2002"/>
    <s v="KS AZS AWF Katowice"/>
    <s v="No"/>
    <x v="5"/>
    <x v="1"/>
    <x v="140"/>
  </r>
  <r>
    <s v="IAREMCHUK Vladyslav"/>
    <x v="0"/>
    <n v="2002"/>
    <s v="KS AZS AWF Katowice"/>
    <s v="No"/>
    <x v="5"/>
    <x v="2"/>
    <x v="140"/>
  </r>
  <r>
    <s v="IAREMCHUK Vladyslav"/>
    <x v="0"/>
    <n v="2002"/>
    <s v="KS AZS AWF Katowice"/>
    <s v="No"/>
    <x v="6"/>
    <x v="3"/>
    <x v="140"/>
  </r>
  <r>
    <s v="IAREMCHUK Vladyslav"/>
    <x v="0"/>
    <n v="2002"/>
    <s v="KS AZS AWF Katowice"/>
    <s v="No"/>
    <x v="6"/>
    <x v="4"/>
    <x v="140"/>
  </r>
  <r>
    <s v="IAREMCHUK Vladyslav"/>
    <x v="0"/>
    <n v="2002"/>
    <s v="KS AZS AWF Katowice"/>
    <s v="No"/>
    <x v="6"/>
    <x v="5"/>
    <x v="150"/>
  </r>
  <r>
    <s v="FRONT Filip"/>
    <x v="0"/>
    <n v="2002"/>
    <s v="KS AZS AWFiS Gdańsk"/>
    <s v="No"/>
    <x v="0"/>
    <x v="0"/>
    <x v="140"/>
  </r>
  <r>
    <s v="FRONT Filip"/>
    <x v="0"/>
    <n v="2002"/>
    <s v="KS AZS AWFiS Gdańsk"/>
    <s v="No"/>
    <x v="0"/>
    <x v="1"/>
    <x v="140"/>
  </r>
  <r>
    <s v="FRONT Filip"/>
    <x v="0"/>
    <n v="2002"/>
    <s v="KS AZS AWFiS Gdańsk"/>
    <s v="No"/>
    <x v="0"/>
    <x v="2"/>
    <x v="140"/>
  </r>
  <r>
    <s v="FRONT Filip"/>
    <x v="0"/>
    <n v="2002"/>
    <s v="KS AZS AWFiS Gdańsk"/>
    <s v="No"/>
    <x v="1"/>
    <x v="0"/>
    <x v="140"/>
  </r>
  <r>
    <s v="FRONT Filip"/>
    <x v="0"/>
    <n v="2002"/>
    <s v="KS AZS AWFiS Gdańsk"/>
    <s v="No"/>
    <x v="1"/>
    <x v="1"/>
    <x v="140"/>
  </r>
  <r>
    <s v="FRONT Filip"/>
    <x v="0"/>
    <n v="2002"/>
    <s v="KS AZS AWFiS Gdańsk"/>
    <s v="No"/>
    <x v="1"/>
    <x v="2"/>
    <x v="140"/>
  </r>
  <r>
    <s v="FRONT Filip"/>
    <x v="0"/>
    <n v="2002"/>
    <s v="KS AZS AWFiS Gdańsk"/>
    <s v="No"/>
    <x v="2"/>
    <x v="0"/>
    <x v="79"/>
  </r>
  <r>
    <s v="FRONT Filip"/>
    <x v="0"/>
    <n v="2002"/>
    <s v="KS AZS AWFiS Gdańsk"/>
    <s v="No"/>
    <x v="2"/>
    <x v="1"/>
    <x v="139"/>
  </r>
  <r>
    <s v="FRONT Filip"/>
    <x v="0"/>
    <n v="2002"/>
    <s v="KS AZS AWFiS Gdańsk"/>
    <s v="No"/>
    <x v="2"/>
    <x v="2"/>
    <x v="99"/>
  </r>
  <r>
    <s v="FRONT Filip"/>
    <x v="0"/>
    <n v="2002"/>
    <s v="KS AZS AWFiS Gdańsk"/>
    <s v="No"/>
    <x v="3"/>
    <x v="0"/>
    <x v="140"/>
  </r>
  <r>
    <s v="FRONT Filip"/>
    <x v="0"/>
    <n v="2002"/>
    <s v="KS AZS AWFiS Gdańsk"/>
    <s v="No"/>
    <x v="3"/>
    <x v="1"/>
    <x v="140"/>
  </r>
  <r>
    <s v="FRONT Filip"/>
    <x v="0"/>
    <n v="2002"/>
    <s v="KS AZS AWFiS Gdańsk"/>
    <s v="No"/>
    <x v="3"/>
    <x v="2"/>
    <x v="140"/>
  </r>
  <r>
    <s v="FRONT Filip"/>
    <x v="0"/>
    <n v="2002"/>
    <s v="KS AZS AWFiS Gdańsk"/>
    <s v="No"/>
    <x v="4"/>
    <x v="0"/>
    <x v="140"/>
  </r>
  <r>
    <s v="FRONT Filip"/>
    <x v="0"/>
    <n v="2002"/>
    <s v="KS AZS AWFiS Gdańsk"/>
    <s v="No"/>
    <x v="4"/>
    <x v="1"/>
    <x v="140"/>
  </r>
  <r>
    <s v="FRONT Filip"/>
    <x v="0"/>
    <n v="2002"/>
    <s v="KS AZS AWFiS Gdańsk"/>
    <s v="No"/>
    <x v="4"/>
    <x v="2"/>
    <x v="140"/>
  </r>
  <r>
    <s v="FRONT Filip"/>
    <x v="0"/>
    <n v="2002"/>
    <s v="KS AZS AWFiS Gdańsk"/>
    <s v="No"/>
    <x v="5"/>
    <x v="0"/>
    <x v="140"/>
  </r>
  <r>
    <s v="FRONT Filip"/>
    <x v="0"/>
    <n v="2002"/>
    <s v="KS AZS AWFiS Gdańsk"/>
    <s v="No"/>
    <x v="5"/>
    <x v="1"/>
    <x v="140"/>
  </r>
  <r>
    <s v="FRONT Filip"/>
    <x v="0"/>
    <n v="2002"/>
    <s v="KS AZS AWFiS Gdańsk"/>
    <s v="No"/>
    <x v="5"/>
    <x v="2"/>
    <x v="140"/>
  </r>
  <r>
    <s v="FRONT Filip"/>
    <x v="0"/>
    <n v="2002"/>
    <s v="KS AZS AWFiS Gdańsk"/>
    <s v="No"/>
    <x v="6"/>
    <x v="3"/>
    <x v="140"/>
  </r>
  <r>
    <s v="FRONT Filip"/>
    <x v="0"/>
    <n v="2002"/>
    <s v="KS AZS AWFiS Gdańsk"/>
    <s v="No"/>
    <x v="6"/>
    <x v="4"/>
    <x v="140"/>
  </r>
  <r>
    <s v="FRONT Filip"/>
    <x v="0"/>
    <n v="2002"/>
    <s v="KS AZS AWFiS Gdańsk"/>
    <s v="No"/>
    <x v="6"/>
    <x v="5"/>
    <x v="99"/>
  </r>
  <r>
    <s v="BIAŁOWĄS Oliwier"/>
    <x v="0"/>
    <n v="2004"/>
    <s v="CWZS Zawisza KG Bydgoszcz"/>
    <s v="No"/>
    <x v="0"/>
    <x v="0"/>
    <x v="3"/>
  </r>
  <r>
    <s v="BIAŁOWĄS Oliwier"/>
    <x v="0"/>
    <n v="2004"/>
    <s v="CWZS Zawisza KG Bydgoszcz"/>
    <s v="No"/>
    <x v="0"/>
    <x v="1"/>
    <x v="148"/>
  </r>
  <r>
    <s v="BIAŁOWĄS Oliwier"/>
    <x v="0"/>
    <n v="2004"/>
    <s v="CWZS Zawisza KG Bydgoszcz"/>
    <s v="No"/>
    <x v="0"/>
    <x v="2"/>
    <x v="89"/>
  </r>
  <r>
    <s v="BIAŁOWĄS Oliwier"/>
    <x v="0"/>
    <n v="2004"/>
    <s v="CWZS Zawisza KG Bydgoszcz"/>
    <s v="No"/>
    <x v="1"/>
    <x v="0"/>
    <x v="140"/>
  </r>
  <r>
    <s v="BIAŁOWĄS Oliwier"/>
    <x v="0"/>
    <n v="2004"/>
    <s v="CWZS Zawisza KG Bydgoszcz"/>
    <s v="No"/>
    <x v="1"/>
    <x v="1"/>
    <x v="140"/>
  </r>
  <r>
    <s v="BIAŁOWĄS Oliwier"/>
    <x v="0"/>
    <n v="2004"/>
    <s v="CWZS Zawisza KG Bydgoszcz"/>
    <s v="No"/>
    <x v="1"/>
    <x v="2"/>
    <x v="140"/>
  </r>
  <r>
    <s v="BIAŁOWĄS Oliwier"/>
    <x v="0"/>
    <n v="2004"/>
    <s v="CWZS Zawisza KG Bydgoszcz"/>
    <s v="No"/>
    <x v="2"/>
    <x v="0"/>
    <x v="140"/>
  </r>
  <r>
    <s v="BIAŁOWĄS Oliwier"/>
    <x v="0"/>
    <n v="2004"/>
    <s v="CWZS Zawisza KG Bydgoszcz"/>
    <s v="No"/>
    <x v="2"/>
    <x v="1"/>
    <x v="140"/>
  </r>
  <r>
    <s v="BIAŁOWĄS Oliwier"/>
    <x v="0"/>
    <n v="2004"/>
    <s v="CWZS Zawisza KG Bydgoszcz"/>
    <s v="No"/>
    <x v="2"/>
    <x v="2"/>
    <x v="140"/>
  </r>
  <r>
    <s v="BIAŁOWĄS Oliwier"/>
    <x v="0"/>
    <n v="2004"/>
    <s v="CWZS Zawisza KG Bydgoszcz"/>
    <s v="No"/>
    <x v="3"/>
    <x v="0"/>
    <x v="140"/>
  </r>
  <r>
    <s v="BIAŁOWĄS Oliwier"/>
    <x v="0"/>
    <n v="2004"/>
    <s v="CWZS Zawisza KG Bydgoszcz"/>
    <s v="No"/>
    <x v="3"/>
    <x v="1"/>
    <x v="140"/>
  </r>
  <r>
    <s v="BIAŁOWĄS Oliwier"/>
    <x v="0"/>
    <n v="2004"/>
    <s v="CWZS Zawisza KG Bydgoszcz"/>
    <s v="No"/>
    <x v="3"/>
    <x v="2"/>
    <x v="140"/>
  </r>
  <r>
    <s v="BIAŁOWĄS Oliwier"/>
    <x v="0"/>
    <n v="2004"/>
    <s v="CWZS Zawisza KG Bydgoszcz"/>
    <s v="No"/>
    <x v="4"/>
    <x v="0"/>
    <x v="140"/>
  </r>
  <r>
    <s v="BIAŁOWĄS Oliwier"/>
    <x v="0"/>
    <n v="2004"/>
    <s v="CWZS Zawisza KG Bydgoszcz"/>
    <s v="No"/>
    <x v="4"/>
    <x v="1"/>
    <x v="140"/>
  </r>
  <r>
    <s v="BIAŁOWĄS Oliwier"/>
    <x v="0"/>
    <n v="2004"/>
    <s v="CWZS Zawisza KG Bydgoszcz"/>
    <s v="No"/>
    <x v="4"/>
    <x v="2"/>
    <x v="140"/>
  </r>
  <r>
    <s v="BIAŁOWĄS Oliwier"/>
    <x v="0"/>
    <n v="2004"/>
    <s v="CWZS Zawisza KG Bydgoszcz"/>
    <s v="No"/>
    <x v="5"/>
    <x v="0"/>
    <x v="140"/>
  </r>
  <r>
    <s v="BIAŁOWĄS Oliwier"/>
    <x v="0"/>
    <n v="2004"/>
    <s v="CWZS Zawisza KG Bydgoszcz"/>
    <s v="No"/>
    <x v="5"/>
    <x v="1"/>
    <x v="140"/>
  </r>
  <r>
    <s v="BIAŁOWĄS Oliwier"/>
    <x v="0"/>
    <n v="2004"/>
    <s v="CWZS Zawisza KG Bydgoszcz"/>
    <s v="No"/>
    <x v="5"/>
    <x v="2"/>
    <x v="140"/>
  </r>
  <r>
    <s v="BIAŁOWĄS Oliwier"/>
    <x v="0"/>
    <n v="2004"/>
    <s v="CWZS Zawisza KG Bydgoszcz"/>
    <s v="No"/>
    <x v="6"/>
    <x v="3"/>
    <x v="140"/>
  </r>
  <r>
    <s v="BIAŁOWĄS Oliwier"/>
    <x v="0"/>
    <n v="2004"/>
    <s v="CWZS Zawisza KG Bydgoszcz"/>
    <s v="No"/>
    <x v="6"/>
    <x v="4"/>
    <x v="140"/>
  </r>
  <r>
    <s v="BIAŁOWĄS Oliwier"/>
    <x v="0"/>
    <n v="2004"/>
    <s v="CWZS Zawisza KG Bydgoszcz"/>
    <s v="No"/>
    <x v="6"/>
    <x v="5"/>
    <x v="89"/>
  </r>
  <r>
    <s v="LEKHAC Tomasz"/>
    <x v="1"/>
    <n v="2008"/>
    <s v="CWZS Zawisza KG Bydgoszcz"/>
    <s v="Yes"/>
    <x v="0"/>
    <x v="0"/>
    <x v="54"/>
  </r>
  <r>
    <s v="LEKHAC Tomasz"/>
    <x v="1"/>
    <n v="2008"/>
    <s v="CWZS Zawisza KG Bydgoszcz"/>
    <s v="Yes"/>
    <x v="0"/>
    <x v="1"/>
    <x v="37"/>
  </r>
  <r>
    <s v="LEKHAC Tomasz"/>
    <x v="1"/>
    <n v="2008"/>
    <s v="CWZS Zawisza KG Bydgoszcz"/>
    <s v="Yes"/>
    <x v="0"/>
    <x v="2"/>
    <x v="39"/>
  </r>
  <r>
    <s v="LEKHAC Tomasz"/>
    <x v="1"/>
    <n v="2008"/>
    <s v="CWZS Zawisza KG Bydgoszcz"/>
    <s v="Yes"/>
    <x v="1"/>
    <x v="0"/>
    <x v="80"/>
  </r>
  <r>
    <s v="LEKHAC Tomasz"/>
    <x v="1"/>
    <n v="2008"/>
    <s v="CWZS Zawisza KG Bydgoszcz"/>
    <s v="Yes"/>
    <x v="1"/>
    <x v="1"/>
    <x v="69"/>
  </r>
  <r>
    <s v="LEKHAC Tomasz"/>
    <x v="1"/>
    <n v="2008"/>
    <s v="CWZS Zawisza KG Bydgoszcz"/>
    <s v="Yes"/>
    <x v="1"/>
    <x v="2"/>
    <x v="146"/>
  </r>
  <r>
    <s v="LEKHAC Tomasz"/>
    <x v="1"/>
    <n v="2008"/>
    <s v="CWZS Zawisza KG Bydgoszcz"/>
    <s v="Yes"/>
    <x v="2"/>
    <x v="0"/>
    <x v="23"/>
  </r>
  <r>
    <s v="LEKHAC Tomasz"/>
    <x v="1"/>
    <n v="2008"/>
    <s v="CWZS Zawisza KG Bydgoszcz"/>
    <s v="Yes"/>
    <x v="2"/>
    <x v="1"/>
    <x v="117"/>
  </r>
  <r>
    <s v="LEKHAC Tomasz"/>
    <x v="1"/>
    <n v="2008"/>
    <s v="CWZS Zawisza KG Bydgoszcz"/>
    <s v="Yes"/>
    <x v="2"/>
    <x v="2"/>
    <x v="35"/>
  </r>
  <r>
    <s v="LEKHAC Tomasz"/>
    <x v="1"/>
    <n v="2008"/>
    <s v="CWZS Zawisza KG Bydgoszcz"/>
    <s v="Yes"/>
    <x v="3"/>
    <x v="0"/>
    <x v="129"/>
  </r>
  <r>
    <s v="LEKHAC Tomasz"/>
    <x v="1"/>
    <n v="2008"/>
    <s v="CWZS Zawisza KG Bydgoszcz"/>
    <s v="Yes"/>
    <x v="3"/>
    <x v="1"/>
    <x v="10"/>
  </r>
  <r>
    <s v="LEKHAC Tomasz"/>
    <x v="1"/>
    <n v="2008"/>
    <s v="CWZS Zawisza KG Bydgoszcz"/>
    <s v="Yes"/>
    <x v="3"/>
    <x v="2"/>
    <x v="151"/>
  </r>
  <r>
    <s v="LEKHAC Tomasz"/>
    <x v="1"/>
    <n v="2008"/>
    <s v="CWZS Zawisza KG Bydgoszcz"/>
    <s v="Yes"/>
    <x v="4"/>
    <x v="0"/>
    <x v="6"/>
  </r>
  <r>
    <s v="LEKHAC Tomasz"/>
    <x v="1"/>
    <n v="2008"/>
    <s v="CWZS Zawisza KG Bydgoszcz"/>
    <s v="Yes"/>
    <x v="4"/>
    <x v="1"/>
    <x v="78"/>
  </r>
  <r>
    <s v="LEKHAC Tomasz"/>
    <x v="1"/>
    <n v="2008"/>
    <s v="CWZS Zawisza KG Bydgoszcz"/>
    <s v="Yes"/>
    <x v="4"/>
    <x v="2"/>
    <x v="39"/>
  </r>
  <r>
    <s v="LEKHAC Tomasz"/>
    <x v="1"/>
    <n v="2008"/>
    <s v="CWZS Zawisza KG Bydgoszcz"/>
    <s v="Yes"/>
    <x v="5"/>
    <x v="0"/>
    <x v="77"/>
  </r>
  <r>
    <s v="LEKHAC Tomasz"/>
    <x v="1"/>
    <n v="2008"/>
    <s v="CWZS Zawisza KG Bydgoszcz"/>
    <s v="Yes"/>
    <x v="5"/>
    <x v="1"/>
    <x v="143"/>
  </r>
  <r>
    <s v="LEKHAC Tomasz"/>
    <x v="1"/>
    <n v="2008"/>
    <s v="CWZS Zawisza KG Bydgoszcz"/>
    <s v="Yes"/>
    <x v="5"/>
    <x v="2"/>
    <x v="24"/>
  </r>
  <r>
    <s v="LEKHAC Tomasz"/>
    <x v="1"/>
    <n v="2008"/>
    <s v="CWZS Zawisza KG Bydgoszcz"/>
    <s v="Yes"/>
    <x v="6"/>
    <x v="3"/>
    <x v="152"/>
  </r>
  <r>
    <s v="LEKHAC Tomasz"/>
    <x v="1"/>
    <n v="2008"/>
    <s v="CWZS Zawisza KG Bydgoszcz"/>
    <s v="Yes"/>
    <x v="6"/>
    <x v="4"/>
    <x v="153"/>
  </r>
  <r>
    <s v="LEKHAC Tomasz"/>
    <x v="1"/>
    <n v="2008"/>
    <s v="CWZS Zawisza KG Bydgoszcz"/>
    <s v="Yes"/>
    <x v="6"/>
    <x v="5"/>
    <x v="154"/>
  </r>
  <r>
    <s v="KWIATKOWSKI Michał"/>
    <x v="1"/>
    <n v="2005"/>
    <s v="MKS Kusy Szczecin"/>
    <s v="Yes"/>
    <x v="0"/>
    <x v="0"/>
    <x v="36"/>
  </r>
  <r>
    <s v="KWIATKOWSKI Michał"/>
    <x v="1"/>
    <n v="2005"/>
    <s v="MKS Kusy Szczecin"/>
    <s v="Yes"/>
    <x v="0"/>
    <x v="1"/>
    <x v="50"/>
  </r>
  <r>
    <s v="KWIATKOWSKI Michał"/>
    <x v="1"/>
    <n v="2005"/>
    <s v="MKS Kusy Szczecin"/>
    <s v="Yes"/>
    <x v="0"/>
    <x v="2"/>
    <x v="39"/>
  </r>
  <r>
    <s v="KWIATKOWSKI Michał"/>
    <x v="1"/>
    <n v="2005"/>
    <s v="MKS Kusy Szczecin"/>
    <s v="Yes"/>
    <x v="1"/>
    <x v="0"/>
    <x v="59"/>
  </r>
  <r>
    <s v="KWIATKOWSKI Michał"/>
    <x v="1"/>
    <n v="2005"/>
    <s v="MKS Kusy Szczecin"/>
    <s v="Yes"/>
    <x v="1"/>
    <x v="1"/>
    <x v="10"/>
  </r>
  <r>
    <s v="KWIATKOWSKI Michał"/>
    <x v="1"/>
    <n v="2005"/>
    <s v="MKS Kusy Szczecin"/>
    <s v="Yes"/>
    <x v="1"/>
    <x v="2"/>
    <x v="39"/>
  </r>
  <r>
    <s v="KWIATKOWSKI Michał"/>
    <x v="1"/>
    <n v="2005"/>
    <s v="MKS Kusy Szczecin"/>
    <s v="Yes"/>
    <x v="2"/>
    <x v="0"/>
    <x v="70"/>
  </r>
  <r>
    <s v="KWIATKOWSKI Michał"/>
    <x v="1"/>
    <n v="2005"/>
    <s v="MKS Kusy Szczecin"/>
    <s v="Yes"/>
    <x v="2"/>
    <x v="1"/>
    <x v="37"/>
  </r>
  <r>
    <s v="KWIATKOWSKI Michał"/>
    <x v="1"/>
    <n v="2005"/>
    <s v="MKS Kusy Szczecin"/>
    <s v="Yes"/>
    <x v="2"/>
    <x v="2"/>
    <x v="35"/>
  </r>
  <r>
    <s v="KWIATKOWSKI Michał"/>
    <x v="1"/>
    <n v="2005"/>
    <s v="MKS Kusy Szczecin"/>
    <s v="Yes"/>
    <x v="3"/>
    <x v="0"/>
    <x v="23"/>
  </r>
  <r>
    <s v="KWIATKOWSKI Michał"/>
    <x v="1"/>
    <n v="2005"/>
    <s v="MKS Kusy Szczecin"/>
    <s v="Yes"/>
    <x v="3"/>
    <x v="1"/>
    <x v="69"/>
  </r>
  <r>
    <s v="KWIATKOWSKI Michał"/>
    <x v="1"/>
    <n v="2005"/>
    <s v="MKS Kusy Szczecin"/>
    <s v="Yes"/>
    <x v="3"/>
    <x v="2"/>
    <x v="88"/>
  </r>
  <r>
    <s v="KWIATKOWSKI Michał"/>
    <x v="1"/>
    <n v="2005"/>
    <s v="MKS Kusy Szczecin"/>
    <s v="Yes"/>
    <x v="4"/>
    <x v="0"/>
    <x v="56"/>
  </r>
  <r>
    <s v="KWIATKOWSKI Michał"/>
    <x v="1"/>
    <n v="2005"/>
    <s v="MKS Kusy Szczecin"/>
    <s v="Yes"/>
    <x v="4"/>
    <x v="1"/>
    <x v="48"/>
  </r>
  <r>
    <s v="KWIATKOWSKI Michał"/>
    <x v="1"/>
    <n v="2005"/>
    <s v="MKS Kusy Szczecin"/>
    <s v="Yes"/>
    <x v="4"/>
    <x v="2"/>
    <x v="86"/>
  </r>
  <r>
    <s v="KWIATKOWSKI Michał"/>
    <x v="1"/>
    <n v="2005"/>
    <s v="MKS Kusy Szczecin"/>
    <s v="Yes"/>
    <x v="5"/>
    <x v="0"/>
    <x v="113"/>
  </r>
  <r>
    <s v="KWIATKOWSKI Michał"/>
    <x v="1"/>
    <n v="2005"/>
    <s v="MKS Kusy Szczecin"/>
    <s v="Yes"/>
    <x v="5"/>
    <x v="1"/>
    <x v="84"/>
  </r>
  <r>
    <s v="KWIATKOWSKI Michał"/>
    <x v="1"/>
    <n v="2005"/>
    <s v="MKS Kusy Szczecin"/>
    <s v="Yes"/>
    <x v="5"/>
    <x v="2"/>
    <x v="155"/>
  </r>
  <r>
    <s v="KWIATKOWSKI Michał"/>
    <x v="1"/>
    <n v="2005"/>
    <s v="MKS Kusy Szczecin"/>
    <s v="Yes"/>
    <x v="6"/>
    <x v="3"/>
    <x v="156"/>
  </r>
  <r>
    <s v="KWIATKOWSKI Michał"/>
    <x v="1"/>
    <n v="2005"/>
    <s v="MKS Kusy Szczecin"/>
    <s v="Yes"/>
    <x v="6"/>
    <x v="4"/>
    <x v="157"/>
  </r>
  <r>
    <s v="KWIATKOWSKI Michał"/>
    <x v="1"/>
    <n v="2005"/>
    <s v="MKS Kusy Szczecin"/>
    <s v="Yes"/>
    <x v="6"/>
    <x v="5"/>
    <x v="158"/>
  </r>
  <r>
    <s v="CZARNECKI Aleksander"/>
    <x v="1"/>
    <n v="2005"/>
    <s v="MKS Kusy Szczecin"/>
    <s v="Yes"/>
    <x v="0"/>
    <x v="0"/>
    <x v="3"/>
  </r>
  <r>
    <s v="CZARNECKI Aleksander"/>
    <x v="1"/>
    <n v="2005"/>
    <s v="MKS Kusy Szczecin"/>
    <s v="Yes"/>
    <x v="0"/>
    <x v="1"/>
    <x v="87"/>
  </r>
  <r>
    <s v="CZARNECKI Aleksander"/>
    <x v="1"/>
    <n v="2005"/>
    <s v="MKS Kusy Szczecin"/>
    <s v="Yes"/>
    <x v="0"/>
    <x v="2"/>
    <x v="39"/>
  </r>
  <r>
    <s v="CZARNECKI Aleksander"/>
    <x v="1"/>
    <n v="2005"/>
    <s v="MKS Kusy Szczecin"/>
    <s v="Yes"/>
    <x v="1"/>
    <x v="0"/>
    <x v="59"/>
  </r>
  <r>
    <s v="CZARNECKI Aleksander"/>
    <x v="1"/>
    <n v="2005"/>
    <s v="MKS Kusy Szczecin"/>
    <s v="Yes"/>
    <x v="1"/>
    <x v="1"/>
    <x v="42"/>
  </r>
  <r>
    <s v="CZARNECKI Aleksander"/>
    <x v="1"/>
    <n v="2005"/>
    <s v="MKS Kusy Szczecin"/>
    <s v="Yes"/>
    <x v="1"/>
    <x v="2"/>
    <x v="121"/>
  </r>
  <r>
    <s v="CZARNECKI Aleksander"/>
    <x v="1"/>
    <n v="2005"/>
    <s v="MKS Kusy Szczecin"/>
    <s v="Yes"/>
    <x v="2"/>
    <x v="0"/>
    <x v="159"/>
  </r>
  <r>
    <s v="CZARNECKI Aleksander"/>
    <x v="1"/>
    <n v="2005"/>
    <s v="MKS Kusy Szczecin"/>
    <s v="Yes"/>
    <x v="2"/>
    <x v="1"/>
    <x v="160"/>
  </r>
  <r>
    <s v="CZARNECKI Aleksander"/>
    <x v="1"/>
    <n v="2005"/>
    <s v="MKS Kusy Szczecin"/>
    <s v="Yes"/>
    <x v="2"/>
    <x v="2"/>
    <x v="22"/>
  </r>
  <r>
    <s v="CZARNECKI Aleksander"/>
    <x v="1"/>
    <n v="2005"/>
    <s v="MKS Kusy Szczecin"/>
    <s v="Yes"/>
    <x v="3"/>
    <x v="0"/>
    <x v="54"/>
  </r>
  <r>
    <s v="CZARNECKI Aleksander"/>
    <x v="1"/>
    <n v="2005"/>
    <s v="MKS Kusy Szczecin"/>
    <s v="Yes"/>
    <x v="3"/>
    <x v="1"/>
    <x v="160"/>
  </r>
  <r>
    <s v="CZARNECKI Aleksander"/>
    <x v="1"/>
    <n v="2005"/>
    <s v="MKS Kusy Szczecin"/>
    <s v="Yes"/>
    <x v="3"/>
    <x v="2"/>
    <x v="161"/>
  </r>
  <r>
    <s v="CZARNECKI Aleksander"/>
    <x v="1"/>
    <n v="2005"/>
    <s v="MKS Kusy Szczecin"/>
    <s v="Yes"/>
    <x v="4"/>
    <x v="0"/>
    <x v="56"/>
  </r>
  <r>
    <s v="CZARNECKI Aleksander"/>
    <x v="1"/>
    <n v="2005"/>
    <s v="MKS Kusy Szczecin"/>
    <s v="Yes"/>
    <x v="4"/>
    <x v="1"/>
    <x v="52"/>
  </r>
  <r>
    <s v="CZARNECKI Aleksander"/>
    <x v="1"/>
    <n v="2005"/>
    <s v="MKS Kusy Szczecin"/>
    <s v="Yes"/>
    <x v="4"/>
    <x v="2"/>
    <x v="88"/>
  </r>
  <r>
    <s v="CZARNECKI Aleksander"/>
    <x v="1"/>
    <n v="2005"/>
    <s v="MKS Kusy Szczecin"/>
    <s v="Yes"/>
    <x v="5"/>
    <x v="0"/>
    <x v="77"/>
  </r>
  <r>
    <s v="CZARNECKI Aleksander"/>
    <x v="1"/>
    <n v="2005"/>
    <s v="MKS Kusy Szczecin"/>
    <s v="Yes"/>
    <x v="5"/>
    <x v="1"/>
    <x v="112"/>
  </r>
  <r>
    <s v="CZARNECKI Aleksander"/>
    <x v="1"/>
    <n v="2005"/>
    <s v="MKS Kusy Szczecin"/>
    <s v="Yes"/>
    <x v="5"/>
    <x v="2"/>
    <x v="5"/>
  </r>
  <r>
    <s v="CZARNECKI Aleksander"/>
    <x v="1"/>
    <n v="2005"/>
    <s v="MKS Kusy Szczecin"/>
    <s v="Yes"/>
    <x v="6"/>
    <x v="3"/>
    <x v="162"/>
  </r>
  <r>
    <s v="CZARNECKI Aleksander"/>
    <x v="1"/>
    <n v="2005"/>
    <s v="MKS Kusy Szczecin"/>
    <s v="Yes"/>
    <x v="6"/>
    <x v="4"/>
    <x v="163"/>
  </r>
  <r>
    <s v="CZARNECKI Aleksander"/>
    <x v="1"/>
    <n v="2005"/>
    <s v="MKS Kusy Szczecin"/>
    <s v="Yes"/>
    <x v="6"/>
    <x v="5"/>
    <x v="164"/>
  </r>
  <r>
    <s v="KUZDRA Christian"/>
    <x v="1"/>
    <n v="2006"/>
    <s v="MKS Gdańsk"/>
    <s v="Yes"/>
    <x v="0"/>
    <x v="0"/>
    <x v="59"/>
  </r>
  <r>
    <s v="KUZDRA Christian"/>
    <x v="1"/>
    <n v="2006"/>
    <s v="MKS Gdańsk"/>
    <s v="Yes"/>
    <x v="0"/>
    <x v="1"/>
    <x v="18"/>
  </r>
  <r>
    <s v="KUZDRA Christian"/>
    <x v="1"/>
    <n v="2006"/>
    <s v="MKS Gdańsk"/>
    <s v="Yes"/>
    <x v="0"/>
    <x v="2"/>
    <x v="51"/>
  </r>
  <r>
    <s v="KUZDRA Christian"/>
    <x v="1"/>
    <n v="2006"/>
    <s v="MKS Gdańsk"/>
    <s v="Yes"/>
    <x v="1"/>
    <x v="0"/>
    <x v="59"/>
  </r>
  <r>
    <s v="KUZDRA Christian"/>
    <x v="1"/>
    <n v="2006"/>
    <s v="MKS Gdańsk"/>
    <s v="Yes"/>
    <x v="1"/>
    <x v="1"/>
    <x v="10"/>
  </r>
  <r>
    <s v="KUZDRA Christian"/>
    <x v="1"/>
    <n v="2006"/>
    <s v="MKS Gdańsk"/>
    <s v="Yes"/>
    <x v="1"/>
    <x v="2"/>
    <x v="39"/>
  </r>
  <r>
    <s v="KUZDRA Christian"/>
    <x v="1"/>
    <n v="2006"/>
    <s v="MKS Gdańsk"/>
    <s v="Yes"/>
    <x v="2"/>
    <x v="0"/>
    <x v="56"/>
  </r>
  <r>
    <s v="KUZDRA Christian"/>
    <x v="1"/>
    <n v="2006"/>
    <s v="MKS Gdańsk"/>
    <s v="Yes"/>
    <x v="2"/>
    <x v="1"/>
    <x v="78"/>
  </r>
  <r>
    <s v="KUZDRA Christian"/>
    <x v="1"/>
    <n v="2006"/>
    <s v="MKS Gdańsk"/>
    <s v="Yes"/>
    <x v="2"/>
    <x v="2"/>
    <x v="43"/>
  </r>
  <r>
    <s v="KUZDRA Christian"/>
    <x v="1"/>
    <n v="2006"/>
    <s v="MKS Gdańsk"/>
    <s v="Yes"/>
    <x v="3"/>
    <x v="0"/>
    <x v="128"/>
  </r>
  <r>
    <s v="KUZDRA Christian"/>
    <x v="1"/>
    <n v="2006"/>
    <s v="MKS Gdańsk"/>
    <s v="Yes"/>
    <x v="3"/>
    <x v="1"/>
    <x v="139"/>
  </r>
  <r>
    <s v="KUZDRA Christian"/>
    <x v="1"/>
    <n v="2006"/>
    <s v="MKS Gdańsk"/>
    <s v="Yes"/>
    <x v="3"/>
    <x v="2"/>
    <x v="165"/>
  </r>
  <r>
    <s v="KUZDRA Christian"/>
    <x v="1"/>
    <n v="2006"/>
    <s v="MKS Gdańsk"/>
    <s v="Yes"/>
    <x v="4"/>
    <x v="0"/>
    <x v="56"/>
  </r>
  <r>
    <s v="KUZDRA Christian"/>
    <x v="1"/>
    <n v="2006"/>
    <s v="MKS Gdańsk"/>
    <s v="Yes"/>
    <x v="4"/>
    <x v="1"/>
    <x v="48"/>
  </r>
  <r>
    <s v="KUZDRA Christian"/>
    <x v="1"/>
    <n v="2006"/>
    <s v="MKS Gdańsk"/>
    <s v="Yes"/>
    <x v="4"/>
    <x v="2"/>
    <x v="86"/>
  </r>
  <r>
    <s v="KUZDRA Christian"/>
    <x v="1"/>
    <n v="2006"/>
    <s v="MKS Gdańsk"/>
    <s v="Yes"/>
    <x v="5"/>
    <x v="0"/>
    <x v="77"/>
  </r>
  <r>
    <s v="KUZDRA Christian"/>
    <x v="1"/>
    <n v="2006"/>
    <s v="MKS Gdańsk"/>
    <s v="Yes"/>
    <x v="5"/>
    <x v="1"/>
    <x v="87"/>
  </r>
  <r>
    <s v="KUZDRA Christian"/>
    <x v="1"/>
    <n v="2006"/>
    <s v="MKS Gdańsk"/>
    <s v="Yes"/>
    <x v="5"/>
    <x v="2"/>
    <x v="107"/>
  </r>
  <r>
    <s v="KUZDRA Christian"/>
    <x v="1"/>
    <n v="2006"/>
    <s v="MKS Gdańsk"/>
    <s v="Yes"/>
    <x v="6"/>
    <x v="3"/>
    <x v="166"/>
  </r>
  <r>
    <s v="KUZDRA Christian"/>
    <x v="1"/>
    <n v="2006"/>
    <s v="MKS Gdańsk"/>
    <s v="Yes"/>
    <x v="6"/>
    <x v="4"/>
    <x v="167"/>
  </r>
  <r>
    <s v="KUZDRA Christian"/>
    <x v="1"/>
    <n v="2006"/>
    <s v="MKS Gdańsk"/>
    <s v="Yes"/>
    <x v="6"/>
    <x v="5"/>
    <x v="168"/>
  </r>
  <r>
    <s v="KOŁODZIEJCZYK Karol"/>
    <x v="1"/>
    <n v="2007"/>
    <s v="KS AZS AWF Kraków"/>
    <s v="Yes"/>
    <x v="0"/>
    <x v="0"/>
    <x v="70"/>
  </r>
  <r>
    <s v="KOŁODZIEJCZYK Karol"/>
    <x v="1"/>
    <n v="2007"/>
    <s v="KS AZS AWF Kraków"/>
    <s v="Yes"/>
    <x v="0"/>
    <x v="1"/>
    <x v="139"/>
  </r>
  <r>
    <s v="KOŁODZIEJCZYK Karol"/>
    <x v="1"/>
    <n v="2007"/>
    <s v="KS AZS AWF Kraków"/>
    <s v="Yes"/>
    <x v="0"/>
    <x v="2"/>
    <x v="151"/>
  </r>
  <r>
    <s v="KOŁODZIEJCZYK Karol"/>
    <x v="1"/>
    <n v="2007"/>
    <s v="KS AZS AWF Kraków"/>
    <s v="Yes"/>
    <x v="1"/>
    <x v="0"/>
    <x v="23"/>
  </r>
  <r>
    <s v="KOŁODZIEJCZYK Karol"/>
    <x v="1"/>
    <n v="2007"/>
    <s v="KS AZS AWF Kraków"/>
    <s v="Yes"/>
    <x v="1"/>
    <x v="1"/>
    <x v="169"/>
  </r>
  <r>
    <s v="KOŁODZIEJCZYK Karol"/>
    <x v="1"/>
    <n v="2007"/>
    <s v="KS AZS AWF Kraków"/>
    <s v="Yes"/>
    <x v="1"/>
    <x v="2"/>
    <x v="71"/>
  </r>
  <r>
    <s v="KOŁODZIEJCZYK Karol"/>
    <x v="1"/>
    <n v="2007"/>
    <s v="KS AZS AWF Kraków"/>
    <s v="Yes"/>
    <x v="2"/>
    <x v="0"/>
    <x v="159"/>
  </r>
  <r>
    <s v="KOŁODZIEJCZYK Karol"/>
    <x v="1"/>
    <n v="2007"/>
    <s v="KS AZS AWF Kraków"/>
    <s v="Yes"/>
    <x v="2"/>
    <x v="1"/>
    <x v="7"/>
  </r>
  <r>
    <s v="KOŁODZIEJCZYK Karol"/>
    <x v="1"/>
    <n v="2007"/>
    <s v="KS AZS AWF Kraków"/>
    <s v="Yes"/>
    <x v="2"/>
    <x v="2"/>
    <x v="104"/>
  </r>
  <r>
    <s v="KOŁODZIEJCZYK Karol"/>
    <x v="1"/>
    <n v="2007"/>
    <s v="KS AZS AWF Kraków"/>
    <s v="Yes"/>
    <x v="3"/>
    <x v="0"/>
    <x v="128"/>
  </r>
  <r>
    <s v="KOŁODZIEJCZYK Karol"/>
    <x v="1"/>
    <n v="2007"/>
    <s v="KS AZS AWF Kraków"/>
    <s v="Yes"/>
    <x v="3"/>
    <x v="1"/>
    <x v="117"/>
  </r>
  <r>
    <s v="KOŁODZIEJCZYK Karol"/>
    <x v="1"/>
    <n v="2007"/>
    <s v="KS AZS AWF Kraków"/>
    <s v="Yes"/>
    <x v="3"/>
    <x v="2"/>
    <x v="127"/>
  </r>
  <r>
    <s v="KOŁODZIEJCZYK Karol"/>
    <x v="1"/>
    <n v="2007"/>
    <s v="KS AZS AWF Kraków"/>
    <s v="Yes"/>
    <x v="4"/>
    <x v="0"/>
    <x v="105"/>
  </r>
  <r>
    <s v="KOŁODZIEJCZYK Karol"/>
    <x v="1"/>
    <n v="2007"/>
    <s v="KS AZS AWF Kraków"/>
    <s v="Yes"/>
    <x v="4"/>
    <x v="1"/>
    <x v="89"/>
  </r>
  <r>
    <s v="KOŁODZIEJCZYK Karol"/>
    <x v="1"/>
    <n v="2007"/>
    <s v="KS AZS AWF Kraków"/>
    <s v="Yes"/>
    <x v="4"/>
    <x v="2"/>
    <x v="99"/>
  </r>
  <r>
    <s v="KOŁODZIEJCZYK Karol"/>
    <x v="1"/>
    <n v="2007"/>
    <s v="KS AZS AWF Kraków"/>
    <s v="Yes"/>
    <x v="5"/>
    <x v="0"/>
    <x v="159"/>
  </r>
  <r>
    <s v="KOŁODZIEJCZYK Karol"/>
    <x v="1"/>
    <n v="2007"/>
    <s v="KS AZS AWF Kraków"/>
    <s v="Yes"/>
    <x v="5"/>
    <x v="1"/>
    <x v="87"/>
  </r>
  <r>
    <s v="KOŁODZIEJCZYK Karol"/>
    <x v="1"/>
    <n v="2007"/>
    <s v="KS AZS AWF Kraków"/>
    <s v="Yes"/>
    <x v="5"/>
    <x v="2"/>
    <x v="64"/>
  </r>
  <r>
    <s v="KOŁODZIEJCZYK Karol"/>
    <x v="1"/>
    <n v="2007"/>
    <s v="KS AZS AWF Kraków"/>
    <s v="Yes"/>
    <x v="6"/>
    <x v="3"/>
    <x v="170"/>
  </r>
  <r>
    <s v="KOŁODZIEJCZYK Karol"/>
    <x v="1"/>
    <n v="2007"/>
    <s v="KS AZS AWF Kraków"/>
    <s v="Yes"/>
    <x v="6"/>
    <x v="4"/>
    <x v="171"/>
  </r>
  <r>
    <s v="KOŁODZIEJCZYK Karol"/>
    <x v="1"/>
    <n v="2007"/>
    <s v="KS AZS AWF Kraków"/>
    <s v="Yes"/>
    <x v="6"/>
    <x v="5"/>
    <x v="172"/>
  </r>
  <r>
    <s v="KOPERSKI Filip"/>
    <x v="1"/>
    <n v="2007"/>
    <s v="KS AZS AWF Kraków"/>
    <s v="Yes"/>
    <x v="0"/>
    <x v="0"/>
    <x v="98"/>
  </r>
  <r>
    <s v="KOPERSKI Filip"/>
    <x v="1"/>
    <n v="2007"/>
    <s v="KS AZS AWF Kraków"/>
    <s v="Yes"/>
    <x v="0"/>
    <x v="1"/>
    <x v="48"/>
  </r>
  <r>
    <s v="KOPERSKI Filip"/>
    <x v="1"/>
    <n v="2007"/>
    <s v="KS AZS AWF Kraków"/>
    <s v="Yes"/>
    <x v="0"/>
    <x v="2"/>
    <x v="85"/>
  </r>
  <r>
    <s v="KOPERSKI Filip"/>
    <x v="1"/>
    <n v="2007"/>
    <s v="KS AZS AWF Kraków"/>
    <s v="Yes"/>
    <x v="1"/>
    <x v="0"/>
    <x v="113"/>
  </r>
  <r>
    <s v="KOPERSKI Filip"/>
    <x v="1"/>
    <n v="2007"/>
    <s v="KS AZS AWF Kraków"/>
    <s v="Yes"/>
    <x v="1"/>
    <x v="1"/>
    <x v="173"/>
  </r>
  <r>
    <s v="KOPERSKI Filip"/>
    <x v="1"/>
    <n v="2007"/>
    <s v="KS AZS AWF Kraków"/>
    <s v="Yes"/>
    <x v="1"/>
    <x v="2"/>
    <x v="51"/>
  </r>
  <r>
    <s v="KOPERSKI Filip"/>
    <x v="1"/>
    <n v="2007"/>
    <s v="KS AZS AWF Kraków"/>
    <s v="Yes"/>
    <x v="2"/>
    <x v="0"/>
    <x v="56"/>
  </r>
  <r>
    <s v="KOPERSKI Filip"/>
    <x v="1"/>
    <n v="2007"/>
    <s v="KS AZS AWF Kraków"/>
    <s v="Yes"/>
    <x v="2"/>
    <x v="1"/>
    <x v="21"/>
  </r>
  <r>
    <s v="KOPERSKI Filip"/>
    <x v="1"/>
    <n v="2007"/>
    <s v="KS AZS AWF Kraków"/>
    <s v="Yes"/>
    <x v="2"/>
    <x v="2"/>
    <x v="5"/>
  </r>
  <r>
    <s v="KOPERSKI Filip"/>
    <x v="1"/>
    <n v="2007"/>
    <s v="KS AZS AWF Kraków"/>
    <s v="Yes"/>
    <x v="3"/>
    <x v="0"/>
    <x v="23"/>
  </r>
  <r>
    <s v="KOPERSKI Filip"/>
    <x v="1"/>
    <n v="2007"/>
    <s v="KS AZS AWF Kraków"/>
    <s v="Yes"/>
    <x v="3"/>
    <x v="1"/>
    <x v="160"/>
  </r>
  <r>
    <s v="KOPERSKI Filip"/>
    <x v="1"/>
    <n v="2007"/>
    <s v="KS AZS AWF Kraków"/>
    <s v="Yes"/>
    <x v="3"/>
    <x v="2"/>
    <x v="95"/>
  </r>
  <r>
    <s v="KOPERSKI Filip"/>
    <x v="1"/>
    <n v="2007"/>
    <s v="KS AZS AWF Kraków"/>
    <s v="Yes"/>
    <x v="4"/>
    <x v="0"/>
    <x v="68"/>
  </r>
  <r>
    <s v="KOPERSKI Filip"/>
    <x v="1"/>
    <n v="2007"/>
    <s v="KS AZS AWF Kraków"/>
    <s v="Yes"/>
    <x v="4"/>
    <x v="1"/>
    <x v="57"/>
  </r>
  <r>
    <s v="KOPERSKI Filip"/>
    <x v="1"/>
    <n v="2007"/>
    <s v="KS AZS AWF Kraków"/>
    <s v="Yes"/>
    <x v="4"/>
    <x v="2"/>
    <x v="24"/>
  </r>
  <r>
    <s v="KOPERSKI Filip"/>
    <x v="1"/>
    <n v="2007"/>
    <s v="KS AZS AWF Kraków"/>
    <s v="Yes"/>
    <x v="5"/>
    <x v="0"/>
    <x v="128"/>
  </r>
  <r>
    <s v="KOPERSKI Filip"/>
    <x v="1"/>
    <n v="2007"/>
    <s v="KS AZS AWF Kraków"/>
    <s v="Yes"/>
    <x v="5"/>
    <x v="1"/>
    <x v="139"/>
  </r>
  <r>
    <s v="KOPERSKI Filip"/>
    <x v="1"/>
    <n v="2007"/>
    <s v="KS AZS AWF Kraków"/>
    <s v="Yes"/>
    <x v="5"/>
    <x v="2"/>
    <x v="165"/>
  </r>
  <r>
    <s v="KOPERSKI Filip"/>
    <x v="1"/>
    <n v="2007"/>
    <s v="KS AZS AWF Kraków"/>
    <s v="Yes"/>
    <x v="6"/>
    <x v="3"/>
    <x v="174"/>
  </r>
  <r>
    <s v="KOPERSKI Filip"/>
    <x v="1"/>
    <n v="2007"/>
    <s v="KS AZS AWF Kraków"/>
    <s v="Yes"/>
    <x v="6"/>
    <x v="4"/>
    <x v="175"/>
  </r>
  <r>
    <s v="KOPERSKI Filip"/>
    <x v="1"/>
    <n v="2007"/>
    <s v="KS AZS AWF Kraków"/>
    <s v="Yes"/>
    <x v="6"/>
    <x v="5"/>
    <x v="176"/>
  </r>
  <r>
    <s v="MISHCHENKO Oleksandr"/>
    <x v="1"/>
    <n v="2005"/>
    <s v="MKS Kusy Szczecin"/>
    <s v="Yes"/>
    <x v="0"/>
    <x v="0"/>
    <x v="6"/>
  </r>
  <r>
    <s v="MISHCHENKO Oleksandr"/>
    <x v="1"/>
    <n v="2005"/>
    <s v="MKS Kusy Szczecin"/>
    <s v="Yes"/>
    <x v="0"/>
    <x v="1"/>
    <x v="42"/>
  </r>
  <r>
    <s v="MISHCHENKO Oleksandr"/>
    <x v="1"/>
    <n v="2005"/>
    <s v="MKS Kusy Szczecin"/>
    <s v="Yes"/>
    <x v="0"/>
    <x v="2"/>
    <x v="151"/>
  </r>
  <r>
    <s v="MISHCHENKO Oleksandr"/>
    <x v="1"/>
    <n v="2005"/>
    <s v="MKS Kusy Szczecin"/>
    <s v="Yes"/>
    <x v="1"/>
    <x v="0"/>
    <x v="77"/>
  </r>
  <r>
    <s v="MISHCHENKO Oleksandr"/>
    <x v="1"/>
    <n v="2005"/>
    <s v="MKS Kusy Szczecin"/>
    <s v="Yes"/>
    <x v="1"/>
    <x v="1"/>
    <x v="21"/>
  </r>
  <r>
    <s v="MISHCHENKO Oleksandr"/>
    <x v="1"/>
    <n v="2005"/>
    <s v="MKS Kusy Szczecin"/>
    <s v="Yes"/>
    <x v="1"/>
    <x v="2"/>
    <x v="55"/>
  </r>
  <r>
    <s v="MISHCHENKO Oleksandr"/>
    <x v="1"/>
    <n v="2005"/>
    <s v="MKS Kusy Szczecin"/>
    <s v="Yes"/>
    <x v="2"/>
    <x v="0"/>
    <x v="129"/>
  </r>
  <r>
    <s v="MISHCHENKO Oleksandr"/>
    <x v="1"/>
    <n v="2005"/>
    <s v="MKS Kusy Szczecin"/>
    <s v="Yes"/>
    <x v="2"/>
    <x v="1"/>
    <x v="78"/>
  </r>
  <r>
    <s v="MISHCHENKO Oleksandr"/>
    <x v="1"/>
    <n v="2005"/>
    <s v="MKS Kusy Szczecin"/>
    <s v="Yes"/>
    <x v="2"/>
    <x v="2"/>
    <x v="121"/>
  </r>
  <r>
    <s v="MISHCHENKO Oleksandr"/>
    <x v="1"/>
    <n v="2005"/>
    <s v="MKS Kusy Szczecin"/>
    <s v="Yes"/>
    <x v="3"/>
    <x v="0"/>
    <x v="54"/>
  </r>
  <r>
    <s v="MISHCHENKO Oleksandr"/>
    <x v="1"/>
    <n v="2005"/>
    <s v="MKS Kusy Szczecin"/>
    <s v="Yes"/>
    <x v="3"/>
    <x v="1"/>
    <x v="89"/>
  </r>
  <r>
    <s v="MISHCHENKO Oleksandr"/>
    <x v="1"/>
    <n v="2005"/>
    <s v="MKS Kusy Szczecin"/>
    <s v="Yes"/>
    <x v="3"/>
    <x v="2"/>
    <x v="90"/>
  </r>
  <r>
    <s v="MISHCHENKO Oleksandr"/>
    <x v="1"/>
    <n v="2005"/>
    <s v="MKS Kusy Szczecin"/>
    <s v="Yes"/>
    <x v="4"/>
    <x v="0"/>
    <x v="49"/>
  </r>
  <r>
    <s v="MISHCHENKO Oleksandr"/>
    <x v="1"/>
    <n v="2005"/>
    <s v="MKS Kusy Szczecin"/>
    <s v="Yes"/>
    <x v="4"/>
    <x v="1"/>
    <x v="18"/>
  </r>
  <r>
    <s v="MISHCHENKO Oleksandr"/>
    <x v="1"/>
    <n v="2005"/>
    <s v="MKS Kusy Szczecin"/>
    <s v="Yes"/>
    <x v="4"/>
    <x v="2"/>
    <x v="91"/>
  </r>
  <r>
    <s v="MISHCHENKO Oleksandr"/>
    <x v="1"/>
    <n v="2005"/>
    <s v="MKS Kusy Szczecin"/>
    <s v="Yes"/>
    <x v="5"/>
    <x v="0"/>
    <x v="49"/>
  </r>
  <r>
    <s v="MISHCHENKO Oleksandr"/>
    <x v="1"/>
    <n v="2005"/>
    <s v="MKS Kusy Szczecin"/>
    <s v="Yes"/>
    <x v="5"/>
    <x v="1"/>
    <x v="87"/>
  </r>
  <r>
    <s v="MISHCHENKO Oleksandr"/>
    <x v="1"/>
    <n v="2005"/>
    <s v="MKS Kusy Szczecin"/>
    <s v="Yes"/>
    <x v="5"/>
    <x v="2"/>
    <x v="86"/>
  </r>
  <r>
    <s v="MISHCHENKO Oleksandr"/>
    <x v="1"/>
    <n v="2005"/>
    <s v="MKS Kusy Szczecin"/>
    <s v="Yes"/>
    <x v="6"/>
    <x v="3"/>
    <x v="177"/>
  </r>
  <r>
    <s v="MISHCHENKO Oleksandr"/>
    <x v="1"/>
    <n v="2005"/>
    <s v="MKS Kusy Szczecin"/>
    <s v="Yes"/>
    <x v="6"/>
    <x v="4"/>
    <x v="178"/>
  </r>
  <r>
    <s v="MISHCHENKO Oleksandr"/>
    <x v="1"/>
    <n v="2005"/>
    <s v="MKS Kusy Szczecin"/>
    <s v="Yes"/>
    <x v="6"/>
    <x v="5"/>
    <x v="179"/>
  </r>
  <r>
    <s v="KORBIEL Franciszek"/>
    <x v="1"/>
    <n v="2006"/>
    <s v="KS AZS AWF Kraków"/>
    <s v="Yes"/>
    <x v="0"/>
    <x v="0"/>
    <x v="70"/>
  </r>
  <r>
    <s v="KORBIEL Franciszek"/>
    <x v="1"/>
    <n v="2006"/>
    <s v="KS AZS AWF Kraków"/>
    <s v="Yes"/>
    <x v="0"/>
    <x v="1"/>
    <x v="180"/>
  </r>
  <r>
    <s v="KORBIEL Franciszek"/>
    <x v="1"/>
    <n v="2006"/>
    <s v="KS AZS AWF Kraków"/>
    <s v="Yes"/>
    <x v="0"/>
    <x v="2"/>
    <x v="12"/>
  </r>
  <r>
    <s v="KORBIEL Franciszek"/>
    <x v="1"/>
    <n v="2006"/>
    <s v="KS AZS AWF Kraków"/>
    <s v="Yes"/>
    <x v="1"/>
    <x v="0"/>
    <x v="47"/>
  </r>
  <r>
    <s v="KORBIEL Franciszek"/>
    <x v="1"/>
    <n v="2006"/>
    <s v="KS AZS AWF Kraków"/>
    <s v="Yes"/>
    <x v="1"/>
    <x v="1"/>
    <x v="52"/>
  </r>
  <r>
    <s v="KORBIEL Franciszek"/>
    <x v="1"/>
    <n v="2006"/>
    <s v="KS AZS AWF Kraków"/>
    <s v="Yes"/>
    <x v="1"/>
    <x v="2"/>
    <x v="53"/>
  </r>
  <r>
    <s v="KORBIEL Franciszek"/>
    <x v="1"/>
    <n v="2006"/>
    <s v="KS AZS AWF Kraków"/>
    <s v="Yes"/>
    <x v="2"/>
    <x v="0"/>
    <x v="159"/>
  </r>
  <r>
    <s v="KORBIEL Franciszek"/>
    <x v="1"/>
    <n v="2006"/>
    <s v="KS AZS AWF Kraków"/>
    <s v="Yes"/>
    <x v="2"/>
    <x v="1"/>
    <x v="50"/>
  </r>
  <r>
    <s v="KORBIEL Franciszek"/>
    <x v="1"/>
    <n v="2006"/>
    <s v="KS AZS AWF Kraków"/>
    <s v="Yes"/>
    <x v="2"/>
    <x v="2"/>
    <x v="116"/>
  </r>
  <r>
    <s v="KORBIEL Franciszek"/>
    <x v="1"/>
    <n v="2006"/>
    <s v="KS AZS AWF Kraków"/>
    <s v="Yes"/>
    <x v="3"/>
    <x v="0"/>
    <x v="128"/>
  </r>
  <r>
    <s v="KORBIEL Franciszek"/>
    <x v="1"/>
    <n v="2006"/>
    <s v="KS AZS AWF Kraków"/>
    <s v="Yes"/>
    <x v="3"/>
    <x v="1"/>
    <x v="52"/>
  </r>
  <r>
    <s v="KORBIEL Franciszek"/>
    <x v="1"/>
    <n v="2006"/>
    <s v="KS AZS AWF Kraków"/>
    <s v="Yes"/>
    <x v="3"/>
    <x v="2"/>
    <x v="91"/>
  </r>
  <r>
    <s v="KORBIEL Franciszek"/>
    <x v="1"/>
    <n v="2006"/>
    <s v="KS AZS AWF Kraków"/>
    <s v="Yes"/>
    <x v="4"/>
    <x v="0"/>
    <x v="49"/>
  </r>
  <r>
    <s v="KORBIEL Franciszek"/>
    <x v="1"/>
    <n v="2006"/>
    <s v="KS AZS AWF Kraków"/>
    <s v="Yes"/>
    <x v="4"/>
    <x v="1"/>
    <x v="160"/>
  </r>
  <r>
    <s v="KORBIEL Franciszek"/>
    <x v="1"/>
    <n v="2006"/>
    <s v="KS AZS AWF Kraków"/>
    <s v="Yes"/>
    <x v="4"/>
    <x v="2"/>
    <x v="30"/>
  </r>
  <r>
    <s v="KORBIEL Franciszek"/>
    <x v="1"/>
    <n v="2006"/>
    <s v="KS AZS AWF Kraków"/>
    <s v="Yes"/>
    <x v="5"/>
    <x v="0"/>
    <x v="23"/>
  </r>
  <r>
    <s v="KORBIEL Franciszek"/>
    <x v="1"/>
    <n v="2006"/>
    <s v="KS AZS AWF Kraków"/>
    <s v="Yes"/>
    <x v="5"/>
    <x v="1"/>
    <x v="149"/>
  </r>
  <r>
    <s v="KORBIEL Franciszek"/>
    <x v="1"/>
    <n v="2006"/>
    <s v="KS AZS AWF Kraków"/>
    <s v="Yes"/>
    <x v="5"/>
    <x v="2"/>
    <x v="143"/>
  </r>
  <r>
    <s v="KORBIEL Franciszek"/>
    <x v="1"/>
    <n v="2006"/>
    <s v="KS AZS AWF Kraków"/>
    <s v="Yes"/>
    <x v="6"/>
    <x v="3"/>
    <x v="181"/>
  </r>
  <r>
    <s v="KORBIEL Franciszek"/>
    <x v="1"/>
    <n v="2006"/>
    <s v="KS AZS AWF Kraków"/>
    <s v="Yes"/>
    <x v="6"/>
    <x v="4"/>
    <x v="182"/>
  </r>
  <r>
    <s v="KORBIEL Franciszek"/>
    <x v="1"/>
    <n v="2006"/>
    <s v="KS AZS AWF Kraków"/>
    <s v="Yes"/>
    <x v="6"/>
    <x v="5"/>
    <x v="183"/>
  </r>
  <r>
    <s v="JANKOWSKI Dominik"/>
    <x v="1"/>
    <n v="2007"/>
    <s v="MKS Gdańsk"/>
    <s v="Yes"/>
    <x v="0"/>
    <x v="0"/>
    <x v="56"/>
  </r>
  <r>
    <s v="JANKOWSKI Dominik"/>
    <x v="1"/>
    <n v="2007"/>
    <s v="MKS Gdańsk"/>
    <s v="Yes"/>
    <x v="0"/>
    <x v="1"/>
    <x v="87"/>
  </r>
  <r>
    <s v="JANKOWSKI Dominik"/>
    <x v="1"/>
    <n v="2007"/>
    <s v="MKS Gdańsk"/>
    <s v="Yes"/>
    <x v="0"/>
    <x v="2"/>
    <x v="22"/>
  </r>
  <r>
    <s v="JANKOWSKI Dominik"/>
    <x v="1"/>
    <n v="2007"/>
    <s v="MKS Gdańsk"/>
    <s v="Yes"/>
    <x v="1"/>
    <x v="0"/>
    <x v="105"/>
  </r>
  <r>
    <s v="JANKOWSKI Dominik"/>
    <x v="1"/>
    <n v="2007"/>
    <s v="MKS Gdańsk"/>
    <s v="Yes"/>
    <x v="1"/>
    <x v="1"/>
    <x v="139"/>
  </r>
  <r>
    <s v="JANKOWSKI Dominik"/>
    <x v="1"/>
    <n v="2007"/>
    <s v="MKS Gdańsk"/>
    <s v="Yes"/>
    <x v="1"/>
    <x v="2"/>
    <x v="64"/>
  </r>
  <r>
    <s v="JANKOWSKI Dominik"/>
    <x v="1"/>
    <n v="2007"/>
    <s v="MKS Gdańsk"/>
    <s v="Yes"/>
    <x v="2"/>
    <x v="0"/>
    <x v="184"/>
  </r>
  <r>
    <s v="JANKOWSKI Dominik"/>
    <x v="1"/>
    <n v="2007"/>
    <s v="MKS Gdańsk"/>
    <s v="Yes"/>
    <x v="2"/>
    <x v="1"/>
    <x v="37"/>
  </r>
  <r>
    <s v="JANKOWSKI Dominik"/>
    <x v="1"/>
    <n v="2007"/>
    <s v="MKS Gdańsk"/>
    <s v="Yes"/>
    <x v="2"/>
    <x v="2"/>
    <x v="121"/>
  </r>
  <r>
    <s v="JANKOWSKI Dominik"/>
    <x v="1"/>
    <n v="2007"/>
    <s v="MKS Gdańsk"/>
    <s v="Yes"/>
    <x v="3"/>
    <x v="0"/>
    <x v="23"/>
  </r>
  <r>
    <s v="JANKOWSKI Dominik"/>
    <x v="1"/>
    <n v="2007"/>
    <s v="MKS Gdańsk"/>
    <s v="Yes"/>
    <x v="3"/>
    <x v="1"/>
    <x v="117"/>
  </r>
  <r>
    <s v="JANKOWSKI Dominik"/>
    <x v="1"/>
    <n v="2007"/>
    <s v="MKS Gdańsk"/>
    <s v="Yes"/>
    <x v="3"/>
    <x v="2"/>
    <x v="35"/>
  </r>
  <r>
    <s v="JANKOWSKI Dominik"/>
    <x v="1"/>
    <n v="2007"/>
    <s v="MKS Gdańsk"/>
    <s v="Yes"/>
    <x v="4"/>
    <x v="0"/>
    <x v="128"/>
  </r>
  <r>
    <s v="JANKOWSKI Dominik"/>
    <x v="1"/>
    <n v="2007"/>
    <s v="MKS Gdańsk"/>
    <s v="Yes"/>
    <x v="4"/>
    <x v="1"/>
    <x v="69"/>
  </r>
  <r>
    <s v="JANKOWSKI Dominik"/>
    <x v="1"/>
    <n v="2007"/>
    <s v="MKS Gdańsk"/>
    <s v="Yes"/>
    <x v="4"/>
    <x v="2"/>
    <x v="35"/>
  </r>
  <r>
    <s v="JANKOWSKI Dominik"/>
    <x v="1"/>
    <n v="2007"/>
    <s v="MKS Gdańsk"/>
    <s v="Yes"/>
    <x v="5"/>
    <x v="0"/>
    <x v="185"/>
  </r>
  <r>
    <s v="JANKOWSKI Dominik"/>
    <x v="1"/>
    <n v="2007"/>
    <s v="MKS Gdańsk"/>
    <s v="Yes"/>
    <x v="5"/>
    <x v="1"/>
    <x v="37"/>
  </r>
  <r>
    <s v="JANKOWSKI Dominik"/>
    <x v="1"/>
    <n v="2007"/>
    <s v="MKS Gdańsk"/>
    <s v="Yes"/>
    <x v="5"/>
    <x v="2"/>
    <x v="186"/>
  </r>
  <r>
    <s v="JANKOWSKI Dominik"/>
    <x v="1"/>
    <n v="2007"/>
    <s v="MKS Gdańsk"/>
    <s v="Yes"/>
    <x v="6"/>
    <x v="3"/>
    <x v="187"/>
  </r>
  <r>
    <s v="JANKOWSKI Dominik"/>
    <x v="1"/>
    <n v="2007"/>
    <s v="MKS Gdańsk"/>
    <s v="Yes"/>
    <x v="6"/>
    <x v="4"/>
    <x v="188"/>
  </r>
  <r>
    <s v="JANKOWSKI Dominik"/>
    <x v="1"/>
    <n v="2007"/>
    <s v="MKS Gdańsk"/>
    <s v="Yes"/>
    <x v="6"/>
    <x v="5"/>
    <x v="124"/>
  </r>
  <r>
    <s v="MOSKAL Błażej"/>
    <x v="1"/>
    <n v="2006"/>
    <s v="MKS Gdańsk"/>
    <s v="Yes"/>
    <x v="0"/>
    <x v="0"/>
    <x v="49"/>
  </r>
  <r>
    <s v="MOSKAL Błażej"/>
    <x v="1"/>
    <n v="2006"/>
    <s v="MKS Gdańsk"/>
    <s v="Yes"/>
    <x v="0"/>
    <x v="1"/>
    <x v="37"/>
  </r>
  <r>
    <s v="MOSKAL Błażej"/>
    <x v="1"/>
    <n v="2006"/>
    <s v="MKS Gdańsk"/>
    <s v="Yes"/>
    <x v="0"/>
    <x v="2"/>
    <x v="43"/>
  </r>
  <r>
    <s v="MOSKAL Błażej"/>
    <x v="1"/>
    <n v="2006"/>
    <s v="MKS Gdańsk"/>
    <s v="Yes"/>
    <x v="1"/>
    <x v="0"/>
    <x v="105"/>
  </r>
  <r>
    <s v="MOSKAL Błażej"/>
    <x v="1"/>
    <n v="2006"/>
    <s v="MKS Gdańsk"/>
    <s v="Yes"/>
    <x v="1"/>
    <x v="1"/>
    <x v="27"/>
  </r>
  <r>
    <s v="MOSKAL Błażej"/>
    <x v="1"/>
    <n v="2006"/>
    <s v="MKS Gdańsk"/>
    <s v="Yes"/>
    <x v="1"/>
    <x v="2"/>
    <x v="165"/>
  </r>
  <r>
    <s v="MOSKAL Błażej"/>
    <x v="1"/>
    <n v="2006"/>
    <s v="MKS Gdańsk"/>
    <s v="Yes"/>
    <x v="2"/>
    <x v="0"/>
    <x v="129"/>
  </r>
  <r>
    <s v="MOSKAL Błażej"/>
    <x v="1"/>
    <n v="2006"/>
    <s v="MKS Gdańsk"/>
    <s v="Yes"/>
    <x v="2"/>
    <x v="1"/>
    <x v="106"/>
  </r>
  <r>
    <s v="MOSKAL Błażej"/>
    <x v="1"/>
    <n v="2006"/>
    <s v="MKS Gdańsk"/>
    <s v="Yes"/>
    <x v="2"/>
    <x v="2"/>
    <x v="64"/>
  </r>
  <r>
    <s v="MOSKAL Błażej"/>
    <x v="1"/>
    <n v="2006"/>
    <s v="MKS Gdańsk"/>
    <s v="Yes"/>
    <x v="3"/>
    <x v="0"/>
    <x v="189"/>
  </r>
  <r>
    <s v="MOSKAL Błażej"/>
    <x v="1"/>
    <n v="2006"/>
    <s v="MKS Gdańsk"/>
    <s v="Yes"/>
    <x v="3"/>
    <x v="1"/>
    <x v="169"/>
  </r>
  <r>
    <s v="MOSKAL Błażej"/>
    <x v="1"/>
    <n v="2006"/>
    <s v="MKS Gdańsk"/>
    <s v="Yes"/>
    <x v="3"/>
    <x v="2"/>
    <x v="116"/>
  </r>
  <r>
    <s v="MOSKAL Błażej"/>
    <x v="1"/>
    <n v="2006"/>
    <s v="MKS Gdańsk"/>
    <s v="Yes"/>
    <x v="4"/>
    <x v="0"/>
    <x v="128"/>
  </r>
  <r>
    <s v="MOSKAL Błażej"/>
    <x v="1"/>
    <n v="2006"/>
    <s v="MKS Gdańsk"/>
    <s v="Yes"/>
    <x v="4"/>
    <x v="1"/>
    <x v="57"/>
  </r>
  <r>
    <s v="MOSKAL Błażej"/>
    <x v="1"/>
    <n v="2006"/>
    <s v="MKS Gdańsk"/>
    <s v="Yes"/>
    <x v="4"/>
    <x v="2"/>
    <x v="95"/>
  </r>
  <r>
    <s v="MOSKAL Błażej"/>
    <x v="1"/>
    <n v="2006"/>
    <s v="MKS Gdańsk"/>
    <s v="Yes"/>
    <x v="5"/>
    <x v="0"/>
    <x v="134"/>
  </r>
  <r>
    <s v="MOSKAL Błażej"/>
    <x v="1"/>
    <n v="2006"/>
    <s v="MKS Gdańsk"/>
    <s v="Yes"/>
    <x v="5"/>
    <x v="1"/>
    <x v="52"/>
  </r>
  <r>
    <s v="MOSKAL Błażej"/>
    <x v="1"/>
    <n v="2006"/>
    <s v="MKS Gdańsk"/>
    <s v="Yes"/>
    <x v="5"/>
    <x v="2"/>
    <x v="116"/>
  </r>
  <r>
    <s v="MOSKAL Błażej"/>
    <x v="1"/>
    <n v="2006"/>
    <s v="MKS Gdańsk"/>
    <s v="Yes"/>
    <x v="6"/>
    <x v="3"/>
    <x v="190"/>
  </r>
  <r>
    <s v="MOSKAL Błażej"/>
    <x v="1"/>
    <n v="2006"/>
    <s v="MKS Gdańsk"/>
    <s v="Yes"/>
    <x v="6"/>
    <x v="4"/>
    <x v="191"/>
  </r>
  <r>
    <s v="MOSKAL Błażej"/>
    <x v="1"/>
    <n v="2006"/>
    <s v="MKS Gdańsk"/>
    <s v="Yes"/>
    <x v="6"/>
    <x v="5"/>
    <x v="192"/>
  </r>
  <r>
    <s v="ŻEMEŁKA Dawid"/>
    <x v="1"/>
    <n v="2006"/>
    <s v="MKS Gdańsk"/>
    <s v="Yes"/>
    <x v="0"/>
    <x v="0"/>
    <x v="113"/>
  </r>
  <r>
    <s v="ŻEMEŁKA Dawid"/>
    <x v="1"/>
    <n v="2006"/>
    <s v="MKS Gdańsk"/>
    <s v="Yes"/>
    <x v="0"/>
    <x v="1"/>
    <x v="50"/>
  </r>
  <r>
    <s v="ŻEMEŁKA Dawid"/>
    <x v="1"/>
    <n v="2006"/>
    <s v="MKS Gdańsk"/>
    <s v="Yes"/>
    <x v="0"/>
    <x v="2"/>
    <x v="86"/>
  </r>
  <r>
    <s v="ŻEMEŁKA Dawid"/>
    <x v="1"/>
    <n v="2006"/>
    <s v="MKS Gdańsk"/>
    <s v="Yes"/>
    <x v="1"/>
    <x v="0"/>
    <x v="100"/>
  </r>
  <r>
    <s v="ŻEMEŁKA Dawid"/>
    <x v="1"/>
    <n v="2006"/>
    <s v="MKS Gdańsk"/>
    <s v="Yes"/>
    <x v="1"/>
    <x v="1"/>
    <x v="97"/>
  </r>
  <r>
    <s v="ŻEMEŁKA Dawid"/>
    <x v="1"/>
    <n v="2006"/>
    <s v="MKS Gdańsk"/>
    <s v="Yes"/>
    <x v="1"/>
    <x v="2"/>
    <x v="7"/>
  </r>
  <r>
    <s v="ŻEMEŁKA Dawid"/>
    <x v="1"/>
    <n v="2006"/>
    <s v="MKS Gdańsk"/>
    <s v="Yes"/>
    <x v="2"/>
    <x v="0"/>
    <x v="193"/>
  </r>
  <r>
    <s v="ŻEMEŁKA Dawid"/>
    <x v="1"/>
    <n v="2006"/>
    <s v="MKS Gdańsk"/>
    <s v="Yes"/>
    <x v="2"/>
    <x v="1"/>
    <x v="78"/>
  </r>
  <r>
    <s v="ŻEMEŁKA Dawid"/>
    <x v="1"/>
    <n v="2006"/>
    <s v="MKS Gdańsk"/>
    <s v="Yes"/>
    <x v="2"/>
    <x v="2"/>
    <x v="5"/>
  </r>
  <r>
    <s v="ŻEMEŁKA Dawid"/>
    <x v="1"/>
    <n v="2006"/>
    <s v="MKS Gdańsk"/>
    <s v="Yes"/>
    <x v="3"/>
    <x v="0"/>
    <x v="189"/>
  </r>
  <r>
    <s v="ŻEMEŁKA Dawid"/>
    <x v="1"/>
    <n v="2006"/>
    <s v="MKS Gdańsk"/>
    <s v="Yes"/>
    <x v="3"/>
    <x v="1"/>
    <x v="69"/>
  </r>
  <r>
    <s v="ŻEMEŁKA Dawid"/>
    <x v="1"/>
    <n v="2006"/>
    <s v="MKS Gdańsk"/>
    <s v="Yes"/>
    <x v="3"/>
    <x v="2"/>
    <x v="85"/>
  </r>
  <r>
    <s v="ŻEMEŁKA Dawid"/>
    <x v="1"/>
    <n v="2006"/>
    <s v="MKS Gdańsk"/>
    <s v="Yes"/>
    <x v="4"/>
    <x v="0"/>
    <x v="128"/>
  </r>
  <r>
    <s v="ŻEMEŁKA Dawid"/>
    <x v="1"/>
    <n v="2006"/>
    <s v="MKS Gdańsk"/>
    <s v="Yes"/>
    <x v="4"/>
    <x v="1"/>
    <x v="7"/>
  </r>
  <r>
    <s v="ŻEMEŁKA Dawid"/>
    <x v="1"/>
    <n v="2006"/>
    <s v="MKS Gdańsk"/>
    <s v="Yes"/>
    <x v="4"/>
    <x v="2"/>
    <x v="85"/>
  </r>
  <r>
    <s v="ŻEMEŁKA Dawid"/>
    <x v="1"/>
    <n v="2006"/>
    <s v="MKS Gdańsk"/>
    <s v="Yes"/>
    <x v="5"/>
    <x v="0"/>
    <x v="194"/>
  </r>
  <r>
    <s v="ŻEMEŁKA Dawid"/>
    <x v="1"/>
    <n v="2006"/>
    <s v="MKS Gdańsk"/>
    <s v="Yes"/>
    <x v="5"/>
    <x v="1"/>
    <x v="100"/>
  </r>
  <r>
    <s v="ŻEMEŁKA Dawid"/>
    <x v="1"/>
    <n v="2006"/>
    <s v="MKS Gdańsk"/>
    <s v="Yes"/>
    <x v="5"/>
    <x v="2"/>
    <x v="54"/>
  </r>
  <r>
    <s v="ŻEMEŁKA Dawid"/>
    <x v="1"/>
    <n v="2006"/>
    <s v="MKS Gdańsk"/>
    <s v="Yes"/>
    <x v="6"/>
    <x v="3"/>
    <x v="195"/>
  </r>
  <r>
    <s v="ŻEMEŁKA Dawid"/>
    <x v="1"/>
    <n v="2006"/>
    <s v="MKS Gdańsk"/>
    <s v="Yes"/>
    <x v="6"/>
    <x v="4"/>
    <x v="196"/>
  </r>
  <r>
    <s v="ŻEMEŁKA Dawid"/>
    <x v="1"/>
    <n v="2006"/>
    <s v="MKS Gdańsk"/>
    <s v="Yes"/>
    <x v="6"/>
    <x v="5"/>
    <x v="197"/>
  </r>
  <r>
    <s v="KLIMCZUK Michał"/>
    <x v="1"/>
    <n v="2006"/>
    <s v="MKS Gdańsk"/>
    <s v="No"/>
    <x v="0"/>
    <x v="0"/>
    <x v="56"/>
  </r>
  <r>
    <s v="KLIMCZUK Michał"/>
    <x v="1"/>
    <n v="2006"/>
    <s v="MKS Gdańsk"/>
    <s v="No"/>
    <x v="0"/>
    <x v="1"/>
    <x v="114"/>
  </r>
  <r>
    <s v="KLIMCZUK Michał"/>
    <x v="1"/>
    <n v="2006"/>
    <s v="MKS Gdańsk"/>
    <s v="No"/>
    <x v="0"/>
    <x v="2"/>
    <x v="151"/>
  </r>
  <r>
    <s v="KLIMCZUK Michał"/>
    <x v="1"/>
    <n v="2006"/>
    <s v="MKS Gdańsk"/>
    <s v="No"/>
    <x v="1"/>
    <x v="0"/>
    <x v="105"/>
  </r>
  <r>
    <s v="KLIMCZUK Michał"/>
    <x v="1"/>
    <n v="2006"/>
    <s v="MKS Gdańsk"/>
    <s v="No"/>
    <x v="1"/>
    <x v="1"/>
    <x v="149"/>
  </r>
  <r>
    <s v="KLIMCZUK Michał"/>
    <x v="1"/>
    <n v="2006"/>
    <s v="MKS Gdańsk"/>
    <s v="No"/>
    <x v="1"/>
    <x v="2"/>
    <x v="155"/>
  </r>
  <r>
    <s v="KLIMCZUK Michał"/>
    <x v="1"/>
    <n v="2006"/>
    <s v="MKS Gdańsk"/>
    <s v="No"/>
    <x v="2"/>
    <x v="0"/>
    <x v="140"/>
  </r>
  <r>
    <s v="KLIMCZUK Michał"/>
    <x v="1"/>
    <n v="2006"/>
    <s v="MKS Gdańsk"/>
    <s v="No"/>
    <x v="2"/>
    <x v="1"/>
    <x v="140"/>
  </r>
  <r>
    <s v="KLIMCZUK Michał"/>
    <x v="1"/>
    <n v="2006"/>
    <s v="MKS Gdańsk"/>
    <s v="No"/>
    <x v="2"/>
    <x v="2"/>
    <x v="140"/>
  </r>
  <r>
    <s v="KLIMCZUK Michał"/>
    <x v="1"/>
    <n v="2006"/>
    <s v="MKS Gdańsk"/>
    <s v="No"/>
    <x v="3"/>
    <x v="0"/>
    <x v="189"/>
  </r>
  <r>
    <s v="KLIMCZUK Michał"/>
    <x v="1"/>
    <n v="2006"/>
    <s v="MKS Gdańsk"/>
    <s v="No"/>
    <x v="3"/>
    <x v="1"/>
    <x v="69"/>
  </r>
  <r>
    <s v="KLIMCZUK Michał"/>
    <x v="1"/>
    <n v="2006"/>
    <s v="MKS Gdańsk"/>
    <s v="No"/>
    <x v="3"/>
    <x v="2"/>
    <x v="85"/>
  </r>
  <r>
    <s v="KLIMCZUK Michał"/>
    <x v="1"/>
    <n v="2006"/>
    <s v="MKS Gdańsk"/>
    <s v="No"/>
    <x v="4"/>
    <x v="0"/>
    <x v="128"/>
  </r>
  <r>
    <s v="KLIMCZUK Michał"/>
    <x v="1"/>
    <n v="2006"/>
    <s v="MKS Gdańsk"/>
    <s v="No"/>
    <x v="4"/>
    <x v="1"/>
    <x v="69"/>
  </r>
  <r>
    <s v="KLIMCZUK Michał"/>
    <x v="1"/>
    <n v="2006"/>
    <s v="MKS Gdańsk"/>
    <s v="No"/>
    <x v="4"/>
    <x v="2"/>
    <x v="35"/>
  </r>
  <r>
    <s v="KLIMCZUK Michał"/>
    <x v="1"/>
    <n v="2006"/>
    <s v="MKS Gdańsk"/>
    <s v="No"/>
    <x v="5"/>
    <x v="0"/>
    <x v="185"/>
  </r>
  <r>
    <s v="KLIMCZUK Michał"/>
    <x v="1"/>
    <n v="2006"/>
    <s v="MKS Gdańsk"/>
    <s v="No"/>
    <x v="5"/>
    <x v="1"/>
    <x v="50"/>
  </r>
  <r>
    <s v="KLIMCZUK Michał"/>
    <x v="1"/>
    <n v="2006"/>
    <s v="MKS Gdańsk"/>
    <s v="No"/>
    <x v="5"/>
    <x v="2"/>
    <x v="165"/>
  </r>
  <r>
    <s v="KLIMCZUK Michał"/>
    <x v="1"/>
    <n v="2006"/>
    <s v="MKS Gdańsk"/>
    <s v="No"/>
    <x v="6"/>
    <x v="3"/>
    <x v="140"/>
  </r>
  <r>
    <s v="KLIMCZUK Michał"/>
    <x v="1"/>
    <n v="2006"/>
    <s v="MKS Gdańsk"/>
    <s v="No"/>
    <x v="6"/>
    <x v="4"/>
    <x v="140"/>
  </r>
  <r>
    <s v="KLIMCZUK Michał"/>
    <x v="1"/>
    <n v="2006"/>
    <s v="MKS Gdańsk"/>
    <s v="No"/>
    <x v="6"/>
    <x v="5"/>
    <x v="198"/>
  </r>
  <r>
    <s v="KUBALA Kacper"/>
    <x v="1"/>
    <n v="2006"/>
    <s v="MKS Gdańsk"/>
    <s v="No"/>
    <x v="0"/>
    <x v="0"/>
    <x v="49"/>
  </r>
  <r>
    <s v="KUBALA Kacper"/>
    <x v="1"/>
    <n v="2006"/>
    <s v="MKS Gdańsk"/>
    <s v="No"/>
    <x v="0"/>
    <x v="1"/>
    <x v="29"/>
  </r>
  <r>
    <s v="KUBALA Kacper"/>
    <x v="1"/>
    <n v="2006"/>
    <s v="MKS Gdańsk"/>
    <s v="No"/>
    <x v="0"/>
    <x v="2"/>
    <x v="116"/>
  </r>
  <r>
    <s v="KUBALA Kacper"/>
    <x v="1"/>
    <n v="2006"/>
    <s v="MKS Gdańsk"/>
    <s v="No"/>
    <x v="1"/>
    <x v="0"/>
    <x v="184"/>
  </r>
  <r>
    <s v="KUBALA Kacper"/>
    <x v="1"/>
    <n v="2006"/>
    <s v="MKS Gdańsk"/>
    <s v="No"/>
    <x v="1"/>
    <x v="1"/>
    <x v="96"/>
  </r>
  <r>
    <s v="KUBALA Kacper"/>
    <x v="1"/>
    <n v="2006"/>
    <s v="MKS Gdańsk"/>
    <s v="No"/>
    <x v="1"/>
    <x v="2"/>
    <x v="97"/>
  </r>
  <r>
    <s v="KUBALA Kacper"/>
    <x v="1"/>
    <n v="2006"/>
    <s v="MKS Gdańsk"/>
    <s v="No"/>
    <x v="2"/>
    <x v="0"/>
    <x v="140"/>
  </r>
  <r>
    <s v="KUBALA Kacper"/>
    <x v="1"/>
    <n v="2006"/>
    <s v="MKS Gdańsk"/>
    <s v="No"/>
    <x v="2"/>
    <x v="1"/>
    <x v="140"/>
  </r>
  <r>
    <s v="KUBALA Kacper"/>
    <x v="1"/>
    <n v="2006"/>
    <s v="MKS Gdańsk"/>
    <s v="No"/>
    <x v="2"/>
    <x v="2"/>
    <x v="140"/>
  </r>
  <r>
    <s v="KUBALA Kacper"/>
    <x v="1"/>
    <n v="2006"/>
    <s v="MKS Gdańsk"/>
    <s v="No"/>
    <x v="3"/>
    <x v="0"/>
    <x v="128"/>
  </r>
  <r>
    <s v="KUBALA Kacper"/>
    <x v="1"/>
    <n v="2006"/>
    <s v="MKS Gdańsk"/>
    <s v="No"/>
    <x v="3"/>
    <x v="1"/>
    <x v="52"/>
  </r>
  <r>
    <s v="KUBALA Kacper"/>
    <x v="1"/>
    <n v="2006"/>
    <s v="MKS Gdańsk"/>
    <s v="No"/>
    <x v="3"/>
    <x v="2"/>
    <x v="91"/>
  </r>
  <r>
    <s v="KUBALA Kacper"/>
    <x v="1"/>
    <n v="2006"/>
    <s v="MKS Gdańsk"/>
    <s v="No"/>
    <x v="4"/>
    <x v="0"/>
    <x v="128"/>
  </r>
  <r>
    <s v="KUBALA Kacper"/>
    <x v="1"/>
    <n v="2006"/>
    <s v="MKS Gdańsk"/>
    <s v="No"/>
    <x v="4"/>
    <x v="1"/>
    <x v="169"/>
  </r>
  <r>
    <s v="KUBALA Kacper"/>
    <x v="1"/>
    <n v="2006"/>
    <s v="MKS Gdańsk"/>
    <s v="No"/>
    <x v="4"/>
    <x v="2"/>
    <x v="22"/>
  </r>
  <r>
    <s v="KUBALA Kacper"/>
    <x v="1"/>
    <n v="2006"/>
    <s v="MKS Gdańsk"/>
    <s v="No"/>
    <x v="5"/>
    <x v="0"/>
    <x v="140"/>
  </r>
  <r>
    <s v="KUBALA Kacper"/>
    <x v="1"/>
    <n v="2006"/>
    <s v="MKS Gdańsk"/>
    <s v="No"/>
    <x v="5"/>
    <x v="1"/>
    <x v="140"/>
  </r>
  <r>
    <s v="KUBALA Kacper"/>
    <x v="1"/>
    <n v="2006"/>
    <s v="MKS Gdańsk"/>
    <s v="No"/>
    <x v="5"/>
    <x v="2"/>
    <x v="140"/>
  </r>
  <r>
    <s v="KUBALA Kacper"/>
    <x v="1"/>
    <n v="2006"/>
    <s v="MKS Gdańsk"/>
    <s v="No"/>
    <x v="6"/>
    <x v="3"/>
    <x v="140"/>
  </r>
  <r>
    <s v="KUBALA Kacper"/>
    <x v="1"/>
    <n v="2006"/>
    <s v="MKS Gdańsk"/>
    <s v="No"/>
    <x v="6"/>
    <x v="4"/>
    <x v="140"/>
  </r>
  <r>
    <s v="KUBALA Kacper"/>
    <x v="1"/>
    <n v="2006"/>
    <s v="MKS Gdańsk"/>
    <s v="No"/>
    <x v="6"/>
    <x v="5"/>
    <x v="199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E518A03-B57B-4AA9-BC9A-2925CC15224C}" name="Tabela przestawna2" cacheId="0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4">
  <location ref="AI19:AL30" firstHeaderRow="1" firstDataRow="2" firstDataCol="1" rowPageCount="1" colPageCount="1"/>
  <pivotFields count="10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8">
        <item x="6"/>
        <item x="0"/>
        <item x="5"/>
        <item x="4"/>
        <item x="1"/>
        <item x="2"/>
        <item x="3"/>
        <item t="default"/>
      </items>
    </pivotField>
    <pivotField axis="axisRow" showAll="0">
      <items count="7">
        <item h="1" x="3"/>
        <item h="1" x="4"/>
        <item h="1" x="5"/>
        <item h="1" x="0"/>
        <item h="1" x="1"/>
        <item x="2"/>
        <item t="default"/>
      </items>
    </pivotField>
    <pivotField axis="axisRow" dataField="1" showAll="0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t="default"/>
      </items>
    </pivotField>
    <pivotField dragToRow="0" dragToCol="0" dragToPage="0" showAll="0" defaultSubtotal="0"/>
  </pivotFields>
  <rowFields count="2">
    <field x="7"/>
    <field x="8"/>
  </rowFields>
  <rowItems count="10">
    <i>
      <x v="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6" item="1" hier="-1"/>
  </pageFields>
  <dataFields count="1">
    <dataField name="Liczba z Value" fld="8" subtotal="count" baseField="7" baseItem="0"/>
  </dataFields>
  <chartFormats count="3">
    <chartFormat chart="3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3" format="7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AC8A20-7C04-4D04-B35F-1AD266098DDB}" name="Tabela przestawna4" cacheId="1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1">
  <location ref="AF19:AI31" firstHeaderRow="1" firstDataRow="2" firstDataCol="1" rowPageCount="1" colPageCount="1"/>
  <pivotFields count="9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showAll="0"/>
    <pivotField axis="axisPage" showAll="0">
      <items count="8">
        <item x="6"/>
        <item x="0"/>
        <item x="5"/>
        <item x="4"/>
        <item x="1"/>
        <item x="2"/>
        <item x="3"/>
        <item t="default"/>
      </items>
    </pivotField>
    <pivotField axis="axisRow" showAll="0">
      <items count="7">
        <item h="1" x="3"/>
        <item h="1" x="4"/>
        <item h="1" x="5"/>
        <item h="1" x="0"/>
        <item x="1"/>
        <item h="1" x="2"/>
        <item t="default"/>
      </items>
    </pivotField>
    <pivotField axis="axisRow" dataField="1" showAll="0">
      <items count="156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t="default"/>
      </items>
    </pivotField>
  </pivotFields>
  <rowFields count="2">
    <field x="7"/>
    <field x="8"/>
  </rowFields>
  <rowItems count="11">
    <i>
      <x v="4"/>
    </i>
    <i r="1">
      <x v="4"/>
    </i>
    <i r="1">
      <x v="10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6" item="4" hier="-1"/>
  </pageFields>
  <dataFields count="1">
    <dataField name="Liczba z Value" fld="8" subtotal="countNums" baseField="7" baseItem="3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8" type="captionGreaterThan" evalOrder="-1" id="3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1313C4-174B-4C15-8FE7-6FFBDCE82B2B}" name="Tabela przestawna5" cacheId="2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1">
  <location ref="AF20:AI31" firstHeaderRow="1" firstDataRow="2" firstDataCol="1" rowPageCount="1" colPageCount="1"/>
  <pivotFields count="8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axis="axisPage" multipleItemSelectionAllowed="1" showAll="0">
      <items count="8">
        <item h="1" x="6"/>
        <item x="0"/>
        <item x="5"/>
        <item x="4"/>
        <item x="1"/>
        <item x="2"/>
        <item x="3"/>
        <item t="default"/>
      </items>
    </pivotField>
    <pivotField axis="axisRow" showAll="0">
      <items count="7">
        <item h="1" x="3"/>
        <item h="1" x="4"/>
        <item h="1" x="5"/>
        <item x="0"/>
        <item h="1" x="1"/>
        <item h="1" x="2"/>
        <item t="default"/>
      </items>
    </pivotField>
    <pivotField axis="axisRow" dataField="1" showAll="0">
      <items count="15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t="default"/>
      </items>
    </pivotField>
  </pivotFields>
  <rowFields count="2">
    <field x="6"/>
    <field x="7"/>
  </rowFields>
  <rowItems count="10"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5" hier="-1"/>
  </pageFields>
  <dataFields count="1">
    <dataField name="Liczba z Value" fld="7" subtotal="countNums" baseField="6" baseItem="0"/>
  </dataFields>
  <chartFormats count="2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aptionGreaterThan" evalOrder="-1" id="2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E813FC3-0772-45A2-848A-C2F202527717}" name="Tabela przestawna6" cacheId="3" applyNumberFormats="0" applyBorderFormats="0" applyFontFormats="0" applyPatternFormats="0" applyAlignmentFormats="0" applyWidthHeightFormats="1" dataCaption="Wartości" updatedVersion="8" minRefreshableVersion="3" useAutoFormatting="1" itemPrintTitles="1" createdVersion="8" indent="0" outline="1" outlineData="1" multipleFieldFilters="0" chartFormat="1">
  <location ref="AF18:AI29" firstHeaderRow="1" firstDataRow="2" firstDataCol="1" rowPageCount="1" colPageCount="1"/>
  <pivotFields count="8">
    <pivotField showAll="0"/>
    <pivotField axis="axisCol" showAll="0">
      <items count="3">
        <item x="1"/>
        <item x="0"/>
        <item t="default"/>
      </items>
    </pivotField>
    <pivotField showAll="0"/>
    <pivotField showAll="0"/>
    <pivotField showAll="0"/>
    <pivotField axis="axisPage" multipleItemSelectionAllowed="1" showAll="0">
      <items count="8">
        <item h="1" x="6"/>
        <item x="0"/>
        <item x="5"/>
        <item x="4"/>
        <item x="1"/>
        <item x="2"/>
        <item x="3"/>
        <item t="default"/>
      </items>
    </pivotField>
    <pivotField axis="axisRow" showAll="0">
      <items count="7">
        <item h="1" x="3"/>
        <item h="1" x="4"/>
        <item h="1" x="5"/>
        <item x="0"/>
        <item h="1" x="1"/>
        <item h="1" x="2"/>
        <item t="default"/>
      </items>
    </pivotField>
    <pivotField axis="axisRow" dataField="1" showAll="0">
      <items count="1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t="default"/>
      </items>
    </pivotField>
  </pivotFields>
  <rowFields count="2">
    <field x="6"/>
    <field x="7"/>
  </rowFields>
  <rowItems count="10">
    <i>
      <x v="3"/>
    </i>
    <i r="1"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 t="grand">
      <x/>
    </i>
  </rowItems>
  <colFields count="1">
    <field x="1"/>
  </colFields>
  <colItems count="3">
    <i>
      <x/>
    </i>
    <i>
      <x v="1"/>
    </i>
    <i t="grand">
      <x/>
    </i>
  </colItems>
  <pageFields count="1">
    <pageField fld="5" hier="-1"/>
  </pageFields>
  <dataFields count="1">
    <dataField name="Liczba z Value" fld="7" subtotal="countNums" baseField="6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7" type="captionGreaterThan" evalOrder="-1" id="1" stringValue1="0">
      <autoFilter ref="A1">
        <filterColumn colId="0">
          <customFilters>
            <customFilter operator="greaterThan" val="0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6" xr16:uid="{43F27D00-D44C-EA4B-9582-ED04F3F8DBE0}" autoFormatId="16" applyNumberFormats="0" applyBorderFormats="0" applyFontFormats="0" applyPatternFormats="0" applyAlignmentFormats="0" applyWidthHeightFormats="0">
  <queryTableRefresh nextId="31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29" dataBound="0" tableColumnId="30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8" dataBound="0" tableColumnId="28"/>
      <queryTableField id="27" dataBound="0" tableColumnId="27"/>
      <queryTableField id="25" name="Total_Score" tableColumnId="25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7" xr16:uid="{2873D154-82F5-4709-AECE-4B0CE134B92F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5" name="All Around" tableColumnId="5"/>
      <queryTableField id="9" dataBound="0" tableColumnId="9"/>
      <queryTableField id="8" dataBound="0" tableColumnId="8"/>
      <queryTableField id="6" name="Atrybut" tableColumnId="6"/>
      <queryTableField id="7" name="Wartość" tableColumnId="7"/>
    </queryTable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20" xr16:uid="{4CB61875-A262-0B48-9C46-CDB0C1E6EAFD}" autoFormatId="16" applyNumberFormats="0" applyBorderFormats="0" applyFontFormats="0" applyPatternFormats="0" applyAlignmentFormats="0" applyWidthHeightFormats="0">
  <queryTableRefresh nextId="31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30" dataBound="0" tableColumnId="30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9" dataBound="0" tableColumnId="28"/>
      <queryTableField id="28" dataBound="0" tableColumnId="29"/>
      <queryTableField id="25" name="Total_Score" tableColumnId="25"/>
    </queryTable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22" xr16:uid="{9E21ACBD-CB28-4D55-9C33-170FEA783132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8" dataBound="0" tableColumnId="8"/>
      <queryTableField id="5" name="All Around" tableColumnId="5"/>
      <queryTableField id="9" dataBound="0" tableColumnId="9"/>
      <queryTableField id="6" name="Atrybut" tableColumnId="6"/>
      <queryTableField id="7" name="Wartość" tableColumnId="7"/>
    </queryTableFields>
  </queryTableRefresh>
</queryTable>
</file>

<file path=xl/queryTables/queryTable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5" xr16:uid="{705641A3-302C-A24C-A71A-685F4B10771D}" autoFormatId="16" applyNumberFormats="0" applyBorderFormats="0" applyFontFormats="0" applyPatternFormats="0" applyAlignmentFormats="0" applyWidthHeightFormats="0">
  <queryTableRefresh nextId="30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29" dataBound="0" tableColumnId="29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8" dataBound="0" tableColumnId="27"/>
      <queryTableField id="27" dataBound="0" tableColumnId="28"/>
      <queryTableField id="25" name="Total_Score" tableColumnId="25"/>
    </queryTableFields>
  </queryTableRefresh>
</queryTable>
</file>

<file path=xl/queryTables/queryTable6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9" xr16:uid="{36AB70C7-C5AD-4138-B705-447FFA79A2E1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9" dataBound="0" tableColumnId="9"/>
      <queryTableField id="5" name="All Around" tableColumnId="5"/>
      <queryTableField id="8" dataBound="0" tableColumnId="8"/>
      <queryTableField id="6" name="Atrybut" tableColumnId="6"/>
      <queryTableField id="7" name="Wartość" tableColumnId="7"/>
    </queryTableFields>
  </queryTableRefresh>
</queryTable>
</file>

<file path=xl/queryTables/queryTable7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1" xr16:uid="{EF69C0F8-E139-5D4B-8558-22ACA44A6D60}" autoFormatId="16" applyNumberFormats="0" applyBorderFormats="0" applyFontFormats="0" applyPatternFormats="0" applyAlignmentFormats="0" applyWidthHeightFormats="0">
  <queryTableRefresh nextId="30">
    <queryTableFields count="28">
      <queryTableField id="1" name="Rk" tableColumnId="1"/>
      <queryTableField id="2" name="Name" tableColumnId="2"/>
      <queryTableField id="3" name="Category" tableColumnId="3"/>
      <queryTableField id="4" name="Birth_year" tableColumnId="4"/>
      <queryTableField id="5" name="License_number" tableColumnId="5"/>
      <queryTableField id="6" name="Club" tableColumnId="6"/>
      <queryTableField id="29" dataBound="0" tableColumnId="29"/>
      <queryTableField id="7" name="FX_Dscore" tableColumnId="7"/>
      <queryTableField id="8" name="FX_Escore" tableColumnId="8"/>
      <queryTableField id="9" name="FX_total_score" tableColumnId="9"/>
      <queryTableField id="10" name="PH_Dscore" tableColumnId="10"/>
      <queryTableField id="11" name="PH_Escore" tableColumnId="11"/>
      <queryTableField id="12" name="PH_Total_Score" tableColumnId="12"/>
      <queryTableField id="13" name="SR_Dscore" tableColumnId="13"/>
      <queryTableField id="14" name="SR_Escore" tableColumnId="14"/>
      <queryTableField id="15" name="SR_Total_Score" tableColumnId="15"/>
      <queryTableField id="16" name="VT_Dscore" tableColumnId="16"/>
      <queryTableField id="17" name="VT_Escore" tableColumnId="17"/>
      <queryTableField id="18" name="VT_total_score" tableColumnId="18"/>
      <queryTableField id="19" name="PB_Dscore" tableColumnId="19"/>
      <queryTableField id="20" name="PB_Escore" tableColumnId="20"/>
      <queryTableField id="21" name="PB_total_score" tableColumnId="21"/>
      <queryTableField id="22" name="HB_Dscore" tableColumnId="22"/>
      <queryTableField id="23" name="HB_Escore" tableColumnId="23"/>
      <queryTableField id="24" name="HB_total_score" tableColumnId="24"/>
      <queryTableField id="28" dataBound="0" tableColumnId="27"/>
      <queryTableField id="27" dataBound="0" tableColumnId="28"/>
      <queryTableField id="25" name="Total_Score" tableColumnId="25"/>
    </queryTableFields>
  </queryTableRefresh>
</queryTable>
</file>

<file path=xl/queryTables/queryTable8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2" xr16:uid="{B5E19BB6-EF6C-4FF7-A207-CF5E76E570EB}" autoFormatId="16" applyNumberFormats="0" applyBorderFormats="0" applyFontFormats="0" applyPatternFormats="0" applyAlignmentFormats="0" applyWidthHeightFormats="0">
  <queryTableRefresh nextId="10">
    <queryTableFields count="9">
      <queryTableField id="1" name="Name" tableColumnId="1"/>
      <queryTableField id="2" name="Category" tableColumnId="2"/>
      <queryTableField id="3" name="Birth_year" tableColumnId="3"/>
      <queryTableField id="4" name="Club" tableColumnId="4"/>
      <queryTableField id="5" name="All Around" tableColumnId="5"/>
      <queryTableField id="9" dataBound="0" tableColumnId="9"/>
      <queryTableField id="8" dataBound="0" tableColumnId="8"/>
      <queryTableField id="6" name="Atrybut" tableColumnId="6"/>
      <queryTableField id="7" name="Wartość" tableColumnId="7"/>
    </queryTableFields>
  </queryTableRefresh>
</queryTable>
</file>

<file path=xl/queryTables/queryTable9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0" xr16:uid="{F5F7F399-D524-8A40-98D7-F7A1A044CF29}" autoFormatId="16" applyNumberFormats="0" applyBorderFormats="0" applyFontFormats="0" applyPatternFormats="0" applyAlignmentFormats="0" applyWidthHeightFormats="0">
  <queryTableRefresh nextId="25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FX_Dscore" tableColumnId="5"/>
      <queryTableField id="6" name="bydgoszcz_FX_Escore" tableColumnId="6"/>
      <queryTableField id="7" name="bydgoszcz_FX_Total_Score" tableColumnId="7"/>
      <queryTableField id="8" name="zabrze_FX_Dscore" tableColumnId="8"/>
      <queryTableField id="9" name="zabrze_FX_Escore" tableColumnId="9"/>
      <queryTableField id="10" name="zabrze_FX_Total_Score" tableColumnId="10"/>
      <queryTableField id="11" name="cracow_FX_Dscore" tableColumnId="11"/>
      <queryTableField id="12" name="cracow_FX_Escore" tableColumnId="12"/>
      <queryTableField id="13" name="cracow_FX_Total_Score" tableColumnId="13"/>
      <queryTableField id="14" name="gdansk_FX_Dscore" tableColumnId="14"/>
      <queryTableField id="15" name="gdansk_FX_Escore" tableColumnId="15"/>
      <queryTableField id="16" name="gdansk_FX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0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7" xr16:uid="{4FE8CC85-9C97-4146-9178-012ACA0752DE}" autoFormatId="16" applyNumberFormats="0" applyBorderFormats="0" applyFontFormats="0" applyPatternFormats="0" applyAlignmentFormats="0" applyWidthHeightFormats="0">
  <queryTableRefresh nextId="26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PH_Dscore" tableColumnId="5"/>
      <queryTableField id="6" name="bydgoszcz_PH_Escore" tableColumnId="6"/>
      <queryTableField id="7" name="bydgoszcz_PH_Total_Score" tableColumnId="7"/>
      <queryTableField id="8" name="zabrze_PH_Dscore" tableColumnId="8"/>
      <queryTableField id="9" name="zabrze_PH_Escore" tableColumnId="9"/>
      <queryTableField id="10" name="zabrze_PH_Total_Score" tableColumnId="10"/>
      <queryTableField id="11" name="cracow_PH_Dscore" tableColumnId="11"/>
      <queryTableField id="12" name="cracow_PH_Escore" tableColumnId="12"/>
      <queryTableField id="13" name="cracow_PH_Total_Score" tableColumnId="13"/>
      <queryTableField id="14" name="gdansk_PH_Dscore" tableColumnId="14"/>
      <queryTableField id="15" name="gdansk_PH_Escore" tableColumnId="15"/>
      <queryTableField id="16" name="gdansk_PH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8" xr16:uid="{E4F10D1F-E2E4-BB44-AE56-4F37E492C640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SR_Dscore" tableColumnId="5"/>
      <queryTableField id="6" name="bydgoszcz_SR_Escore" tableColumnId="6"/>
      <queryTableField id="7" name="bydgoszcz_SR_Total_Score" tableColumnId="7"/>
      <queryTableField id="8" name="zabrze_SR_Dscore" tableColumnId="8"/>
      <queryTableField id="9" name="zabrze_SR_Escore" tableColumnId="9"/>
      <queryTableField id="10" name="zabrze_SR_Total_Score" tableColumnId="10"/>
      <queryTableField id="11" name="cracow_SR_Dscore" tableColumnId="11"/>
      <queryTableField id="12" name="cracow_SR_Escore" tableColumnId="12"/>
      <queryTableField id="13" name="cracow_SR_Total_Score" tableColumnId="13"/>
      <queryTableField id="14" name="gdansk_SR_Dscore" tableColumnId="14"/>
      <queryTableField id="15" name="gdansk_SR_Escore" tableColumnId="15"/>
      <queryTableField id="16" name="gdansk_SR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19" xr16:uid="{93B646AE-B4DB-C447-B6F8-AFB6E4BCBA3D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VT_Dscore" tableColumnId="5"/>
      <queryTableField id="6" name="bydgoszcz_VT_Escore" tableColumnId="6"/>
      <queryTableField id="7" name="bydgoszcz_VT_Total_Score" tableColumnId="7"/>
      <queryTableField id="8" name="zabrze_VT_Dscore" tableColumnId="8"/>
      <queryTableField id="9" name="zabrze_VT_Escore" tableColumnId="9"/>
      <queryTableField id="10" name="zabrze_VT_Total_Score" tableColumnId="10"/>
      <queryTableField id="11" name="cracow_VT_Dscore" tableColumnId="11"/>
      <queryTableField id="12" name="cracow_VT_Escore" tableColumnId="12"/>
      <queryTableField id="13" name="cracow_VT_Total_Score" tableColumnId="13"/>
      <queryTableField id="14" name="gdansk_VT_Dscore" tableColumnId="14"/>
      <queryTableField id="15" name="gdansk_VT_Escore" tableColumnId="15"/>
      <queryTableField id="16" name="gdansk_VT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connectionId="16" xr16:uid="{FC501E9C-351A-1943-B9F3-F233C1DC8766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PB_Dscore" tableColumnId="5"/>
      <queryTableField id="6" name="bydgoszcz_PB_Escore" tableColumnId="6"/>
      <queryTableField id="7" name="bydgoszcz_PB_Total_Score" tableColumnId="7"/>
      <queryTableField id="8" name="zabrze_PB_Dscore" tableColumnId="8"/>
      <queryTableField id="9" name="zabrze_PB_Escore" tableColumnId="9"/>
      <queryTableField id="10" name="zabrze_PB_Total_Score" tableColumnId="10"/>
      <queryTableField id="11" name="cracow_PB_Dscore" tableColumnId="11"/>
      <queryTableField id="12" name="cracow_PB_Escore" tableColumnId="12"/>
      <queryTableField id="13" name="cracow_PB_Total_Score" tableColumnId="13"/>
      <queryTableField id="14" name="gdansk_PB_Dscore" tableColumnId="14"/>
      <queryTableField id="15" name="gdansk_PB_Escore" tableColumnId="15"/>
      <queryTableField id="16" name="gdansk_PB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2" connectionId="13" xr16:uid="{7C6AA0D9-1A62-2A47-85F0-4D8F56C2EF0D}" autoFormatId="16" applyNumberFormats="0" applyBorderFormats="0" applyFontFormats="0" applyPatternFormats="0" applyAlignmentFormats="0" applyWidthHeightFormats="0">
  <queryTableRefresh nextId="24" unboundColumnsRight="6">
    <queryTableFields count="23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20" dataBound="0" tableColumnId="20"/>
      <queryTableField id="5" name="bydgoszcz_HB_Dscore" tableColumnId="5"/>
      <queryTableField id="6" name="bydgoszcz_HB_Escore" tableColumnId="6"/>
      <queryTableField id="7" name="bydgoszcz_HB_Total_Score" tableColumnId="7"/>
      <queryTableField id="8" name="zabrze_HB_Dscore" tableColumnId="8"/>
      <queryTableField id="9" name="zabrze_HB_Escore" tableColumnId="9"/>
      <queryTableField id="10" name="zabrze_HB_Total_Score" tableColumnId="10"/>
      <queryTableField id="11" name="cracow_HB_Dscore" tableColumnId="11"/>
      <queryTableField id="12" name="cracow_HB_Escore" tableColumnId="12"/>
      <queryTableField id="13" name="cracow_HB_Total_Score" tableColumnId="13"/>
      <queryTableField id="14" name="gdansk_HB_Dscore" tableColumnId="14"/>
      <queryTableField id="15" name="gdansk_HB_Escore" tableColumnId="15"/>
      <queryTableField id="16" name="gdansk_HB_Total_Score" tableColumnId="16"/>
      <queryTableField id="17" dataBound="0" tableColumnId="17"/>
      <queryTableField id="18" dataBound="0" tableColumnId="18"/>
      <queryTableField id="19" dataBound="0" tableColumnId="19"/>
      <queryTableField id="21" dataBound="0" tableColumnId="21"/>
      <queryTableField id="22" dataBound="0" tableColumnId="22"/>
      <queryTableField id="23" dataBound="0" tableColumnId="23"/>
    </queryTableFields>
  </queryTableRefresh>
</queryTable>
</file>

<file path=xl/queryTables/queryTable15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3" connectionId="4" xr16:uid="{FF57AECD-6497-264A-8ADC-284F5DE0BF13}" autoFormatId="16" applyNumberFormats="0" applyBorderFormats="0" applyFontFormats="0" applyPatternFormats="0" applyAlignmentFormats="0" applyWidthHeightFormats="0">
  <queryTableRefresh nextId="105" unboundColumnsRight="10">
    <queryTableFields count="99">
      <queryTableField id="1" name="Name" tableColumnId="1"/>
      <queryTableField id="2" name="Category" tableColumnId="2"/>
      <queryTableField id="3" name="License_number" tableColumnId="3"/>
      <queryTableField id="4" name="Club" tableColumnId="4"/>
      <queryTableField id="100" dataBound="0" tableColumnId="77"/>
      <queryTableField id="5" name="bydgoszcz_FX_Dscore" tableColumnId="5"/>
      <queryTableField id="6" name="bydgoszcz_FX_Escore" tableColumnId="6"/>
      <queryTableField id="7" name="bydgoszcz_FX_Total_Score" tableColumnId="7"/>
      <queryTableField id="8" name="bydgoszcz_PH_Dscore" tableColumnId="8"/>
      <queryTableField id="9" name="bydgoszcz_PH_Escore" tableColumnId="9"/>
      <queryTableField id="10" name="bydgoszcz_PH_Total_Score" tableColumnId="10"/>
      <queryTableField id="11" name="bydgoszcz_SR_Dscore" tableColumnId="11"/>
      <queryTableField id="12" name="bydgoszcz_SR_Escore" tableColumnId="12"/>
      <queryTableField id="13" name="bydgoszcz_SR_Total_Score" tableColumnId="13"/>
      <queryTableField id="14" name="bydgoszcz_VT_Dscore" tableColumnId="14"/>
      <queryTableField id="15" name="bydgoszcz_VT_Escore" tableColumnId="15"/>
      <queryTableField id="16" name="bydgoszcz_VT_Total_Score" tableColumnId="16"/>
      <queryTableField id="17" name="bydgoszcz_PB_Dscore" tableColumnId="17"/>
      <queryTableField id="18" name="bydgoszcz_PB_Escore" tableColumnId="18"/>
      <queryTableField id="19" name="bydgoszcz_PB_Total_Score" tableColumnId="19"/>
      <queryTableField id="20" name="bydgoszcz_HB_Dscore" tableColumnId="20"/>
      <queryTableField id="21" name="bydgoszcz_HB_Escore" tableColumnId="21"/>
      <queryTableField id="22" name="bydgoszcz_HB_Total_Score" tableColumnId="22"/>
      <queryTableField id="87" dataBound="0" tableColumnId="92"/>
      <queryTableField id="86" dataBound="0" tableColumnId="91"/>
      <queryTableField id="78" dataBound="0" tableColumnId="79"/>
      <queryTableField id="101" dataBound="0" tableColumnId="78"/>
      <queryTableField id="23" name="zabrze_FX_Dscore" tableColumnId="23"/>
      <queryTableField id="24" name="zabrze_FX_Escore" tableColumnId="24"/>
      <queryTableField id="25" name="zabrze_FX_Total_Score" tableColumnId="25"/>
      <queryTableField id="26" name="zabrze_PH_Dscore" tableColumnId="26"/>
      <queryTableField id="27" name="zabrze_PH_Escore" tableColumnId="27"/>
      <queryTableField id="28" name="zabrze_PH_Total_Score" tableColumnId="28"/>
      <queryTableField id="29" name="zabrze_SR_Dscore" tableColumnId="29"/>
      <queryTableField id="30" name="zabrze_SR_Escore" tableColumnId="30"/>
      <queryTableField id="31" name="zabrze_SR_Total_Score" tableColumnId="31"/>
      <queryTableField id="32" name="zabrze_VT_Dscore" tableColumnId="32"/>
      <queryTableField id="33" name="zabrze_VT_Escore" tableColumnId="33"/>
      <queryTableField id="34" name="zabrze_VT_Total_Score" tableColumnId="34"/>
      <queryTableField id="35" name="zabrze_PB_Dscore" tableColumnId="35"/>
      <queryTableField id="36" name="zabrze_PB_Escore" tableColumnId="36"/>
      <queryTableField id="37" name="zabrze_PB_Total_Score" tableColumnId="37"/>
      <queryTableField id="38" name="zabrze_HB_Dscore" tableColumnId="38"/>
      <queryTableField id="39" name="zabrze_HB_Escore" tableColumnId="39"/>
      <queryTableField id="40" name="zabrze_HB_Total_Score" tableColumnId="40"/>
      <queryTableField id="89" dataBound="0" tableColumnId="94"/>
      <queryTableField id="88" dataBound="0" tableColumnId="93"/>
      <queryTableField id="80" dataBound="0" tableColumnId="81"/>
      <queryTableField id="103" dataBound="0" tableColumnId="87"/>
      <queryTableField id="41" name="cracow_FX_Dscore" tableColumnId="41"/>
      <queryTableField id="42" name="cracow_FX_Escore" tableColumnId="42"/>
      <queryTableField id="43" name="cracow_FX_Total_Score" tableColumnId="43"/>
      <queryTableField id="44" name="cracow_PH_Dscore" tableColumnId="44"/>
      <queryTableField id="45" name="cracow_PH_Escore" tableColumnId="45"/>
      <queryTableField id="46" name="cracow_PH_Total_Score" tableColumnId="46"/>
      <queryTableField id="47" name="cracow_SR_Dscore" tableColumnId="47"/>
      <queryTableField id="48" name="cracow_SR_Escore" tableColumnId="48"/>
      <queryTableField id="49" name="cracow_SR_Total_Score" tableColumnId="49"/>
      <queryTableField id="50" name="cracow_VT_Dscore" tableColumnId="50"/>
      <queryTableField id="51" name="cracow_VT_Escore" tableColumnId="51"/>
      <queryTableField id="52" name="cracow_VT_Total_Score" tableColumnId="52"/>
      <queryTableField id="53" name="cracow_PB_Dscore" tableColumnId="53"/>
      <queryTableField id="54" name="cracow_PB_Escore" tableColumnId="54"/>
      <queryTableField id="55" name="cracow_PB_Total_Score" tableColumnId="55"/>
      <queryTableField id="56" name="cracow_HB_Dscore" tableColumnId="56"/>
      <queryTableField id="57" name="cracow_HB_Escore" tableColumnId="57"/>
      <queryTableField id="58" name="cracow_HB_Total_Score" tableColumnId="58"/>
      <queryTableField id="91" dataBound="0" tableColumnId="96"/>
      <queryTableField id="90" dataBound="0" tableColumnId="95"/>
      <queryTableField id="81" dataBound="0" tableColumnId="82"/>
      <queryTableField id="102" dataBound="0" tableColumnId="80"/>
      <queryTableField id="59" name="gdansk_FX_Dscore" tableColumnId="59"/>
      <queryTableField id="60" name="gdansk_FX_Escore" tableColumnId="60"/>
      <queryTableField id="61" name="gdansk_FX_Total_Score" tableColumnId="61"/>
      <queryTableField id="62" name="gdansk_PH_Dscore" tableColumnId="62"/>
      <queryTableField id="63" name="gdansk_PH_Escore" tableColumnId="63"/>
      <queryTableField id="64" name="gdansk_PH_Total_Score" tableColumnId="64"/>
      <queryTableField id="65" name="gdansk_SR_Dscore" tableColumnId="65"/>
      <queryTableField id="66" name="gdansk_SR_Escore" tableColumnId="66"/>
      <queryTableField id="67" name="gdansk_SR_Total_Score" tableColumnId="67"/>
      <queryTableField id="68" name="gdansk_VT_Dscore" tableColumnId="68"/>
      <queryTableField id="69" name="gdansk_VT_Escore" tableColumnId="69"/>
      <queryTableField id="70" name="gdansk_VT_Total_Score" tableColumnId="70"/>
      <queryTableField id="71" name="gdansk_PB_Dscore" tableColumnId="71"/>
      <queryTableField id="72" name="gdansk_PB_Escore" tableColumnId="72"/>
      <queryTableField id="73" name="gdansk_PB_Total_Score" tableColumnId="73"/>
      <queryTableField id="74" name="gdansk_HB_Dscore" tableColumnId="74"/>
      <queryTableField id="75" name="gdansk_HB_Escore" tableColumnId="75"/>
      <queryTableField id="76" name="gdansk_HB_Total_Score" tableColumnId="76"/>
      <queryTableField id="93" dataBound="0" tableColumnId="98"/>
      <queryTableField id="92" dataBound="0" tableColumnId="97"/>
      <queryTableField id="82" dataBound="0" tableColumnId="83"/>
      <queryTableField id="104" dataBound="0" tableColumnId="88"/>
      <queryTableField id="83" dataBound="0" tableColumnId="84"/>
      <queryTableField id="84" dataBound="0" tableColumnId="85"/>
      <queryTableField id="85" dataBound="0" tableColumnId="86"/>
      <queryTableField id="95" dataBound="0" tableColumnId="100"/>
      <queryTableField id="96" dataBound="0" tableColumnId="101"/>
      <queryTableField id="97" dataBound="0" tableColumnId="102"/>
    </queryTableFields>
  </queryTableRefresh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" xr10:uid="{600E3543-D526-464C-B5D6-3AABB747B403}" sourceName="Apparatus">
  <pivotTables>
    <pivotTable tabId="7" name="Tabela przestawna2"/>
  </pivotTables>
  <data>
    <tabular pivotCacheId="925019263">
      <items count="7">
        <i x="0" s="1"/>
        <i x="5"/>
        <i x="4"/>
        <i x="1"/>
        <i x="2"/>
        <i x="3"/>
        <i x="6" nd="1"/>
      </items>
    </tabular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" xr10:uid="{6684595A-812F-4245-8890-9381FEF3792C}" sourceName="Score Type ">
  <pivotTables>
    <pivotTable tabId="7" name="Tabela przestawna2"/>
  </pivotTables>
  <data>
    <tabular pivotCacheId="925019263">
      <items count="6">
        <i x="0"/>
        <i x="1"/>
        <i x="2" s="1"/>
        <i x="3" nd="1"/>
        <i x="4" nd="1"/>
        <i x="5" nd="1"/>
      </items>
    </tabular>
  </data>
</slicerCacheDefinition>
</file>

<file path=xl/slicerCaches/slicerCache3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1" xr10:uid="{0AB4A423-085B-4220-B162-38A197EF49CF}" sourceName="Apparatus">
  <pivotTables>
    <pivotTable tabId="2" name="Tabela przestawna4"/>
  </pivotTables>
  <data>
    <tabular pivotCacheId="864761450">
      <items count="7">
        <i x="0"/>
        <i x="5"/>
        <i x="4"/>
        <i x="1" s="1"/>
        <i x="2"/>
        <i x="3"/>
        <i x="6" nd="1"/>
      </items>
    </tabular>
  </data>
</slicerCacheDefinition>
</file>

<file path=xl/slicerCaches/slicerCache4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1" xr10:uid="{4ED264B5-B45C-4CB4-9E80-843184F7005E}" sourceName="Score Type ">
  <pivotTables>
    <pivotTable tabId="2" name="Tabela przestawna4"/>
  </pivotTables>
  <data>
    <tabular pivotCacheId="864761450">
      <items count="6">
        <i x="0"/>
        <i x="1" s="1"/>
        <i x="2"/>
        <i x="3" nd="1"/>
        <i x="4" nd="1"/>
        <i x="5" nd="1"/>
      </items>
    </tabular>
  </data>
</slicerCacheDefinition>
</file>

<file path=xl/slicerCaches/slicerCache5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2" xr10:uid="{FB57B5CF-A8CB-47EB-8B4E-37CAB7D7BA25}" sourceName="Apparatus">
  <pivotTables>
    <pivotTable tabId="6" name="Tabela przestawna5"/>
  </pivotTables>
  <data>
    <tabular pivotCacheId="717721964">
      <items count="7">
        <i x="0" s="1"/>
        <i x="5" s="1"/>
        <i x="4" s="1"/>
        <i x="1" s="1"/>
        <i x="2" s="1"/>
        <i x="3" s="1"/>
        <i x="6" nd="1"/>
      </items>
    </tabular>
  </data>
</slicerCacheDefinition>
</file>

<file path=xl/slicerCaches/slicerCache6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2" xr10:uid="{B5C474D8-5022-4E7B-BB7D-3C37CDF82599}" sourceName="Score Type ">
  <pivotTables>
    <pivotTable tabId="6" name="Tabela przestawna5"/>
  </pivotTables>
  <data>
    <tabular pivotCacheId="717721964">
      <items count="6">
        <i x="0" s="1"/>
        <i x="1"/>
        <i x="2"/>
        <i x="3" nd="1"/>
        <i x="4" nd="1"/>
        <i x="5" nd="1"/>
      </items>
    </tabular>
  </data>
</slicerCacheDefinition>
</file>

<file path=xl/slicerCaches/slicerCache7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Apparatus3" xr10:uid="{6474D998-6AEE-46A0-A5B2-3886AB8E687F}" sourceName="Apparatus">
  <pivotTables>
    <pivotTable tabId="3" name="Tabela przestawna6"/>
  </pivotTables>
  <data>
    <tabular pivotCacheId="2110073000">
      <items count="7">
        <i x="0" s="1"/>
        <i x="5" s="1"/>
        <i x="4" s="1"/>
        <i x="1" s="1"/>
        <i x="2" s="1"/>
        <i x="3" s="1"/>
        <i x="6" nd="1"/>
      </items>
    </tabular>
  </data>
</slicerCacheDefinition>
</file>

<file path=xl/slicerCaches/slicerCache8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Fragmentator_Score_Type3" xr10:uid="{A5AF0887-2477-4AD1-BF5E-6C8A5D263A16}" sourceName="Score Type ">
  <pivotTables>
    <pivotTable tabId="3" name="Tabela przestawna6"/>
  </pivotTables>
  <data>
    <tabular pivotCacheId="2110073000">
      <items count="6">
        <i x="0" s="1"/>
        <i x="1"/>
        <i x="2"/>
        <i x="3" nd="1"/>
        <i x="4" nd="1"/>
        <i x="5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pparatus" xr10:uid="{894C2AE5-8797-4D12-89D6-583B4EED3FFA}" cache="Fragmentator_Apparatus" caption="Apparatus" style="SlicerStyleLight1 2" rowHeight="792000"/>
  <slicer name="Score Type " xr10:uid="{CBA919E5-C793-454D-831C-19A129671428}" cache="Fragmentator_Score_Type" caption="Score Type " columnCount="6" style="SlicerStyleLight2 2" rowHeight="2880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pparatus 1" xr10:uid="{2BA485BF-E8C3-4D1A-A6AC-B0DC81A98013}" cache="Fragmentator_Apparatus1" caption="Apparatus" rowHeight="684000"/>
  <slicer name="Score Type  1" xr10:uid="{E6F1E5C5-335D-4AC4-964B-189CE8A7031D}" cache="Fragmentator_Score_Type1" caption="Score Type " columnCount="6" style="SlicerStyleLight2 2" rowHeight="257175"/>
</slicers>
</file>

<file path=xl/slicers/slicer3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pparatus 2" xr10:uid="{A784F055-C212-4C3C-96D8-FA546D772D11}" cache="Fragmentator_Apparatus2" caption="Apparatus" style="SlicerStyleLight1 2" rowHeight="972000"/>
  <slicer name="Score Type  2" xr10:uid="{08BA7665-86F2-4A30-838A-155F83FFA978}" cache="Fragmentator_Score_Type2" caption="Score Type " columnCount="6" style="SlicerStyleLight2 2" rowHeight="257175"/>
</slicers>
</file>

<file path=xl/slicers/slicer4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Apparatus 3" xr10:uid="{AC55C272-ACF3-4C6C-8058-5A5939515721}" cache="Fragmentator_Apparatus3" caption="Apparatus" rowHeight="900000"/>
  <slicer name="Score Type  3" xr10:uid="{A6DDA8D1-1503-40DB-8A87-B1C25E872FED}" cache="Fragmentator_Score_Type3" caption="Score Type " columnCount="6" style="SlicerStyleLight2 2" rowHeight="257175"/>
</slicers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10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1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_rels/table1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9.xml"/></Relationships>
</file>

<file path=xl/tables/_rels/table1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0.xml"/></Relationships>
</file>

<file path=xl/tables/_rels/table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1.xml"/></Relationships>
</file>

<file path=xl/tables/_rels/table19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2.xml"/></Relationships>
</file>

<file path=xl/tables/_rels/table2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3.xml"/></Relationships>
</file>

<file path=xl/tables/_rels/table2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4.xml"/></Relationships>
</file>

<file path=xl/tables/_rels/table2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5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30131D2C-3D19-4F44-9CFC-F4AFE1E4E819}" name="Bydgoszcz_result" displayName="Bydgoszcz_result" ref="A1:AB33" tableType="queryTable" totalsRowShown="0" headerRowDxfId="770" dataDxfId="769">
  <autoFilter ref="A1:AB33" xr:uid="{30131D2C-3D19-4F44-9CFC-F4AFE1E4E819}"/>
  <sortState xmlns:xlrd2="http://schemas.microsoft.com/office/spreadsheetml/2017/richdata2" ref="A2:AB33">
    <sortCondition descending="1" ref="C1:C33"/>
  </sortState>
  <tableColumns count="28">
    <tableColumn id="1" xr3:uid="{41C88D74-E43B-F34C-844E-5DE81A4BEA4C}" uniqueName="1" name="Rk" queryTableFieldId="1" dataDxfId="768"/>
    <tableColumn id="2" xr3:uid="{F4D3E432-82AF-D747-9DBD-C69AC83E4B67}" uniqueName="2" name="Name" queryTableFieldId="2" dataDxfId="767"/>
    <tableColumn id="3" xr3:uid="{05F792FB-A9D2-3A49-9D71-3988C1B35229}" uniqueName="3" name="Category" queryTableFieldId="3" dataDxfId="766"/>
    <tableColumn id="4" xr3:uid="{BBB80B46-ACAA-A24F-9465-3BAA3B229503}" uniqueName="4" name="Birth_year" queryTableFieldId="4" dataDxfId="765"/>
    <tableColumn id="5" xr3:uid="{A1E923F8-9748-334F-B20A-5B34AC110E0A}" uniqueName="5" name="License_number" queryTableFieldId="5" dataDxfId="764"/>
    <tableColumn id="6" xr3:uid="{FC19ACCC-4D6B-924A-B348-BF3863EB05F2}" uniqueName="6" name="Club" queryTableFieldId="6" dataDxfId="763"/>
    <tableColumn id="30" xr3:uid="{87CD066C-FE53-4EF4-914C-F4231D9823BF}" uniqueName="30" name="All Around" queryTableFieldId="29" dataDxfId="762"/>
    <tableColumn id="7" xr3:uid="{4ABF21B8-A897-B840-B1B8-5B905322EA1E}" uniqueName="7" name="FX_Dscore" queryTableFieldId="7" dataDxfId="761"/>
    <tableColumn id="8" xr3:uid="{60EB3A7D-B5C0-7A4D-91B9-240802617D00}" uniqueName="8" name="FX_Escore" queryTableFieldId="8" dataDxfId="760"/>
    <tableColumn id="9" xr3:uid="{E1CACB9A-C8DC-424B-B740-14097C894C3D}" uniqueName="9" name="FX_Total_Score" queryTableFieldId="9" dataDxfId="759"/>
    <tableColumn id="10" xr3:uid="{99611A33-A774-E147-A4E2-658BC5EA9C61}" uniqueName="10" name="PH_Dscore" queryTableFieldId="10" dataDxfId="758"/>
    <tableColumn id="11" xr3:uid="{DCBCA2E9-2231-5741-AADB-1CBFF0AE71A6}" uniqueName="11" name="PH_Escore" queryTableFieldId="11" dataDxfId="757"/>
    <tableColumn id="12" xr3:uid="{839C73BA-57D6-BD43-A42A-14057E095F73}" uniqueName="12" name="PH_Total_Score" queryTableFieldId="12" dataDxfId="756"/>
    <tableColumn id="13" xr3:uid="{F15A8A58-0947-C24E-9DA2-34FA30D97433}" uniqueName="13" name="SR_Dscore" queryTableFieldId="13" dataDxfId="755"/>
    <tableColumn id="14" xr3:uid="{472EA0DB-D257-7B4A-B54D-01384C221220}" uniqueName="14" name="SR_Escore" queryTableFieldId="14" dataDxfId="754"/>
    <tableColumn id="15" xr3:uid="{20CAD5F7-8029-C045-ADE8-D958AB9A94F8}" uniqueName="15" name="SR_Total_Score" queryTableFieldId="15" dataDxfId="753"/>
    <tableColumn id="16" xr3:uid="{68E044EF-5837-D84D-8039-58975609E349}" uniqueName="16" name="VT_Dscore" queryTableFieldId="16" dataDxfId="752"/>
    <tableColumn id="17" xr3:uid="{D92132C1-D3E1-7B43-9437-B20544563BB8}" uniqueName="17" name="VT_Escore" queryTableFieldId="17" dataDxfId="751"/>
    <tableColumn id="18" xr3:uid="{6B413F48-D6F4-914B-A188-551370F5C748}" uniqueName="18" name="VT_total_score" queryTableFieldId="18" dataDxfId="750"/>
    <tableColumn id="19" xr3:uid="{F47816AC-380B-5145-8827-0BFDF571D0EE}" uniqueName="19" name="PB_Dscore" queryTableFieldId="19" dataDxfId="749"/>
    <tableColumn id="20" xr3:uid="{ECCDC5FC-0A7C-1E4C-8FE8-BA87F18F7A6E}" uniqueName="20" name="PB_Escore" queryTableFieldId="20" dataDxfId="748"/>
    <tableColumn id="21" xr3:uid="{1C5449E1-BFBC-7746-AEB1-0B8ADACCE01F}" uniqueName="21" name="PB_total_score" queryTableFieldId="21" dataDxfId="747"/>
    <tableColumn id="22" xr3:uid="{4A920431-7AD5-7942-B922-D2C96EB5FF85}" uniqueName="22" name="HB_Dscore" queryTableFieldId="22" dataDxfId="746"/>
    <tableColumn id="23" xr3:uid="{4A22EC94-7FDD-AB45-AC35-A1FEFD0D000D}" uniqueName="23" name="HB_Escore" queryTableFieldId="23" dataDxfId="745"/>
    <tableColumn id="24" xr3:uid="{A036480D-9622-9745-BC99-BE3F88F68AEE}" uniqueName="24" name="HB_total_score" queryTableFieldId="24" dataDxfId="744"/>
    <tableColumn id="28" xr3:uid="{A494DD3D-7576-47DC-B900-08BD1068CE16}" uniqueName="28" name="AA_Dscore" queryTableFieldId="28" dataDxfId="743">
      <calculatedColumnFormula>IF(Bydgoszcz_result[[#This Row],[All Around]]="Yes",SUM(H2,K2,N2,Q2,T2,W2),0)</calculatedColumnFormula>
    </tableColumn>
    <tableColumn id="27" xr3:uid="{4C3690A8-95A0-4067-9809-41CD2A611CF0}" uniqueName="27" name="AA_Escore" queryTableFieldId="27" dataDxfId="742">
      <calculatedColumnFormula>IF(Bydgoszcz_result[[#This Row],[All Around]]="Yes",SUM(I2,L2,O2,R2,U2,X2),0)</calculatedColumnFormula>
    </tableColumn>
    <tableColumn id="25" xr3:uid="{F3B93DAB-6BB7-9740-90D6-D9E3A5ABDCBD}" uniqueName="25" name="Total_Score" queryTableFieldId="25" dataDxfId="741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C378181-1BFC-48E4-A22A-7361A75E1DB1}" name="Bydgoszcz_calculation" displayName="Bydgoszcz_calculation" ref="A36:J50" totalsRowShown="0" headerRowDxfId="740" dataDxfId="739">
  <autoFilter ref="A36:J50" xr:uid="{2C378181-1BFC-48E4-A22A-7361A75E1DB1}"/>
  <sortState xmlns:xlrd2="http://schemas.microsoft.com/office/spreadsheetml/2017/richdata2" ref="A37:J50">
    <sortCondition ref="B36:B50"/>
  </sortState>
  <tableColumns count="10">
    <tableColumn id="1" xr3:uid="{186C9569-841E-4DAB-898B-2C229EA62E03}" name="Category" dataDxfId="738"/>
    <tableColumn id="2" xr3:uid="{3A857E3E-73D0-4AD0-88FE-CE022FAD2C3B}" name="Apparatus" dataDxfId="737"/>
    <tableColumn id="3" xr3:uid="{80E258D4-B64E-4084-90E4-28864D4B7083}" name="AVG D Score" dataDxfId="736"/>
    <tableColumn id="4" xr3:uid="{3FF50968-D373-47D1-9E55-701406F8C368}" name="SD D score" dataDxfId="735"/>
    <tableColumn id="5" xr3:uid="{48787071-94D9-4E04-8A7B-C360BC796ABD}" name="AVG Escore" dataDxfId="734"/>
    <tableColumn id="6" xr3:uid="{E31F4AFA-BF3B-4719-9942-51522355DEAE}" name="SD E score" dataDxfId="733"/>
    <tableColumn id="7" xr3:uid="{EB117FA3-5205-4174-8AEC-7F1D78CED2A4}" name="AVG Total Score" dataDxfId="732"/>
    <tableColumn id="8" xr3:uid="{D4542F8F-CCE8-464D-8D5F-6EF70E8ABD1B}" name="SD Total Score" dataDxfId="731"/>
    <tableColumn id="9" xr3:uid="{9746E983-EA1C-42CA-8DE2-71E3333E0BF4}" name="Top Score" dataDxfId="730"/>
    <tableColumn id="10" xr3:uid="{68B7E615-8863-4084-B113-5FBDD0E3823E}" name="Gymnasts" dataDxfId="729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F13AB15B-13D2-4F68-B9E2-581EBF9482EA}" name="Bydgoszcz_Pivoted" displayName="Bydgoszcz_Pivoted" ref="AN1:AV673" tableType="queryTable" totalsRowShown="0">
  <autoFilter ref="AN1:AV673" xr:uid="{F13AB15B-13D2-4F68-B9E2-581EBF9482EA}"/>
  <tableColumns count="9">
    <tableColumn id="1" xr3:uid="{998461CC-1A7D-4616-A7A9-FA93F713505B}" uniqueName="1" name="Name" queryTableFieldId="1" dataDxfId="728"/>
    <tableColumn id="2" xr3:uid="{CDA9F5DE-C422-4D33-8C7F-83E7ACB61037}" uniqueName="2" name="Category" queryTableFieldId="2" dataDxfId="727"/>
    <tableColumn id="3" xr3:uid="{FC4E8B92-FEA7-434D-AF86-44DEED2E0CED}" uniqueName="3" name="Birth_year" queryTableFieldId="3"/>
    <tableColumn id="4" xr3:uid="{0420EF9F-AA95-47D6-983E-6B7BE11D455C}" uniqueName="4" name="Club" queryTableFieldId="4" dataDxfId="726"/>
    <tableColumn id="5" xr3:uid="{8CE1C407-51E1-4395-BFFD-2D8F36E6C80D}" uniqueName="5" name="All Around" queryTableFieldId="5" dataDxfId="725"/>
    <tableColumn id="9" xr3:uid="{F317CE3E-984A-456A-A132-C8EEF9F93107}" uniqueName="9" name="Competition place" queryTableFieldId="9"/>
    <tableColumn id="8" xr3:uid="{5FBF7818-B65D-40C8-A6CE-F72B58E9A146}" uniqueName="8" name="Apparatus" queryTableFieldId="8" dataDxfId="724"/>
    <tableColumn id="6" xr3:uid="{5BD5A8BD-24DA-44A4-B55B-D9F7B83C90E0}" uniqueName="6" name="Score Type " queryTableFieldId="6" dataDxfId="723"/>
    <tableColumn id="7" xr3:uid="{7FA35288-5048-46B4-8682-5BF2173B8376}" uniqueName="7" name="Value" queryTableFieldId="7"/>
  </tableColumns>
  <tableStyleInfo name="TableStyleLight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6AA5FBF-EADD-2249-9227-510E9CAAA0D0}" name="Zabrze_result" displayName="Zabrze_result" ref="A1:AB38" tableType="queryTable" totalsRowShown="0" headerRowDxfId="722">
  <autoFilter ref="A1:AB38" xr:uid="{B6AA5FBF-EADD-2249-9227-510E9CAAA0D0}"/>
  <sortState xmlns:xlrd2="http://schemas.microsoft.com/office/spreadsheetml/2017/richdata2" ref="A2:AB38">
    <sortCondition descending="1" ref="C1:C38"/>
  </sortState>
  <tableColumns count="28">
    <tableColumn id="1" xr3:uid="{D97EA72A-EF47-2640-8072-A89F0CAE7884}" uniqueName="1" name="Rk" queryTableFieldId="1" dataDxfId="721"/>
    <tableColumn id="2" xr3:uid="{4D6ADFD1-545E-7F49-92BD-8A5BEC1C8195}" uniqueName="2" name="Name" queryTableFieldId="2" dataDxfId="720"/>
    <tableColumn id="3" xr3:uid="{8C7A6041-8648-D042-9027-E4DADE54A338}" uniqueName="3" name="Category" queryTableFieldId="3" dataDxfId="719"/>
    <tableColumn id="4" xr3:uid="{7FE72F44-F769-FF4E-B7C7-62F440E37FDE}" uniqueName="4" name="Birth_year" queryTableFieldId="4" dataDxfId="718"/>
    <tableColumn id="5" xr3:uid="{EC8A59E5-0EBC-1547-A828-8292F942C0AB}" uniqueName="5" name="License_number" queryTableFieldId="5" dataDxfId="717"/>
    <tableColumn id="6" xr3:uid="{E547453B-5A2E-B341-AB9E-166B7C6D3401}" uniqueName="6" name="Club" queryTableFieldId="6" dataDxfId="716"/>
    <tableColumn id="30" xr3:uid="{00C7C859-733B-4427-87CA-FB1A160FD482}" uniqueName="30" name="All Around" queryTableFieldId="30" dataDxfId="715">
      <calculatedColumnFormula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calculatedColumnFormula>
    </tableColumn>
    <tableColumn id="7" xr3:uid="{B65C1590-E4A1-9743-A0BB-21FEA1A51037}" uniqueName="7" name="FX_Dscore" queryTableFieldId="7" dataDxfId="714"/>
    <tableColumn id="8" xr3:uid="{B340D8F1-228B-284A-B1F2-DD9B87CC7DB2}" uniqueName="8" name="FX_Escore" queryTableFieldId="8" dataDxfId="713"/>
    <tableColumn id="9" xr3:uid="{D573B6A7-A73C-6948-8670-5C25148AE5BE}" uniqueName="9" name="FX_total_score" queryTableFieldId="9" dataDxfId="712"/>
    <tableColumn id="10" xr3:uid="{2D20754C-4A2C-7849-BF7B-9D227B383BDA}" uniqueName="10" name="PH_Dscore" queryTableFieldId="10" dataDxfId="711"/>
    <tableColumn id="11" xr3:uid="{E11DCF11-1D06-5C44-B767-E98FB121AEEA}" uniqueName="11" name="PH_Escore" queryTableFieldId="11" dataDxfId="710"/>
    <tableColumn id="12" xr3:uid="{D62A96FA-345A-4F43-8549-9676B05948A3}" uniqueName="12" name="PH_Total_Score" queryTableFieldId="12" dataDxfId="709"/>
    <tableColumn id="13" xr3:uid="{1DA60288-0CD2-6C45-B1C2-6D6826C7CB5A}" uniqueName="13" name="SR_Dscore" queryTableFieldId="13" dataDxfId="708"/>
    <tableColumn id="14" xr3:uid="{1E392F02-B88B-E24E-B419-8301197437F8}" uniqueName="14" name="SR_Escore" queryTableFieldId="14" dataDxfId="707"/>
    <tableColumn id="15" xr3:uid="{6F825AD1-E39E-E44B-B23B-8F64E00E7CD2}" uniqueName="15" name="SR_Total_Score" queryTableFieldId="15" dataDxfId="706"/>
    <tableColumn id="16" xr3:uid="{55000DB4-E5FB-6D4D-A1D2-0C43434B8C44}" uniqueName="16" name="VT_Dscore" queryTableFieldId="16" dataDxfId="705"/>
    <tableColumn id="17" xr3:uid="{AD1FB75B-79FF-024A-838F-43DF3E8BFDF7}" uniqueName="17" name="VT_Escore" queryTableFieldId="17" dataDxfId="704"/>
    <tableColumn id="18" xr3:uid="{924EF7B3-E068-F444-96EF-1444CA95638C}" uniqueName="18" name="VT_total_score" queryTableFieldId="18" dataDxfId="703"/>
    <tableColumn id="19" xr3:uid="{B6E7FE8D-A046-3048-83C1-FE2FB655C50C}" uniqueName="19" name="PB_Dscore" queryTableFieldId="19" dataDxfId="702"/>
    <tableColumn id="20" xr3:uid="{49AC68A6-E6E7-7C4B-8B46-8384EE5E3F39}" uniqueName="20" name="PB_Escore" queryTableFieldId="20" dataDxfId="701"/>
    <tableColumn id="21" xr3:uid="{B55D7462-5135-C84E-8127-87AB9B8A306B}" uniqueName="21" name="PB_total_score" queryTableFieldId="21" dataDxfId="700"/>
    <tableColumn id="22" xr3:uid="{04EA4746-8687-9C46-BE2E-6B708C12BEB5}" uniqueName="22" name="HB_Dscore" queryTableFieldId="22" dataDxfId="699"/>
    <tableColumn id="23" xr3:uid="{1050F0AA-7A4F-B345-96CA-8550E43B5B5F}" uniqueName="23" name="HB_Escore" queryTableFieldId="23" dataDxfId="698"/>
    <tableColumn id="24" xr3:uid="{67F1A074-FE19-F540-BD62-7FFDCB15479C}" uniqueName="24" name="HB_total_score" queryTableFieldId="24" dataDxfId="697"/>
    <tableColumn id="28" xr3:uid="{BEB1860A-7498-4139-BFFC-E58818E278F9}" uniqueName="28" name="AA_Dscore" queryTableFieldId="29" dataDxfId="696">
      <calculatedColumnFormula>IF(Zabrze_result[[#This Row],[All Around]]="Yes",SUM(H2,K2,N2,Q2,T2,W2),0)</calculatedColumnFormula>
    </tableColumn>
    <tableColumn id="29" xr3:uid="{BE696937-953A-46AF-8DA6-02009F56B6A5}" uniqueName="29" name="AA_Escore" queryTableFieldId="28" dataDxfId="695">
      <calculatedColumnFormula>IF(Zabrze_result[[#This Row],[All Around]]="Yes",SUM(I2,L2,O2,R2,U2,X2),0)</calculatedColumnFormula>
    </tableColumn>
    <tableColumn id="25" xr3:uid="{E8D593F8-785A-4F46-9428-D3007C8A4D21}" uniqueName="25" name="Total_Score" queryTableFieldId="25" dataDxfId="694"/>
  </tableColumns>
  <tableStyleInfo name="TableStyleLight8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083F0FA6-5A53-4E07-89E1-32E2E1014A98}" name="zabrze_calculation" displayName="zabrze_calculation" ref="A42:J56" totalsRowShown="0" headerRowDxfId="693" dataDxfId="692">
  <autoFilter ref="A42:J56" xr:uid="{083F0FA6-5A53-4E07-89E1-32E2E1014A98}"/>
  <sortState xmlns:xlrd2="http://schemas.microsoft.com/office/spreadsheetml/2017/richdata2" ref="A43:J56">
    <sortCondition descending="1" ref="A42:A56"/>
  </sortState>
  <tableColumns count="10">
    <tableColumn id="1" xr3:uid="{D2BB67A6-FD9D-49B3-A406-867DF7B3913D}" name="Category" dataDxfId="691"/>
    <tableColumn id="2" xr3:uid="{941763E5-D6CC-4D19-8CC9-27682D88A7F9}" name="Apparatus" dataDxfId="690"/>
    <tableColumn id="3" xr3:uid="{70F50FB7-3A9A-4F68-B2F9-8D83D229B0B5}" name="AVG D Score" dataDxfId="689"/>
    <tableColumn id="4" xr3:uid="{8E81EDEB-E953-4745-89AC-C8E8BD87773B}" name="SD D score" dataDxfId="688"/>
    <tableColumn id="5" xr3:uid="{5A082B5B-BAC7-45BB-9A85-BFC936D27825}" name="AVG Escore" dataDxfId="687"/>
    <tableColumn id="6" xr3:uid="{57E0E4A8-5828-4244-B2AB-E24051AA668B}" name="SD E score" dataDxfId="686"/>
    <tableColumn id="7" xr3:uid="{5D0F1C12-DC92-4AC2-B403-29553B4BE53C}" name="AVG Total Score" dataDxfId="685"/>
    <tableColumn id="8" xr3:uid="{9F26B60C-3B19-496C-AF63-4F2D0F36796B}" name="SD Total Score" dataDxfId="684"/>
    <tableColumn id="9" xr3:uid="{AFB5E849-47A5-46D8-92F7-6BA889034645}" name="Top Score" dataDxfId="683"/>
    <tableColumn id="10" xr3:uid="{586BDCAC-1EC6-4465-9C0B-E1B9F35B3ED0}" name="Gymnasts" dataDxfId="68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F86BFFBC-4B2D-4501-AB31-5947273496D5}" name="Zabrze_pivoted" displayName="Zabrze_pivoted" ref="AN1:AV778" tableType="queryTable" totalsRowShown="0">
  <autoFilter ref="AN1:AV778" xr:uid="{F86BFFBC-4B2D-4501-AB31-5947273496D5}"/>
  <tableColumns count="9">
    <tableColumn id="1" xr3:uid="{29FCFFE5-302E-4F12-AB86-C3F521DAA8DB}" uniqueName="1" name="Name" queryTableFieldId="1" dataDxfId="681"/>
    <tableColumn id="2" xr3:uid="{7FA0FA69-6830-460F-B999-D427C122A59F}" uniqueName="2" name="Category" queryTableFieldId="2" dataDxfId="680"/>
    <tableColumn id="3" xr3:uid="{60FF4E31-D5FD-48D1-A8F8-2F1F92EC8DF3}" uniqueName="3" name="Birth_year" queryTableFieldId="3"/>
    <tableColumn id="4" xr3:uid="{0E9498F6-72E9-4568-A30A-A3DADA64BD89}" uniqueName="4" name="Club" queryTableFieldId="4" dataDxfId="679"/>
    <tableColumn id="8" xr3:uid="{680F8C70-1893-48A7-B1A4-B84D5A3CF493}" uniqueName="8" name="Competition place" queryTableFieldId="8" dataDxfId="678"/>
    <tableColumn id="5" xr3:uid="{5220183B-D2F8-4D46-9318-65D94D205783}" uniqueName="5" name="All Around" queryTableFieldId="5" dataDxfId="677"/>
    <tableColumn id="9" xr3:uid="{C71F25F5-7055-43AD-A80B-7FA6F068829C}" uniqueName="9" name="Apparatus" queryTableFieldId="9" dataDxfId="676"/>
    <tableColumn id="6" xr3:uid="{3E2932C3-B750-45A9-A404-D2E13B76D725}" uniqueName="6" name="Score Type " queryTableFieldId="6" dataDxfId="675"/>
    <tableColumn id="7" xr3:uid="{EAF4E85F-3B21-4B81-A217-ABB2D0F1CEC8}" uniqueName="7" name="Value" queryTableFieldId="7"/>
  </tableColumns>
  <tableStyleInfo name="TableStyleLight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97EEB429-A9D2-6948-998F-11729AF670EF}" name="Cracow_result" displayName="Cracow_result" ref="A1:AB40" tableType="queryTable" totalsRowShown="0" headerRowDxfId="674">
  <autoFilter ref="A1:AB40" xr:uid="{97EEB429-A9D2-6948-998F-11729AF670EF}"/>
  <sortState xmlns:xlrd2="http://schemas.microsoft.com/office/spreadsheetml/2017/richdata2" ref="A2:AB40">
    <sortCondition descending="1" ref="C1:C40"/>
  </sortState>
  <tableColumns count="28">
    <tableColumn id="1" xr3:uid="{B9B14B59-E4D8-7F48-8B27-7F9393445B8B}" uniqueName="1" name="Rk" queryTableFieldId="1" dataDxfId="673"/>
    <tableColumn id="2" xr3:uid="{15E13D76-5B67-4E4C-852A-914AB4E08BFC}" uniqueName="2" name="Name" queryTableFieldId="2" dataDxfId="672"/>
    <tableColumn id="3" xr3:uid="{373E2809-6EE9-3242-B02E-667EC93E37F5}" uniqueName="3" name="Category" queryTableFieldId="3" dataDxfId="671"/>
    <tableColumn id="4" xr3:uid="{12F09014-CBD3-1346-AA11-6BBB83ED6A38}" uniqueName="4" name="Birth_year" queryTableFieldId="4" dataDxfId="670"/>
    <tableColumn id="5" xr3:uid="{D5247734-2FDF-B941-81D0-14F13246DD85}" uniqueName="5" name="License_number" queryTableFieldId="5" dataDxfId="669"/>
    <tableColumn id="6" xr3:uid="{1F26F55C-2C5F-2C41-A1F5-168980CED6E7}" uniqueName="6" name="Club" queryTableFieldId="6" dataDxfId="668"/>
    <tableColumn id="29" xr3:uid="{1DF87622-F6FA-4EB9-BEC3-16EDED335CCA}" uniqueName="29" name="All Around" queryTableFieldId="29" dataDxfId="667"/>
    <tableColumn id="7" xr3:uid="{A9059359-F449-BF48-9E18-678606BF7F76}" uniqueName="7" name="FX_Dscore" queryTableFieldId="7" dataDxfId="666"/>
    <tableColumn id="8" xr3:uid="{506E2BDF-82F2-3A48-9E6A-8D3DEDA751E9}" uniqueName="8" name="FX_Escore" queryTableFieldId="8" dataDxfId="665"/>
    <tableColumn id="9" xr3:uid="{0679EE3A-2FE1-604D-9DF5-D88143BD9807}" uniqueName="9" name="FX_total_score" queryTableFieldId="9" dataDxfId="664"/>
    <tableColumn id="10" xr3:uid="{54E6A4DE-7A0A-6744-9171-CC62D459B5B1}" uniqueName="10" name="PH_Dscore" queryTableFieldId="10" dataDxfId="663"/>
    <tableColumn id="11" xr3:uid="{0AEB978D-B772-F841-B479-04210048AFE6}" uniqueName="11" name="PH_Escore" queryTableFieldId="11" dataDxfId="662"/>
    <tableColumn id="12" xr3:uid="{1FF8202A-8307-0042-9DE7-FF4E4192CCEC}" uniqueName="12" name="PH_Total_Score" queryTableFieldId="12" dataDxfId="661"/>
    <tableColumn id="13" xr3:uid="{3EB4FCB2-079D-704D-B2F1-CD49727EF7A4}" uniqueName="13" name="SR_Dscore" queryTableFieldId="13" dataDxfId="660"/>
    <tableColumn id="14" xr3:uid="{D17C1CFE-1AD4-2249-92B5-76AC2D8776B8}" uniqueName="14" name="SR_Escore" queryTableFieldId="14" dataDxfId="659"/>
    <tableColumn id="15" xr3:uid="{96FD2CC8-3D97-E44A-A4F6-8F29DA74DF42}" uniqueName="15" name="SR_Total_Score" queryTableFieldId="15" dataDxfId="658"/>
    <tableColumn id="16" xr3:uid="{FE906BFC-60C4-0549-B6C2-2B3A38887396}" uniqueName="16" name="VT_Dscore" queryTableFieldId="16" dataDxfId="657"/>
    <tableColumn id="17" xr3:uid="{A32E3E4B-97C0-2542-8B26-A0E27B5F9298}" uniqueName="17" name="VT_Escore" queryTableFieldId="17" dataDxfId="656"/>
    <tableColumn id="18" xr3:uid="{8BC1FFCA-FF0B-0C4C-9D4E-622100AF9C42}" uniqueName="18" name="VT_total_score" queryTableFieldId="18" dataDxfId="655"/>
    <tableColumn id="19" xr3:uid="{CFEBCB64-F755-2D41-8482-5FC0F5DC4E0B}" uniqueName="19" name="PB_Dscore" queryTableFieldId="19" dataDxfId="654"/>
    <tableColumn id="20" xr3:uid="{242DF330-5F44-5E42-AE65-87779F7BD0A2}" uniqueName="20" name="PB_Escore" queryTableFieldId="20" dataDxfId="653"/>
    <tableColumn id="21" xr3:uid="{E1E6EFF6-9006-F241-910D-38A4D193420C}" uniqueName="21" name="PB_total_score" queryTableFieldId="21" dataDxfId="652"/>
    <tableColumn id="22" xr3:uid="{078D5425-B5A1-3549-AA14-969F84EF0BB1}" uniqueName="22" name="HB_Dscore" queryTableFieldId="22" dataDxfId="651"/>
    <tableColumn id="23" xr3:uid="{65B866A3-4D3C-BF43-844C-F3F374D6D260}" uniqueName="23" name="HB_Escore" queryTableFieldId="23" dataDxfId="650"/>
    <tableColumn id="24" xr3:uid="{CD254058-80C4-0C4E-935E-8E49B7BB3E12}" uniqueName="24" name="HB_total_score" queryTableFieldId="24" dataDxfId="649"/>
    <tableColumn id="27" xr3:uid="{2C1E0BC3-3FF9-468B-8349-7B46147DC5A0}" uniqueName="27" name="AA_Dscore" queryTableFieldId="28" dataDxfId="648">
      <calculatedColumnFormula>IF(Cracow_result[[#This Row],[All Around]]="Yes",SUM(H2,K2,N2,Q2,T2,W2),0)</calculatedColumnFormula>
    </tableColumn>
    <tableColumn id="28" xr3:uid="{CFFFC03A-4CEF-4DC7-90D3-AD5D1813FBAF}" uniqueName="28" name="AA_Escore" queryTableFieldId="27" dataDxfId="647">
      <calculatedColumnFormula>IF(Cracow_result[[#This Row],[All Around]]="Yes",SUM(I2,L2,O2,R2,U2,X2),0)</calculatedColumnFormula>
    </tableColumn>
    <tableColumn id="25" xr3:uid="{5388FCC5-6ECC-294B-BF83-1FA91D26C11B}" uniqueName="25" name="Total_Score" queryTableFieldId="25" dataDxfId="646"/>
  </tableColumns>
  <tableStyleInfo name="TableStyleLight8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EA889C6-95ED-4B87-8FA6-A8EB86350053}" name="Tabela15" displayName="Tabela15" ref="A43:J57" totalsRowShown="0" headerRowDxfId="645" dataDxfId="644">
  <autoFilter ref="A43:J57" xr:uid="{FEA889C6-95ED-4B87-8FA6-A8EB86350053}"/>
  <sortState xmlns:xlrd2="http://schemas.microsoft.com/office/spreadsheetml/2017/richdata2" ref="A44:J57">
    <sortCondition descending="1" ref="A43:A57"/>
  </sortState>
  <tableColumns count="10">
    <tableColumn id="1" xr3:uid="{7A7265EE-B0EC-4125-8D68-CE85DA592810}" name="Category" dataDxfId="643"/>
    <tableColumn id="2" xr3:uid="{E3A54752-6756-40D7-9166-E47C7EE001A0}" name="Apparatus" dataDxfId="642"/>
    <tableColumn id="3" xr3:uid="{63F9D75C-B776-4C0D-812C-8DF81AE00F5E}" name="AVG D Score" dataDxfId="641"/>
    <tableColumn id="4" xr3:uid="{D9B6D2B7-9EE4-4F12-B7E2-21BB07D27031}" name="SD D score" dataDxfId="640"/>
    <tableColumn id="5" xr3:uid="{15BFA616-66B3-42E7-9F97-729042D160F6}" name="AVG Escore" dataDxfId="639"/>
    <tableColumn id="6" xr3:uid="{FB793D35-E1E6-46F3-8A4C-6FDD91365969}" name="SD E score" dataDxfId="638"/>
    <tableColumn id="7" xr3:uid="{42024C39-53CF-40A8-8F07-9F829256621A}" name="AVG Total Score" dataDxfId="637"/>
    <tableColumn id="8" xr3:uid="{5DC77115-C99D-4897-BFCB-E7B46B3B03D4}" name="SD Total Score" dataDxfId="636"/>
    <tableColumn id="9" xr3:uid="{454B198B-ADCC-4F58-8A80-82044E1E8B99}" name="Top Score" dataDxfId="635"/>
    <tableColumn id="10" xr3:uid="{FCDD2AF4-5857-4DBD-A7B0-90D7841C93FE}" name="Gymnasts" dataDxfId="634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51844728-80B1-4243-86B8-25B79B79A5E2}" name="Cracow_Pivoted" displayName="Cracow_Pivoted" ref="AN1:AV820" tableType="queryTable" totalsRowShown="0">
  <autoFilter ref="AN1:AV820" xr:uid="{51844728-80B1-4243-86B8-25B79B79A5E2}"/>
  <tableColumns count="9">
    <tableColumn id="1" xr3:uid="{793DE1C0-76CB-42D2-B670-AE4CC193AC8F}" uniqueName="1" name="Name" queryTableFieldId="1" dataDxfId="633"/>
    <tableColumn id="2" xr3:uid="{85B79C81-70B1-4118-B509-B90D1DCFB47C}" uniqueName="2" name="Category" queryTableFieldId="2" dataDxfId="632"/>
    <tableColumn id="3" xr3:uid="{EC201E8D-05A1-4F5E-9C2D-4D1E848EC6AE}" uniqueName="3" name="Birth_year" queryTableFieldId="3"/>
    <tableColumn id="4" xr3:uid="{6BA7903F-2C04-4E39-9888-414FF36FFA19}" uniqueName="4" name="Club" queryTableFieldId="4" dataDxfId="631"/>
    <tableColumn id="9" xr3:uid="{77C0E339-F81F-4B80-BBE5-55A1876ED14B}" uniqueName="9" name="Competition place" queryTableFieldId="9"/>
    <tableColumn id="5" xr3:uid="{6A1B5808-7543-406C-AA59-FB0445AA6A45}" uniqueName="5" name="All Around" queryTableFieldId="5" dataDxfId="630"/>
    <tableColumn id="8" xr3:uid="{7484B12B-814D-49FB-B055-8DBE5AA935C7}" uniqueName="8" name="Apparatus" queryTableFieldId="8" dataDxfId="629"/>
    <tableColumn id="6" xr3:uid="{A99C0E7C-3FB7-4C08-AAFB-FE2F3AC18949}" uniqueName="6" name="Score Type " queryTableFieldId="6" dataDxfId="628"/>
    <tableColumn id="7" xr3:uid="{22CAE0B3-E050-4A67-A7F2-FD06B062E8BD}" uniqueName="7" name="Value" queryTableFieldId="7"/>
  </tableColumns>
  <tableStyleInfo name="TableStyleLight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A9B9E4A4-87F3-254B-AB43-648B5A9F461C}" name="Gdansk_result" displayName="Gdansk_result" ref="A1:AB34" tableType="queryTable" headerRowDxfId="627" dataDxfId="626">
  <autoFilter ref="A1:AB34" xr:uid="{A9B9E4A4-87F3-254B-AB43-648B5A9F461C}"/>
  <sortState xmlns:xlrd2="http://schemas.microsoft.com/office/spreadsheetml/2017/richdata2" ref="A2:AB34">
    <sortCondition descending="1" ref="C1:C34"/>
  </sortState>
  <tableColumns count="28">
    <tableColumn id="1" xr3:uid="{566EBF33-A418-9146-9F0C-E3E0769EAD5C}" uniqueName="1" name="Rk" totalsRowLabel="Suma" queryTableFieldId="1" dataDxfId="625"/>
    <tableColumn id="2" xr3:uid="{B33BE356-DE22-2341-B2B0-A0364D4AB32F}" uniqueName="2" name="Name" queryTableFieldId="2" dataDxfId="624"/>
    <tableColumn id="3" xr3:uid="{2CFDB337-D95A-3147-8F05-03A38EE790B4}" uniqueName="3" name="Category" queryTableFieldId="3" dataDxfId="623"/>
    <tableColumn id="4" xr3:uid="{5E1AE756-0C86-6541-BD3C-B920E07BFFD3}" uniqueName="4" name="Birth_year" queryTableFieldId="4" dataDxfId="622"/>
    <tableColumn id="5" xr3:uid="{32D2F600-4128-3942-85BF-AD8F03798E04}" uniqueName="5" name="License_number" queryTableFieldId="5" dataDxfId="621"/>
    <tableColumn id="6" xr3:uid="{8A5FD3CD-DE10-E046-91B6-4898D040CA41}" uniqueName="6" name="Club" queryTableFieldId="6" dataDxfId="620"/>
    <tableColumn id="29" xr3:uid="{ACEDED59-CDC5-4F90-ABF5-AA43AF4A9DA8}" uniqueName="29" name="All Around" queryTableFieldId="29" dataDxfId="619"/>
    <tableColumn id="7" xr3:uid="{87DBE679-67A9-714C-9B9D-76CFD2B935D9}" uniqueName="7" name="FX_Dscore" queryTableFieldId="7" dataDxfId="618"/>
    <tableColumn id="8" xr3:uid="{FB6C41DB-47C2-8F44-8C29-89EB6DB7582C}" uniqueName="8" name="FX_Escore" queryTableFieldId="8" dataDxfId="617"/>
    <tableColumn id="9" xr3:uid="{09A5C288-302B-1A4D-96CF-AFAEA1695DED}" uniqueName="9" name="FX_total_score" queryTableFieldId="9" dataDxfId="616"/>
    <tableColumn id="10" xr3:uid="{BC3B7ABA-CD58-B940-9772-6584E8F8208C}" uniqueName="10" name="PH_Dscore" queryTableFieldId="10" dataDxfId="615"/>
    <tableColumn id="11" xr3:uid="{204ABB3C-6103-FF4D-A2FE-3296AACFD09A}" uniqueName="11" name="PH_Escore" queryTableFieldId="11" dataDxfId="614"/>
    <tableColumn id="12" xr3:uid="{A90E1BD1-3545-8642-985E-EE79B2E85E35}" uniqueName="12" name="PH_Total_Score" queryTableFieldId="12" dataDxfId="613"/>
    <tableColumn id="13" xr3:uid="{571E6B19-9386-4044-BC22-A563CB3BF7CD}" uniqueName="13" name="SR_Dscore" queryTableFieldId="13" dataDxfId="612"/>
    <tableColumn id="14" xr3:uid="{B7114A4C-79E8-414F-B838-9E122B8BE1A1}" uniqueName="14" name="SR_Escore" queryTableFieldId="14" dataDxfId="611"/>
    <tableColumn id="15" xr3:uid="{DE854385-F0E4-F54C-B28D-52EC503150E2}" uniqueName="15" name="SR_Total_Score" queryTableFieldId="15" dataDxfId="610"/>
    <tableColumn id="16" xr3:uid="{040105E6-A7CE-EA4E-BF9F-2FD729314B2F}" uniqueName="16" name="VT_Dscore" queryTableFieldId="16" dataDxfId="609"/>
    <tableColumn id="17" xr3:uid="{80701624-322E-0D42-AD4A-1F3E859B63C3}" uniqueName="17" name="VT_Escore" queryTableFieldId="17" dataDxfId="608"/>
    <tableColumn id="18" xr3:uid="{398571B9-B4BA-5C4A-A30F-AE3CFFAA8EC7}" uniqueName="18" name="VT_total_score" queryTableFieldId="18" dataDxfId="607"/>
    <tableColumn id="19" xr3:uid="{D2A46B98-9014-4A4F-A8A5-715E813BC586}" uniqueName="19" name="PB_Dscore" queryTableFieldId="19" dataDxfId="606"/>
    <tableColumn id="20" xr3:uid="{1F6B6B0C-A090-6F41-AD1E-79DDF1D4A8E0}" uniqueName="20" name="PB_Escore" queryTableFieldId="20" dataDxfId="605"/>
    <tableColumn id="21" xr3:uid="{A8BEAD0A-624C-8042-96C8-25DE11B79531}" uniqueName="21" name="PB_total_score" queryTableFieldId="21" dataDxfId="604"/>
    <tableColumn id="22" xr3:uid="{61EF7A91-4115-BE46-954F-A485F5DDD925}" uniqueName="22" name="HB_Dscore" queryTableFieldId="22" dataDxfId="603"/>
    <tableColumn id="23" xr3:uid="{23CDB0E4-5D29-2A45-9664-7FE5B05E50F2}" uniqueName="23" name="HB_Escore" queryTableFieldId="23" dataDxfId="602"/>
    <tableColumn id="24" xr3:uid="{E127086E-A80B-A34D-BA92-ABD31A087CEB}" uniqueName="24" name="HB_total_score" queryTableFieldId="24" dataDxfId="601"/>
    <tableColumn id="27" xr3:uid="{241AEEDF-DA1E-4529-A10D-4C27F3BF8178}" uniqueName="27" name="AA_Dscore" queryTableFieldId="28" dataDxfId="600">
      <calculatedColumnFormula>IF(Gdansk_result[[#This Row],[All Around]]="Yes",SUM(H2,K2,N2,Q2,T2,W2),0)</calculatedColumnFormula>
    </tableColumn>
    <tableColumn id="28" xr3:uid="{56E94EDC-3D30-44C7-908B-75E8707E927B}" uniqueName="28" name="AA_Escore" queryTableFieldId="27" dataDxfId="599">
      <calculatedColumnFormula>IF(Gdansk_result[[#This Row],[All Around]]="Yes",SUM(I2,L2,O2,R2,U2,X2),0)</calculatedColumnFormula>
    </tableColumn>
    <tableColumn id="25" xr3:uid="{3BD88BE0-BD5A-504B-9B21-7523009382BF}" uniqueName="25" name="Total_Score" totalsRowFunction="sum" queryTableFieldId="25" dataDxfId="598"/>
  </tableColumns>
  <tableStyleInfo name="TableStyleLight8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BA2E6E5-609D-4784-912F-EAFB7C2F009A}" name="Tabela16" displayName="Tabela16" ref="A37:J51" totalsRowShown="0" headerRowDxfId="597" dataDxfId="596">
  <autoFilter ref="A37:J51" xr:uid="{ABA2E6E5-609D-4784-912F-EAFB7C2F009A}"/>
  <sortState xmlns:xlrd2="http://schemas.microsoft.com/office/spreadsheetml/2017/richdata2" ref="A38:J51">
    <sortCondition descending="1" ref="A37:A51"/>
  </sortState>
  <tableColumns count="10">
    <tableColumn id="1" xr3:uid="{C7864D9A-A229-4A31-A702-1589217B5C9B}" name="Category" dataDxfId="595"/>
    <tableColumn id="2" xr3:uid="{633408B5-7D75-4905-8B02-507E9C3F3F64}" name="Apparatus" dataDxfId="594"/>
    <tableColumn id="3" xr3:uid="{304840D9-9292-487D-9232-263E7956CF09}" name="AVG D Score" dataDxfId="593"/>
    <tableColumn id="4" xr3:uid="{F38558BE-6600-429F-9617-CF13BFE6E303}" name="SD D score" dataDxfId="592"/>
    <tableColumn id="5" xr3:uid="{C5D03980-853E-4C2C-85A0-7BC125D56C72}" name="AVG Escore" dataDxfId="591"/>
    <tableColumn id="6" xr3:uid="{55C40660-7935-49A0-82FD-1909DA603134}" name="SD E score" dataDxfId="590"/>
    <tableColumn id="7" xr3:uid="{D7885AE8-3CF9-47F8-8FD9-F22DF180654B}" name="AVG Total Score" dataDxfId="589"/>
    <tableColumn id="8" xr3:uid="{9BB97D02-DD15-4A5B-90D4-C5CE940051A4}" name="SD Total Score" dataDxfId="588"/>
    <tableColumn id="9" xr3:uid="{9216ABC2-67E6-4DB9-9EF0-E348695D4562}" name="Top Score" dataDxfId="587"/>
    <tableColumn id="10" xr3:uid="{01EDB44A-063F-49AF-BA60-94A168D743E1}" name="Gymnasts" dataDxfId="586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043C7AAA-A34C-452D-8F4C-BDACAEAE801D}" name="Gdansk_result__2" displayName="Gdansk_result__2" ref="AN1:AV694" tableType="queryTable" totalsRowShown="0">
  <autoFilter ref="AN1:AV694" xr:uid="{043C7AAA-A34C-452D-8F4C-BDACAEAE801D}"/>
  <tableColumns count="9">
    <tableColumn id="1" xr3:uid="{B8951626-9E2F-40EB-99B4-D3EACF43BAB0}" uniqueName="1" name="Name" queryTableFieldId="1" dataDxfId="585"/>
    <tableColumn id="2" xr3:uid="{242F1755-D027-4FA4-BD05-41E4855EE7B5}" uniqueName="2" name="Category" queryTableFieldId="2" dataDxfId="584"/>
    <tableColumn id="3" xr3:uid="{3616665E-39AF-4DFC-9548-66A545769AA7}" uniqueName="3" name="Birth_year" queryTableFieldId="3"/>
    <tableColumn id="4" xr3:uid="{7C73A3C3-E0BD-4A46-9373-350731B76DB3}" uniqueName="4" name="Club" queryTableFieldId="4" dataDxfId="583"/>
    <tableColumn id="5" xr3:uid="{081953FD-D92E-4248-89A9-1A3E6E439F61}" uniqueName="5" name="All Around" queryTableFieldId="5" dataDxfId="582"/>
    <tableColumn id="9" xr3:uid="{7A68A739-12E3-4178-BEE4-3155CAE96757}" uniqueName="9" name="Competition place" queryTableFieldId="9"/>
    <tableColumn id="8" xr3:uid="{50162CA2-1793-4C92-8768-6572C7DBE35C}" uniqueName="8" name="Apparatus" queryTableFieldId="8" dataDxfId="581"/>
    <tableColumn id="6" xr3:uid="{302BD222-8A5C-42D7-880F-B1C197BA9E8E}" uniqueName="6" name="Score Type " queryTableFieldId="6" dataDxfId="580"/>
    <tableColumn id="7" xr3:uid="{8B585802-080F-4183-BA5E-DC99B97B1CFE}" uniqueName="7" name="Value" queryTableFieldId="7"/>
  </tableColumns>
  <tableStyleInfo name="TableStyleLight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8CB7C11-8ED0-B54B-8DC4-AF36FCBF5E5D}" name="FX" displayName="FX" ref="A1:W47" tableType="queryTable" totalsRowShown="0" headerRowDxfId="579">
  <autoFilter ref="A1:W47" xr:uid="{C8CB7C11-8ED0-B54B-8DC4-AF36FCBF5E5D}"/>
  <sortState xmlns:xlrd2="http://schemas.microsoft.com/office/spreadsheetml/2017/richdata2" ref="A2:W25">
    <sortCondition descending="1" ref="T1:T47"/>
  </sortState>
  <tableColumns count="23">
    <tableColumn id="1" xr3:uid="{9AF45B17-49E5-4648-AFA4-D4E2F1456175}" uniqueName="1" name="Name" queryTableFieldId="1" dataDxfId="578"/>
    <tableColumn id="2" xr3:uid="{D4C7DD7F-8CAD-8E4B-B7F4-45435A397D13}" uniqueName="2" name="Category" queryTableFieldId="2" dataDxfId="577"/>
    <tableColumn id="3" xr3:uid="{951809E0-EA63-504B-9E87-7D1FDA722B45}" uniqueName="3" name="License_number" queryTableFieldId="3" dataDxfId="576"/>
    <tableColumn id="4" xr3:uid="{2EA5D9CA-54E7-BE49-A565-998DB5CB45A1}" uniqueName="4" name="Club" queryTableFieldId="4" dataDxfId="575"/>
    <tableColumn id="20" xr3:uid="{A0D7BC17-2227-4B86-AAB4-7EF68867C4ED}" uniqueName="20" name="Number_of_competition" queryTableFieldId="20" dataDxfId="574">
      <calculatedColumnFormula>COUNTIF(FX[[#This Row],[bydgoszcz_FX_Total_Score]],"&gt;0")+COUNTIF(FX[[#This Row],[zabrze_FX_Total_Score]],"&gt;0")+COUNTIF(FX[[#This Row],[cracow_FX_Total_Score]],"&gt;0")+COUNTIF(FX[[#This Row],[gdansk_FX_Total_Score]],"&gt;0")</calculatedColumnFormula>
    </tableColumn>
    <tableColumn id="5" xr3:uid="{B6945FE9-7906-FF48-8664-154C06A5E689}" uniqueName="5" name="bydgoszcz_FX_Dscore" queryTableFieldId="5" dataDxfId="573"/>
    <tableColumn id="6" xr3:uid="{806F8663-C6C2-9048-B19C-ABD67E1C86B5}" uniqueName="6" name="bydgoszcz_FX_Escore" queryTableFieldId="6" dataDxfId="572"/>
    <tableColumn id="7" xr3:uid="{D95F07AA-26F5-AC49-B335-E2162E7ED783}" uniqueName="7" name="bydgoszcz_FX_Total_Score" queryTableFieldId="7" dataDxfId="571"/>
    <tableColumn id="8" xr3:uid="{4AAE22CA-C8A2-204E-91E7-A45C483847EA}" uniqueName="8" name="zabrze_FX_Dscore" queryTableFieldId="8" dataDxfId="570"/>
    <tableColumn id="9" xr3:uid="{ED85FCCA-36D8-5E43-83B7-E2946B2938D0}" uniqueName="9" name="zabrze_FX_Escore" queryTableFieldId="9" dataDxfId="569"/>
    <tableColumn id="10" xr3:uid="{43B85B3E-AD84-184D-A8BE-7C866C1EE131}" uniqueName="10" name="zabrze_FX_Total_Score" queryTableFieldId="10" dataDxfId="568"/>
    <tableColumn id="11" xr3:uid="{2FA5A41C-1E78-5B4F-9E5C-D2BB435D8B27}" uniqueName="11" name="cracow_FX_Dscore" queryTableFieldId="11" dataDxfId="567"/>
    <tableColumn id="12" xr3:uid="{0A724EA0-590B-274A-9216-8524882FFE47}" uniqueName="12" name="cracow_FX_Escore" queryTableFieldId="12" dataDxfId="566"/>
    <tableColumn id="13" xr3:uid="{73258F73-F532-4246-AEE3-7B5CD76B4A79}" uniqueName="13" name="cracow_FX_Total_Score" queryTableFieldId="13" dataDxfId="565"/>
    <tableColumn id="14" xr3:uid="{B3842699-63BD-6D41-A40A-E5AE3E167E32}" uniqueName="14" name="gdansk_FX_Dscore" queryTableFieldId="14" dataDxfId="564"/>
    <tableColumn id="15" xr3:uid="{F80BDCF6-84BD-4A41-990F-C144044A7B7B}" uniqueName="15" name="gdansk_FX_Escore" queryTableFieldId="15" dataDxfId="563"/>
    <tableColumn id="16" xr3:uid="{CD6FE0C2-8932-2542-99D0-48C69A1795E5}" uniqueName="16" name="gdansk_FX_Total_Score" queryTableFieldId="16" dataDxfId="562"/>
    <tableColumn id="17" xr3:uid="{DE1FED81-DF40-4D70-ABDD-DD6463D07BBC}" uniqueName="17" name="Year_Dscore" queryTableFieldId="17" dataDxfId="561">
      <calculatedColumnFormula>LARGE(CHOOSE({1;2;3;4},F2,I2,L2,O2),1)+LARGE(CHOOSE({1;2;3;4},F2,I2,L2,O2),2)+LARGE(CHOOSE({1;2;3;4},F2,I2,L2,O2),3)</calculatedColumnFormula>
    </tableColumn>
    <tableColumn id="18" xr3:uid="{893A1A77-8CEA-42BF-8A67-5686BC5DD23A}" uniqueName="18" name="Year_Escore" queryTableFieldId="18" dataDxfId="560">
      <calculatedColumnFormula>LARGE(CHOOSE({1;2;3;4},G2,J2,M2,P2),1)+LARGE(CHOOSE({1;2;3;4},G2,J2,M2,P2),2)+LARGE(CHOOSE({1;2;3;4},G2,J2,M2,P2),3)</calculatedColumnFormula>
    </tableColumn>
    <tableColumn id="19" xr3:uid="{5FBBF493-EB3A-4FD5-A1B8-94A84BA041D9}" uniqueName="19" name="Year_Total_Score" queryTableFieldId="19" dataDxfId="559">
      <calculatedColumnFormula>LARGE(CHOOSE({1;2;3;4},H2,K2,N2,Q2),1)+LARGE(CHOOSE({1;2;3;4},H2,K2,N2,Q2),2)+LARGE(CHOOSE({1;2;3;4},H2,K2,N2,Q2),3)</calculatedColumnFormula>
    </tableColumn>
    <tableColumn id="21" xr3:uid="{BFF58C27-B7F0-4995-B238-D4720664B545}" uniqueName="21" name="AVG_Dscore" queryTableFieldId="21" dataDxfId="558">
      <calculatedColumnFormula array="1">IF(FX[[#This Row],[Number_of_competition]:[Number_of_competition]]&gt;=3,(LARGE(CHOOSE({1;2;3;4},F2,I2,L2,O2),1)+LARGE(CHOOSE({1;2;3;4},F2,I2,L2,O2),2)+LARGE(CHOOSE({1;2;3;4},F2,I2,L2,O2),3))/3,0)</calculatedColumnFormula>
    </tableColumn>
    <tableColumn id="22" xr3:uid="{9DAC7CE4-5411-445A-B48E-CA07373100E3}" uniqueName="22" name="AVG_Escore" queryTableFieldId="22" dataDxfId="557">
      <calculatedColumnFormula array="1">IF(FX[[#This Row],[Number_of_competition]:[Number_of_competition]]&gt;=3,(LARGE(CHOOSE({1;2;3;4},G2,J2,M2,P2),1)+LARGE(CHOOSE({1;2;3;4},G2,J2,M2,P2),2)+LARGE(CHOOSE({1;2;3;4},G2,J2,M2,P2),3))/3,0)</calculatedColumnFormula>
    </tableColumn>
    <tableColumn id="23" xr3:uid="{3A9374AF-5D2A-4518-9162-2A6E425F7EA0}" uniqueName="23" name="AVG_Total_Score" queryTableFieldId="23" dataDxfId="556">
      <calculatedColumnFormula array="1">IF(FX[[#This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EDEF1D84-AF5A-4DE8-9FC7-40B0E21F7E5C}" name="FX_Calculation" displayName="FX_Calculation" ref="A50:F62" totalsRowShown="0" headerRowDxfId="555" dataDxfId="554">
  <autoFilter ref="A50:F62" xr:uid="{EDEF1D84-AF5A-4DE8-9FC7-40B0E21F7E5C}"/>
  <sortState xmlns:xlrd2="http://schemas.microsoft.com/office/spreadsheetml/2017/richdata2" ref="A51:F62">
    <sortCondition descending="1" ref="A50:A62"/>
  </sortState>
  <tableColumns count="6">
    <tableColumn id="1" xr3:uid="{F147D65A-5DB3-4F9F-9729-DB66254E78A9}" name="Category" dataDxfId="553"/>
    <tableColumn id="2" xr3:uid="{27F9F717-FD32-45FA-8C96-28172E890D5D}" name="Score Type" dataDxfId="552"/>
    <tableColumn id="3" xr3:uid="{C98C6F33-6923-4A54-97B9-1A53E2808D0F}" name="AVG Score" dataDxfId="551"/>
    <tableColumn id="4" xr3:uid="{9D1800F4-AA13-45E7-A87B-42FE8B1732F2}" name="SD" dataDxfId="550"/>
    <tableColumn id="5" xr3:uid="{8AC78F63-8142-43F2-AAF4-0E23E0D9C85C}" name="Top" dataDxfId="549"/>
    <tableColumn id="6" xr3:uid="{A9CD226E-CCEA-4F5A-9D9D-1574D874D07B}" name="Gymnasts" dataDxfId="548"/>
  </tableColumns>
  <tableStyleInfo name="TableStyleMedium1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FFC2F5A5-6876-B744-A30F-1F4F60CA11F3}" name="PH" displayName="PH" ref="A1:W44" tableType="queryTable" totalsRowShown="0" headerRowDxfId="547">
  <autoFilter ref="A1:W44" xr:uid="{FFC2F5A5-6876-B744-A30F-1F4F60CA11F3}"/>
  <sortState xmlns:xlrd2="http://schemas.microsoft.com/office/spreadsheetml/2017/richdata2" ref="A2:W44">
    <sortCondition descending="1" ref="B1:B44"/>
  </sortState>
  <tableColumns count="23">
    <tableColumn id="1" xr3:uid="{094BBDED-A34A-A14B-A999-2F1CA1EA34C5}" uniqueName="1" name="Name" queryTableFieldId="1" dataDxfId="546"/>
    <tableColumn id="2" xr3:uid="{BBF8E6A3-EC74-A34D-95E4-153B27A2AF78}" uniqueName="2" name="Category" queryTableFieldId="2" dataDxfId="545"/>
    <tableColumn id="3" xr3:uid="{8D4BB4FC-636E-FD40-A3A1-C908A4E08FC2}" uniqueName="3" name="License_number" queryTableFieldId="3" dataDxfId="544"/>
    <tableColumn id="4" xr3:uid="{CE5FF73C-61FC-324C-A2EB-E7F02F691617}" uniqueName="4" name="Club" queryTableFieldId="4" dataDxfId="543"/>
    <tableColumn id="20" xr3:uid="{72323466-1E52-45AB-9DCF-71F0D38BE019}" uniqueName="20" name="Number_of_Competition" queryTableFieldId="20" dataDxfId="542">
      <calculatedColumnFormula>COUNTIF(PH[[#This Row],[bydgoszcz_PH_Total_Score]],"&gt;0")+COUNTIF(PH[[#This Row],[zabrze_PH_Total_Score]],"&gt;0")+COUNTIF(PH[[#This Row],[cracow_PH_Total_Score]],"&gt;0")+COUNTIF(PH[[#This Row],[gdansk_PH_Total_Score]],"&gt;0")</calculatedColumnFormula>
    </tableColumn>
    <tableColumn id="5" xr3:uid="{046A5F7E-1FC2-C04A-90BF-70746BA1061C}" uniqueName="5" name="bydgoszcz_PH_Dscore" queryTableFieldId="5" dataDxfId="541"/>
    <tableColumn id="6" xr3:uid="{E9849F24-5C23-934C-A7AF-A84360106FE8}" uniqueName="6" name="bydgoszcz_PH_Escore" queryTableFieldId="6" dataDxfId="540"/>
    <tableColumn id="7" xr3:uid="{3D2BC687-FFA6-9148-8350-B44D46A3903B}" uniqueName="7" name="bydgoszcz_PH_Total_Score" queryTableFieldId="7" dataDxfId="539"/>
    <tableColumn id="8" xr3:uid="{5F0E7FBC-CA45-2E42-B229-E4AA17B19D66}" uniqueName="8" name="zabrze_PH_Dscore" queryTableFieldId="8" dataDxfId="538"/>
    <tableColumn id="9" xr3:uid="{108B0774-C055-9244-B344-2BF6B64C0F29}" uniqueName="9" name="zabrze_PH_Escore" queryTableFieldId="9" dataDxfId="537"/>
    <tableColumn id="10" xr3:uid="{E5CBE0D1-99C7-CA45-8B37-92FD058E95FA}" uniqueName="10" name="zabrze_PH_Total_Score" queryTableFieldId="10" dataDxfId="536"/>
    <tableColumn id="11" xr3:uid="{0EE9648F-F5F4-1347-A55A-5851FC829F64}" uniqueName="11" name="cracow_PH_Dscore" queryTableFieldId="11" dataDxfId="535"/>
    <tableColumn id="12" xr3:uid="{7118DF69-0123-5A43-ADE7-39BBDC96CE90}" uniqueName="12" name="cracow_PH_Escore" queryTableFieldId="12" dataDxfId="534"/>
    <tableColumn id="13" xr3:uid="{35ED6A98-1B5D-CF4D-A089-57322D3F6D56}" uniqueName="13" name="cracow_PH_Total_Score" queryTableFieldId="13" dataDxfId="533"/>
    <tableColumn id="14" xr3:uid="{0F5DF44F-D771-5C4A-AAA1-31760A4A2652}" uniqueName="14" name="gdansk_PH_Dscore" queryTableFieldId="14" dataDxfId="532"/>
    <tableColumn id="15" xr3:uid="{8839FC97-8BBE-F94B-AAA1-4B445F1FBD54}" uniqueName="15" name="gdansk_PH_Escore" queryTableFieldId="15" dataDxfId="531"/>
    <tableColumn id="16" xr3:uid="{92D748AC-DFC3-714C-9EF8-6EE697FA80DC}" uniqueName="16" name="gdansk_PH_Total_Score" queryTableFieldId="16" dataDxfId="530"/>
    <tableColumn id="17" xr3:uid="{B58639EA-FE4C-441A-B42E-3AC291606383}" uniqueName="17" name="Year_Dscore" queryTableFieldId="17" dataDxfId="529">
      <calculatedColumnFormula>LARGE(CHOOSE({1;2;3;4},F2,I2,L2,O2),1)+LARGE(CHOOSE({1;2;3;4},F2,I2,L2,O2),2)+LARGE(CHOOSE({1;2;3;4},F2,I2,L2,O2),3)</calculatedColumnFormula>
    </tableColumn>
    <tableColumn id="18" xr3:uid="{C090E31E-D6E1-476E-A8CF-B080F14EEB09}" uniqueName="18" name="Year_Escore" queryTableFieldId="18" dataDxfId="528">
      <calculatedColumnFormula>LARGE(CHOOSE({1;2;3;4},G2,J2,M2,P2),1)+LARGE(CHOOSE({1;2;3;4},G2,J2,M2,P2),2)+LARGE(CHOOSE({1;2;3;4},G2,J2,M2,P2),3)</calculatedColumnFormula>
    </tableColumn>
    <tableColumn id="19" xr3:uid="{A87E308F-6D73-45DA-ACA2-8C4E88584065}" uniqueName="19" name="Year_Total_Score" queryTableFieldId="19" dataDxfId="527">
      <calculatedColumnFormula>LARGE(CHOOSE({1;2;3;4},H2,K2,N2,Q2),1)+LARGE(CHOOSE({1;2;3;4},H2,K2,N2,Q2),2)+LARGE(CHOOSE({1;2;3;4},H2,K2,N2,Q2),3)</calculatedColumnFormula>
    </tableColumn>
    <tableColumn id="21" xr3:uid="{D11F7696-639E-445E-A6E4-76C476E43E01}" uniqueName="21" name="AVG_Dscore" queryTableFieldId="21" dataDxfId="526">
      <calculatedColumnFormula array="1">IF(PH[[#This Row],[Number_of_Competition]:[Number_of_Competition]]&gt;=3,(LARGE(CHOOSE({1;2;3;4},F2,I2,L2,O2),1)+LARGE(CHOOSE({1;2;3;4},F2,I2,L2,O2),2)+LARGE(CHOOSE({1;2;3;4},F2,I2,L2,O2),3))/3,0)</calculatedColumnFormula>
    </tableColumn>
    <tableColumn id="22" xr3:uid="{A763EEB7-1EDA-4091-B84F-29184E5985D0}" uniqueName="22" name="AVG_Escore" queryTableFieldId="22" dataDxfId="525">
      <calculatedColumnFormula array="1">IF(PH[[#This Row],[Number_of_Competition]:[Number_of_Competition]]&gt;=3,(LARGE(CHOOSE({1;2;3;4},G2,J2,M2,P2),1)+LARGE(CHOOSE({1;2;3;4},G2,J2,M2,P2),2)+LARGE(CHOOSE({1;2;3;4},G2,J2,M2,P2),3))/3,0)</calculatedColumnFormula>
    </tableColumn>
    <tableColumn id="23" xr3:uid="{AF77A6FC-4692-421A-8878-3E28A26C8C09}" uniqueName="23" name="AVG_Total_Score" queryTableFieldId="23" dataDxfId="524">
      <calculatedColumnFormula array="1">IF(PH[[#This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1973A7AA-9C74-4D02-83F6-CA49121ECF4A}" name="PH_Calculation" displayName="PH_Calculation" ref="A47:F59" totalsRowShown="0" headerRowDxfId="523" dataDxfId="521" headerRowBorderDxfId="522" tableBorderDxfId="520">
  <autoFilter ref="A47:F59" xr:uid="{1973A7AA-9C74-4D02-83F6-CA49121ECF4A}"/>
  <sortState xmlns:xlrd2="http://schemas.microsoft.com/office/spreadsheetml/2017/richdata2" ref="A48:F59">
    <sortCondition descending="1" ref="A47:A59"/>
  </sortState>
  <tableColumns count="6">
    <tableColumn id="1" xr3:uid="{4C48E19E-C602-47F2-A10F-AC708FE999D0}" name="Category" dataDxfId="519"/>
    <tableColumn id="2" xr3:uid="{B0ADAEF8-DB36-4233-80A5-C1EEB2B5695C}" name="Score Type" dataDxfId="518"/>
    <tableColumn id="3" xr3:uid="{FCAF62FB-D0BC-4835-A047-441F51AB91D1}" name="AVG Score" dataDxfId="517"/>
    <tableColumn id="4" xr3:uid="{CFE83BD2-96C9-4444-A4F4-A9021305CF0A}" name="SD" dataDxfId="516"/>
    <tableColumn id="5" xr3:uid="{FF19EA76-5528-4EF0-8F27-CB9223A8954A}" name="Top" dataDxfId="515"/>
    <tableColumn id="6" xr3:uid="{6BFF7CA9-E9BE-42AC-8160-B7BA44FB912D}" name="Gymnasts" dataDxfId="514"/>
  </tableColumns>
  <tableStyleInfo name="TableStyleMedium1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D007EE07-84CC-7B4E-84EA-B22016B57721}" name="SR" displayName="SR" ref="A1:W45" tableType="queryTable" totalsRowShown="0" headerRowDxfId="513">
  <autoFilter ref="A1:W45" xr:uid="{D007EE07-84CC-7B4E-84EA-B22016B57721}"/>
  <sortState xmlns:xlrd2="http://schemas.microsoft.com/office/spreadsheetml/2017/richdata2" ref="A2:W45">
    <sortCondition descending="1" ref="T1:T45"/>
  </sortState>
  <tableColumns count="23">
    <tableColumn id="1" xr3:uid="{EB6D2421-C138-B14A-9DD8-7D4047987950}" uniqueName="1" name="Name" queryTableFieldId="1" dataDxfId="512"/>
    <tableColumn id="2" xr3:uid="{37342CE6-290B-8A45-9D45-79AC1BA67127}" uniqueName="2" name="Category" queryTableFieldId="2" dataDxfId="511"/>
    <tableColumn id="3" xr3:uid="{86128246-E006-2745-B1CF-09E2948F5C9C}" uniqueName="3" name="License_number" queryTableFieldId="3" dataDxfId="510"/>
    <tableColumn id="4" xr3:uid="{3B96582E-ACEC-F343-8B82-29FA241C414D}" uniqueName="4" name="Club" queryTableFieldId="4" dataDxfId="509"/>
    <tableColumn id="20" xr3:uid="{AFA3FC6C-9483-4490-8D9F-DEBAA1D29E1E}" uniqueName="20" name="Number_of_competition" queryTableFieldId="20" dataDxfId="508">
      <calculatedColumnFormula>COUNTIF(SR[[#This Row],[bydgoszcz_SR_Total_Score]],"&gt;0")+COUNTIF(SR[[#This Row],[zabrze_SR_Total_Score]],"&gt;0")+COUNTIF(SR[[#This Row],[cracow_SR_Total_Score]],"&gt;0")+COUNTIF(SR[[#This Row],[gdansk_SR_Total_Score]],"&gt;0")</calculatedColumnFormula>
    </tableColumn>
    <tableColumn id="5" xr3:uid="{FCDD0FEB-8D7C-2F4C-8460-66161B0BA33A}" uniqueName="5" name="bydgoszcz_SR_Dscore" queryTableFieldId="5" dataDxfId="507"/>
    <tableColumn id="6" xr3:uid="{11CEB3F5-1A64-3040-83BE-6982252C549E}" uniqueName="6" name="bydgoszcz_SR_Escore" queryTableFieldId="6" dataDxfId="506"/>
    <tableColumn id="7" xr3:uid="{7D1E967F-440D-1548-A9C7-0782F3FFAB30}" uniqueName="7" name="bydgoszcz_SR_Total_Score" queryTableFieldId="7" dataDxfId="505"/>
    <tableColumn id="8" xr3:uid="{EC40BB9B-6B56-8640-8EB1-A42F89DEEAE9}" uniqueName="8" name="zabrze_SR_Dscore" queryTableFieldId="8" dataDxfId="504"/>
    <tableColumn id="9" xr3:uid="{6B7D3B11-7FEB-1B4D-9442-7D47EEB700AD}" uniqueName="9" name="zabrze_SR_Escore" queryTableFieldId="9" dataDxfId="503"/>
    <tableColumn id="10" xr3:uid="{93BF8919-2C78-CF4C-90E5-57FC67520237}" uniqueName="10" name="zabrze_SR_Total_Score" queryTableFieldId="10" dataDxfId="502"/>
    <tableColumn id="11" xr3:uid="{08D8876D-E203-9A4A-BD7D-60E0252C5408}" uniqueName="11" name="cracow_SR_Dscore" queryTableFieldId="11" dataDxfId="501"/>
    <tableColumn id="12" xr3:uid="{60244EE4-0FE7-1045-85C4-DAE6E6F0BC53}" uniqueName="12" name="cracow_SR_Escore" queryTableFieldId="12" dataDxfId="500"/>
    <tableColumn id="13" xr3:uid="{C30E60FF-D2E8-EF45-B1AD-E0623FB247A1}" uniqueName="13" name="cracow_SR_Total_Score" queryTableFieldId="13" dataDxfId="499"/>
    <tableColumn id="14" xr3:uid="{D4B00F79-4355-6443-BF5C-CD36F8D82DE8}" uniqueName="14" name="gdansk_SR_Dscore" queryTableFieldId="14" dataDxfId="498"/>
    <tableColumn id="15" xr3:uid="{CC279C9B-5B38-1F4B-AD51-AE8030391AFE}" uniqueName="15" name="gdansk_SR_Escore" queryTableFieldId="15" dataDxfId="497"/>
    <tableColumn id="16" xr3:uid="{50B84155-A296-AE43-AD04-C130CEABC1A3}" uniqueName="16" name="gdansk_SR_Total_Score" queryTableFieldId="16" dataDxfId="496"/>
    <tableColumn id="17" xr3:uid="{112A8C0B-3D30-4EEF-876A-7668BC04B941}" uniqueName="17" name="Year_Dscore" queryTableFieldId="17" dataDxfId="495">
      <calculatedColumnFormula>LARGE(CHOOSE({1;2;3;4},F2,I2,L2,O2),1)+LARGE(CHOOSE({1;2;3;4},F2,I2,L2,O2),2)+LARGE(CHOOSE({1;2;3;4},F2,I2,L2,O2),3)</calculatedColumnFormula>
    </tableColumn>
    <tableColumn id="18" xr3:uid="{73406CF7-5261-4CBB-8027-D20E1F1F231E}" uniqueName="18" name="Year_Escore" queryTableFieldId="18" dataDxfId="494">
      <calculatedColumnFormula>LARGE(CHOOSE({1;2;3;4},G2,J2,M2,P2),1)+LARGE(CHOOSE({1;2;3;4},G2,J2,M2,P2),2)+LARGE(CHOOSE({1;2;3;4},G2,J2,M2,P2),3)</calculatedColumnFormula>
    </tableColumn>
    <tableColumn id="19" xr3:uid="{487DDE6D-AF2F-4B62-83C9-4889B9445462}" uniqueName="19" name="Year_Total_Score" queryTableFieldId="19" dataDxfId="493">
      <calculatedColumnFormula>LARGE(CHOOSE({1;2;3;4},H2,K2,N2,Q2),1)+LARGE(CHOOSE({1;2;3;4},H2,K2,N2,Q2),2)+LARGE(CHOOSE({1;2;3;4},H2,K2,N2,Q2),3)</calculatedColumnFormula>
    </tableColumn>
    <tableColumn id="21" xr3:uid="{13202469-7827-4CAA-8A85-4FD943650438}" uniqueName="21" name="AVG_Dscore" queryTableFieldId="21" dataDxfId="492">
      <calculatedColumnFormula array="1">IF(SR[[#This Row],[Number_of_competition]:[Number_of_competition]]&gt;=3,(LARGE(CHOOSE({1;2;3;4},F2,I2,L2,O2),1)+LARGE(CHOOSE({1;2;3;4},F2,I2,L2,O2),2)+LARGE(CHOOSE({1;2;3;4},F2,I2,L2,O2),3))/3,0)</calculatedColumnFormula>
    </tableColumn>
    <tableColumn id="22" xr3:uid="{AB1F8FC2-25E7-4B3B-9805-06D325F7CC8F}" uniqueName="22" name="AVG_Escore" queryTableFieldId="22" dataDxfId="491">
      <calculatedColumnFormula array="1">IF(SR[[#This Row],[Number_of_competition]:[Number_of_competition]]&gt;=3,(LARGE(CHOOSE({1;2;3;4},G2,J2,M2,P2),1)+LARGE(CHOOSE({1;2;3;4},G2,J2,M2,P2),2)+LARGE(CHOOSE({1;2;3;4},G2,J2,M2,P2),3))/3,0)</calculatedColumnFormula>
    </tableColumn>
    <tableColumn id="23" xr3:uid="{1CF24C0F-43C0-4D99-900A-4E354BE639C0}" uniqueName="23" name="AVG_Total_Score" queryTableFieldId="23" dataDxfId="490">
      <calculatedColumnFormula array="1">IF(SR[[#This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4E30975-D5DB-4C15-B2B8-DA6940B299BA}" name="SR_Calculation" displayName="SR_Calculation" ref="A48:F60" totalsRowShown="0" headerRowDxfId="489" dataDxfId="487" headerRowBorderDxfId="488" tableBorderDxfId="486">
  <autoFilter ref="A48:F60" xr:uid="{24E30975-D5DB-4C15-B2B8-DA6940B299BA}"/>
  <sortState xmlns:xlrd2="http://schemas.microsoft.com/office/spreadsheetml/2017/richdata2" ref="A49:F60">
    <sortCondition descending="1" ref="A48:A60"/>
  </sortState>
  <tableColumns count="6">
    <tableColumn id="1" xr3:uid="{42FFF414-E78D-4EA8-B336-F0860A11A360}" name="Category" dataDxfId="485"/>
    <tableColumn id="2" xr3:uid="{ED46A7B9-22BE-481F-B1BC-23945C9EC8E3}" name="Score Type" dataDxfId="484"/>
    <tableColumn id="3" xr3:uid="{A3BF45E2-A1AC-4C40-A39E-53B685F557A0}" name="AVG Score" dataDxfId="483"/>
    <tableColumn id="4" xr3:uid="{B484F856-60FF-4932-A56B-5F053C34C223}" name="SD" dataDxfId="482"/>
    <tableColumn id="5" xr3:uid="{1638E748-F413-4BD6-B6F0-DF5EB6657D3B}" name="Top" dataDxfId="481"/>
    <tableColumn id="6" xr3:uid="{5AED3D5D-8A63-4464-9930-586707F6D056}" name="Gymnasts" dataDxfId="480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91F2835-DFA8-F44F-8380-44C9A7536605}" name="VT" displayName="VT" ref="A1:W47" tableType="queryTable" totalsRowShown="0" headerRowDxfId="479">
  <autoFilter ref="A1:W47" xr:uid="{591F2835-DFA8-F44F-8380-44C9A7536605}"/>
  <sortState xmlns:xlrd2="http://schemas.microsoft.com/office/spreadsheetml/2017/richdata2" ref="A2:W47">
    <sortCondition descending="1" ref="T1:T47"/>
  </sortState>
  <tableColumns count="23">
    <tableColumn id="1" xr3:uid="{B6AAD714-A501-7348-A33C-A04D11E38258}" uniqueName="1" name="Name" queryTableFieldId="1" dataDxfId="478"/>
    <tableColumn id="2" xr3:uid="{98D3A558-388C-F648-9635-8E7433ADACF8}" uniqueName="2" name="Category" queryTableFieldId="2" dataDxfId="477"/>
    <tableColumn id="3" xr3:uid="{123B584A-BBD0-204D-8D85-977915DD0710}" uniqueName="3" name="License_number" queryTableFieldId="3" dataDxfId="476"/>
    <tableColumn id="4" xr3:uid="{F7DF8B1F-4210-0345-9545-5C5AE9BF83D6}" uniqueName="4" name="Club" queryTableFieldId="4" dataDxfId="475"/>
    <tableColumn id="20" xr3:uid="{EFEFBEAF-2664-4765-8A88-8ABB79EAB8AA}" uniqueName="20" name="Number_of_competition" queryTableFieldId="20" dataDxfId="474">
      <calculatedColumnFormula>COUNTIF(VT[[#This Row],[bydgoszcz_VT_Total_Score]],"&gt;0")+COUNTIF(VT[[#This Row],[zabrze_VT_Total_Score]],"&gt;0")+COUNTIF(VT[[#This Row],[cracow_VT_Total_Score]],"&gt;0")+COUNTIF(VT[[#This Row],[gdansk_VT_Total_Score]],"&gt;0")</calculatedColumnFormula>
    </tableColumn>
    <tableColumn id="5" xr3:uid="{9F7B0165-EDC2-F24A-B268-A418F625EE6B}" uniqueName="5" name="bydgoszcz_VT_Dscore" queryTableFieldId="5" dataDxfId="473"/>
    <tableColumn id="6" xr3:uid="{987E2050-C5D3-B448-8EF9-2F24983F67D1}" uniqueName="6" name="bydgoszcz_VT_Escore" queryTableFieldId="6" dataDxfId="472"/>
    <tableColumn id="7" xr3:uid="{BFAA8403-61F7-9E4F-92FE-09B77D43355E}" uniqueName="7" name="bydgoszcz_VT_Total_Score" queryTableFieldId="7" dataDxfId="471"/>
    <tableColumn id="8" xr3:uid="{FF0CBF34-ACEE-3145-8600-6614822AB652}" uniqueName="8" name="zabrze_VT_Dscore" queryTableFieldId="8" dataDxfId="470"/>
    <tableColumn id="9" xr3:uid="{0604AC77-7E80-2440-83F0-794B9664A311}" uniqueName="9" name="zabrze_VT_Escore" queryTableFieldId="9" dataDxfId="469"/>
    <tableColumn id="10" xr3:uid="{BA713723-45AE-2E4D-A858-616B27B20426}" uniqueName="10" name="zabrze_VT_Total_Score" queryTableFieldId="10" dataDxfId="468"/>
    <tableColumn id="11" xr3:uid="{5DF709CE-C565-1A42-A47F-F290F12C0F92}" uniqueName="11" name="cracow_VT_Dscore" queryTableFieldId="11" dataDxfId="467"/>
    <tableColumn id="12" xr3:uid="{2BB5C740-F563-784B-AB18-CD9BD7ED2D87}" uniqueName="12" name="cracow_VT_Escore" queryTableFieldId="12" dataDxfId="466"/>
    <tableColumn id="13" xr3:uid="{159BD27C-ADAB-4940-9546-229AD90E300B}" uniqueName="13" name="cracow_VT_Total_Score" queryTableFieldId="13" dataDxfId="465"/>
    <tableColumn id="14" xr3:uid="{9F687C54-B725-A54B-A67B-D5D9AB727838}" uniqueName="14" name="gdansk_VT_Dscore" queryTableFieldId="14" dataDxfId="464"/>
    <tableColumn id="15" xr3:uid="{F8C77C6A-AF5D-654C-A2FC-B80E44781482}" uniqueName="15" name="gdansk_VT_Escore" queryTableFieldId="15" dataDxfId="463"/>
    <tableColumn id="16" xr3:uid="{80E72C88-EEE6-D146-985F-2057B0890E8C}" uniqueName="16" name="gdansk_VT_Total_Score" queryTableFieldId="16" dataDxfId="462"/>
    <tableColumn id="17" xr3:uid="{1617B48F-600A-4EBC-AC73-22CFB8A5464F}" uniqueName="17" name="Year_Dscore" queryTableFieldId="17" dataDxfId="461">
      <calculatedColumnFormula>LARGE(CHOOSE({1;2;3;4},F2,I2,L2,O2),1)+LARGE(CHOOSE({1;2;3;4},F2,I2,L2,O2),2)+LARGE(CHOOSE({1;2;3;4},F2,I2,L2,O2),3)</calculatedColumnFormula>
    </tableColumn>
    <tableColumn id="18" xr3:uid="{088E2620-1800-4949-8B57-EE0C697B7E13}" uniqueName="18" name="Year_Escore" queryTableFieldId="18" dataDxfId="460">
      <calculatedColumnFormula>LARGE(CHOOSE({1;2;3;4},G2,J2,M2,P2),1)+LARGE(CHOOSE({1;2;3;4},G2,J2,M2,P2),2)+LARGE(CHOOSE({1;2;3;4},G2,J2,M2,P2),3)</calculatedColumnFormula>
    </tableColumn>
    <tableColumn id="19" xr3:uid="{1FB78A03-64E5-42A2-9888-7016D4820DCA}" uniqueName="19" name="Year_Total_Score" queryTableFieldId="19" dataDxfId="459">
      <calculatedColumnFormula>LARGE(CHOOSE({1;2;3;4},H2,K2,N2,Q2),1)+LARGE(CHOOSE({1;2;3;4},H2,K2,N2,Q2),2)+LARGE(CHOOSE({1;2;3;4},H2,K2,N2,Q2),3)</calculatedColumnFormula>
    </tableColumn>
    <tableColumn id="21" xr3:uid="{CCD0C4BA-837A-441D-A870-0467B5ADA1E3}" uniqueName="21" name="AVG_Dscore" queryTableFieldId="21" dataDxfId="458">
      <calculatedColumnFormula array="1">IF(VT[[#This Row],[Number_of_competition]:[Number_of_competition]]&gt;=3,(LARGE(CHOOSE({1;2;3;4},F2,I2,L2,O2),1)+LARGE(CHOOSE({1;2;3;4},F2,I2,L2,O2),2)+LARGE(CHOOSE({1;2;3;4},F2,I2,L2,O2),3))/3,0)</calculatedColumnFormula>
    </tableColumn>
    <tableColumn id="22" xr3:uid="{DF274032-E425-42A4-8814-8DEE9D0FD818}" uniqueName="22" name="AVG_Escore" queryTableFieldId="22" dataDxfId="457">
      <calculatedColumnFormula array="1">IF(VT[[#This Row],[Number_of_competition]:[Number_of_competition]]&gt;=3,(LARGE(CHOOSE({1;2;3;4},G2,J2,M2,P2),1)+LARGE(CHOOSE({1;2;3;4},G2,J2,M2,P2),2)+LARGE(CHOOSE({1;2;3;4},G2,J2,M2,P2),3))/3,0)</calculatedColumnFormula>
    </tableColumn>
    <tableColumn id="23" xr3:uid="{4AEDF52D-67D8-41AF-B480-B7AC56BA2803}" uniqueName="23" name="AVG_Total_Score" queryTableFieldId="23" dataDxfId="456">
      <calculatedColumnFormula array="1">IF(VT[[#This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9E3BB372-0408-4B92-9356-C4B7D96F3C7D}" name="VT_Calculation" displayName="VT_Calculation" ref="A50:F62" totalsRowShown="0" headerRowDxfId="455" dataDxfId="453" headerRowBorderDxfId="454" tableBorderDxfId="452">
  <autoFilter ref="A50:F62" xr:uid="{9E3BB372-0408-4B92-9356-C4B7D96F3C7D}"/>
  <sortState xmlns:xlrd2="http://schemas.microsoft.com/office/spreadsheetml/2017/richdata2" ref="A51:F62">
    <sortCondition descending="1" ref="A50:A62"/>
  </sortState>
  <tableColumns count="6">
    <tableColumn id="1" xr3:uid="{50842799-1F72-40BA-BE5A-E9DD48145213}" name="Category" dataDxfId="451"/>
    <tableColumn id="2" xr3:uid="{8523960B-D794-4EC5-BB8F-C4CE2CB4A7A2}" name="Score Type" dataDxfId="450"/>
    <tableColumn id="3" xr3:uid="{A607D771-04D7-4509-BF02-206F88DA4A70}" name="AVG Score" dataDxfId="449"/>
    <tableColumn id="4" xr3:uid="{1A21B3AC-177B-4A0C-9F8D-85F4A858B23E}" name="SD" dataDxfId="448"/>
    <tableColumn id="5" xr3:uid="{BEB683FD-4E0B-4285-B91F-D27D6F21AB5B}" name="Top" dataDxfId="447"/>
    <tableColumn id="6" xr3:uid="{B9BB4029-BBFB-4113-8524-E405AD797034}" name="Gymnasts" dataDxfId="446"/>
  </tableColumns>
  <tableStyleInfo name="TableStyleMedium1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D2853D7-6AD4-A841-BECF-83741FEEBC56}" name="PB" displayName="PB" ref="A1:W44" tableType="queryTable" totalsRowShown="0" headerRowDxfId="445">
  <autoFilter ref="A1:W44" xr:uid="{FD2853D7-6AD4-A841-BECF-83741FEEBC56}"/>
  <sortState xmlns:xlrd2="http://schemas.microsoft.com/office/spreadsheetml/2017/richdata2" ref="A2:W44">
    <sortCondition descending="1" ref="T1:T44"/>
  </sortState>
  <tableColumns count="23">
    <tableColumn id="1" xr3:uid="{BCAA8DE8-7EF2-C64E-B372-C617BED098CE}" uniqueName="1" name="Name" queryTableFieldId="1" dataDxfId="444"/>
    <tableColumn id="2" xr3:uid="{6AAB8C7D-D51B-6545-A274-D87F75188B29}" uniqueName="2" name="Category" queryTableFieldId="2" dataDxfId="443"/>
    <tableColumn id="3" xr3:uid="{F966E1F3-5E71-9248-B1AD-88EDADE9EDA7}" uniqueName="3" name="License_number" queryTableFieldId="3" dataDxfId="442"/>
    <tableColumn id="4" xr3:uid="{3FA73C82-8F5D-4442-AD06-AB5F7DEE31A0}" uniqueName="4" name="Club" queryTableFieldId="4" dataDxfId="441"/>
    <tableColumn id="20" xr3:uid="{870CC6DC-D96A-49E3-AF0C-4532DE16AB63}" uniqueName="20" name="Number_of_competition" queryTableFieldId="20" dataDxfId="440">
      <calculatedColumnFormula>COUNTIF(PB[[#This Row],[bydgoszcz_PB_Total_Score]],"&gt;0")+COUNTIF(PB[[#This Row],[zabrze_PB_Total_Score]],"&gt;0")+COUNTIF(PB[[#This Row],[cracow_PB_Total_Score]],"&gt;0")+COUNTIF(PB[[#This Row],[gdansk_PB_Total_Score]],"&gt;0")</calculatedColumnFormula>
    </tableColumn>
    <tableColumn id="5" xr3:uid="{695E32C0-5CCF-1A48-90B9-CAB3AF69B3C0}" uniqueName="5" name="bydgoszcz_PB_Dscore" queryTableFieldId="5" dataDxfId="439"/>
    <tableColumn id="6" xr3:uid="{30DB2D00-3B9E-304E-B5A7-A44CFB062132}" uniqueName="6" name="bydgoszcz_PB_Escore" queryTableFieldId="6" dataDxfId="438"/>
    <tableColumn id="7" xr3:uid="{3B223C99-B31A-9E4B-9F67-81DC981949CE}" uniqueName="7" name="bydgoszcz_PB_Total_Score" queryTableFieldId="7" dataDxfId="437"/>
    <tableColumn id="8" xr3:uid="{4EFE994A-C624-B54E-A636-D66BE7AA5BB7}" uniqueName="8" name="zabrze_PB_Dscore" queryTableFieldId="8" dataDxfId="436"/>
    <tableColumn id="9" xr3:uid="{75027F42-FF73-A34A-A8E8-13047A2E576E}" uniqueName="9" name="zabrze_PB_Escore" queryTableFieldId="9" dataDxfId="435"/>
    <tableColumn id="10" xr3:uid="{5627778F-AB08-7542-8A9E-7482A86CE6E0}" uniqueName="10" name="zabrze_PB_Total_Score" queryTableFieldId="10" dataDxfId="434"/>
    <tableColumn id="11" xr3:uid="{37E1FBF6-F764-8744-A34E-E9324EDA60C2}" uniqueName="11" name="cracow_PB_Dscore" queryTableFieldId="11" dataDxfId="433"/>
    <tableColumn id="12" xr3:uid="{B00109C0-F443-4248-948E-4E95DD03A861}" uniqueName="12" name="cracow_PB_Escore" queryTableFieldId="12" dataDxfId="432"/>
    <tableColumn id="13" xr3:uid="{CCD79A67-CA54-6947-A47B-EF0A0456B7DE}" uniqueName="13" name="cracow_PB_Total_Score" queryTableFieldId="13" dataDxfId="431"/>
    <tableColumn id="14" xr3:uid="{E40B1FF8-5A58-7D49-BEF0-71B5127DBC85}" uniqueName="14" name="gdansk_PB_Dscore" queryTableFieldId="14" dataDxfId="430"/>
    <tableColumn id="15" xr3:uid="{E750D959-B3C9-D84B-BCD8-A4CF3002B524}" uniqueName="15" name="gdansk_PB_Escore" queryTableFieldId="15" dataDxfId="429"/>
    <tableColumn id="16" xr3:uid="{42A86E68-FD67-004B-837D-1AC217350FF2}" uniqueName="16" name="gdansk_PB_Total_Score" queryTableFieldId="16" dataDxfId="428"/>
    <tableColumn id="17" xr3:uid="{32F28E33-D86E-4DBD-BEB6-E67D7A2BB485}" uniqueName="17" name="Year_Dscore" queryTableFieldId="17" dataDxfId="427">
      <calculatedColumnFormula>LARGE(CHOOSE({1;2;3;4},F2,I2,L2,O2),1)+LARGE(CHOOSE({1;2;3;4},F2,I2,L2,O2),2)+LARGE(CHOOSE({1;2;3;4},F2,I2,L2,O2),3)</calculatedColumnFormula>
    </tableColumn>
    <tableColumn id="18" xr3:uid="{4EB6D231-EEAD-4C6F-B3E5-C1A4D1951846}" uniqueName="18" name="Year_Escore" queryTableFieldId="18" dataDxfId="426">
      <calculatedColumnFormula>LARGE(CHOOSE({1;2;3;4},G2,J2,M2,P2),1)+LARGE(CHOOSE({1;2;3;4},G2,J2,M2,P2),2)+LARGE(CHOOSE({1;2;3;4},G2,J2,M2,P2),3)</calculatedColumnFormula>
    </tableColumn>
    <tableColumn id="19" xr3:uid="{5396106B-86EA-4BE3-8881-6E7B71FD2BA6}" uniqueName="19" name="Year_Total_Score" queryTableFieldId="19" dataDxfId="425">
      <calculatedColumnFormula>LARGE(CHOOSE({1;2;3;4},H2,K2,N2,Q2),1)+LARGE(CHOOSE({1;2;3;4},H2,K2,N2,Q2),2)+LARGE(CHOOSE({1;2;3;4},H2,K2,N2,Q2),3)</calculatedColumnFormula>
    </tableColumn>
    <tableColumn id="21" xr3:uid="{684712DE-4D92-4B5F-871B-82A0AAF11C6D}" uniqueName="21" name="AVG_Dscore" queryTableFieldId="21" dataDxfId="424">
      <calculatedColumnFormula array="1">IF(PB[[#This Row],[Number_of_competition]:[Number_of_competition]]&gt;=3,(LARGE(CHOOSE({1;2;3;4},F2,I2,L2,O2),1)+LARGE(CHOOSE({1;2;3;4},F2,I2,L2,O2),2)+LARGE(CHOOSE({1;2;3;4},F2,I2,L2,O2),3))/3,0)</calculatedColumnFormula>
    </tableColumn>
    <tableColumn id="22" xr3:uid="{DF92B2AB-6C59-4F07-AD55-057149CB2E7D}" uniqueName="22" name="AVG_Escore" queryTableFieldId="22" dataDxfId="423">
      <calculatedColumnFormula array="1">IF(PB[[#This Row],[Number_of_competition]:[Number_of_competition]]&gt;=3,(LARGE(CHOOSE({1;2;3;4},G2,J2,M2,P2),1)+LARGE(CHOOSE({1;2;3;4},G2,J2,M2,P2),2)+LARGE(CHOOSE({1;2;3;4},G2,J2,M2,P2),3))/3,0)</calculatedColumnFormula>
    </tableColumn>
    <tableColumn id="23" xr3:uid="{4A1AD3B8-70BD-4E7D-B105-9E207132AA6D}" uniqueName="23" name="AVG_Total_Score" queryTableFieldId="23" dataDxfId="422">
      <calculatedColumnFormula array="1">IF(PB[[#This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F3DA1208-2154-48C5-B55D-B32D18293B15}" name="PB_Calculation" displayName="PB_Calculation" ref="A47:F59" totalsRowShown="0" headerRowDxfId="421" dataDxfId="419" headerRowBorderDxfId="420" tableBorderDxfId="418">
  <autoFilter ref="A47:F59" xr:uid="{F3DA1208-2154-48C5-B55D-B32D18293B15}"/>
  <sortState xmlns:xlrd2="http://schemas.microsoft.com/office/spreadsheetml/2017/richdata2" ref="A48:F59">
    <sortCondition descending="1" ref="A47:A59"/>
  </sortState>
  <tableColumns count="6">
    <tableColumn id="1" xr3:uid="{F77DB2C0-C25A-4E79-85DC-49FF5909D434}" name="Category" dataDxfId="417"/>
    <tableColumn id="2" xr3:uid="{E8E5B4A0-1216-46D5-8B33-2018FF08BE08}" name="Score Type" dataDxfId="416"/>
    <tableColumn id="3" xr3:uid="{AEAF0EAC-F9C6-44E9-B9F7-64CB0EF3E6DB}" name="AVG Score" dataDxfId="415"/>
    <tableColumn id="4" xr3:uid="{73402E29-EA7B-43D5-B29D-D2039A56F762}" name="SD" dataDxfId="414"/>
    <tableColumn id="5" xr3:uid="{E34B9E13-B117-4EA6-9DA1-9D255AF7EF4D}" name="Top" dataDxfId="413"/>
    <tableColumn id="6" xr3:uid="{26A1C6A3-C541-4921-986E-7FD56256BB7F}" name="Gymnasts" dataDxfId="412"/>
  </tableColumns>
  <tableStyleInfo name="TableStyleMedium1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C8EAAC10-84DF-8F4D-A0F4-7424881ECDC6}" name="HB" displayName="HB" ref="A1:W38" tableType="queryTable" totalsRowShown="0" headerRowDxfId="411">
  <autoFilter ref="A1:W38" xr:uid="{C8EAAC10-84DF-8F4D-A0F4-7424881ECDC6}"/>
  <sortState xmlns:xlrd2="http://schemas.microsoft.com/office/spreadsheetml/2017/richdata2" ref="A2:W38">
    <sortCondition descending="1" ref="T1:T38"/>
  </sortState>
  <tableColumns count="23">
    <tableColumn id="1" xr3:uid="{1E116091-E979-0645-88B8-9B299AA3C57D}" uniqueName="1" name="Name" queryTableFieldId="1" dataDxfId="410"/>
    <tableColumn id="2" xr3:uid="{49FAF6DA-0543-3D4D-996B-366F435D4D70}" uniqueName="2" name="Category" queryTableFieldId="2" dataDxfId="409"/>
    <tableColumn id="3" xr3:uid="{24CF4EB5-C02C-4C4C-9E90-184E349070A4}" uniqueName="3" name="License_number" queryTableFieldId="3" dataDxfId="408"/>
    <tableColumn id="4" xr3:uid="{9B6608D9-1229-B443-AEDB-6DCEEBB87554}" uniqueName="4" name="Club" queryTableFieldId="4" dataDxfId="407"/>
    <tableColumn id="20" xr3:uid="{EED55D62-E844-4C06-907D-C7A111D362B1}" uniqueName="20" name="Number_of_competition" queryTableFieldId="20" dataDxfId="406">
      <calculatedColumnFormula>COUNTIF(HB[[#This Row],[bydgoszcz_HB_Total_Score]],"&gt;0")+COUNTIF(HB[[#This Row],[zabrze_HB_Total_Score]],"&gt;0")+COUNTIF(HB[[#This Row],[cracow_HB_Total_Score]],"&gt;0")+COUNTIF(HB[[#This Row],[gdansk_HB_Total_Score]],"&gt;0")</calculatedColumnFormula>
    </tableColumn>
    <tableColumn id="5" xr3:uid="{157F9BAB-0136-4047-89EC-BC8DE4CC0103}" uniqueName="5" name="bydgoszcz_HB_Dscore" queryTableFieldId="5" dataDxfId="405"/>
    <tableColumn id="6" xr3:uid="{FC6348D3-D897-C041-8ACF-E1ECC10F58C8}" uniqueName="6" name="bydgoszcz_HB_Escore" queryTableFieldId="6" dataDxfId="404"/>
    <tableColumn id="7" xr3:uid="{3093269C-4D0D-2242-A594-92540FB0238A}" uniqueName="7" name="bydgoszcz_HB_Total_Score" queryTableFieldId="7" dataDxfId="403"/>
    <tableColumn id="8" xr3:uid="{97E82084-D6B0-8A4F-A030-915EEC90702E}" uniqueName="8" name="zabrze_HB_Dscore" queryTableFieldId="8" dataDxfId="402"/>
    <tableColumn id="9" xr3:uid="{D1AD8D2B-AD9F-7540-9E2F-CF5A68846805}" uniqueName="9" name="zabrze_HB_Escore" queryTableFieldId="9" dataDxfId="401"/>
    <tableColumn id="10" xr3:uid="{62BF83BA-B69A-AA4D-AFC1-4667DFA3092C}" uniqueName="10" name="zabrze_HB_Total_Score" queryTableFieldId="10" dataDxfId="400"/>
    <tableColumn id="11" xr3:uid="{96EEEAD8-C52E-9A4B-A665-DED100EBB512}" uniqueName="11" name="cracow_HB_Dscore" queryTableFieldId="11" dataDxfId="399"/>
    <tableColumn id="12" xr3:uid="{18A70C88-1ECF-C04E-8BE8-C7004C7778E3}" uniqueName="12" name="cracow_HB_Escore" queryTableFieldId="12" dataDxfId="398"/>
    <tableColumn id="13" xr3:uid="{C176C76E-A612-BA4F-9761-C2C623DDE305}" uniqueName="13" name="cracow_HB_Total_Score" queryTableFieldId="13" dataDxfId="397"/>
    <tableColumn id="14" xr3:uid="{A0A4733B-552E-1E4A-BA3C-37FE45072D40}" uniqueName="14" name="gdansk_HB_Dscore" queryTableFieldId="14" dataDxfId="396"/>
    <tableColumn id="15" xr3:uid="{EA262771-C41D-3E4D-AAAD-7C9E4E51FE19}" uniqueName="15" name="gdansk_HB_Escore" queryTableFieldId="15" dataDxfId="395"/>
    <tableColumn id="16" xr3:uid="{B55F2D13-143F-264E-902E-2D77258D1DAE}" uniqueName="16" name="gdansk_HB_Total_Score" queryTableFieldId="16" dataDxfId="394"/>
    <tableColumn id="17" xr3:uid="{A5E80B74-8F81-43B5-B4C5-FC8BC9E8E3B3}" uniqueName="17" name="Year_Dscore" queryTableFieldId="17" dataDxfId="393">
      <calculatedColumnFormula>LARGE(CHOOSE({1;2;3;4},F2,I2,L2,O2),1)+LARGE(CHOOSE({1;2;3;4},F2,I2,L2,O2),2)+LARGE(CHOOSE({1;2;3;4},F2,I2,L2,O2),3)</calculatedColumnFormula>
    </tableColumn>
    <tableColumn id="18" xr3:uid="{39D7CD39-3334-49DA-ABC4-4FFA80D0637F}" uniqueName="18" name="Year_Escore" queryTableFieldId="18" dataDxfId="392">
      <calculatedColumnFormula>LARGE(CHOOSE({1;2;3;4},G2,J2,M2,P2),1)+LARGE(CHOOSE({1;2;3;4},G2,J2,M2,P2),2)+LARGE(CHOOSE({1;2;3;4},G2,J2,M2,P2),3)</calculatedColumnFormula>
    </tableColumn>
    <tableColumn id="19" xr3:uid="{FEE1AAD2-8FCC-4C4A-BE44-676D38EF742E}" uniqueName="19" name="Year_Total_Score" queryTableFieldId="19" dataDxfId="391">
      <calculatedColumnFormula>LARGE(CHOOSE({1;2;3;4},H2,K2,N2,Q2),1)+LARGE(CHOOSE({1;2;3;4},H2,K2,N2,Q2),2)+LARGE(CHOOSE({1;2;3;4},H2,K2,N2,Q2),3)</calculatedColumnFormula>
    </tableColumn>
    <tableColumn id="21" xr3:uid="{61725513-E208-483D-9E00-80EBC676E25A}" uniqueName="21" name="AVG_Dscore" queryTableFieldId="21" dataDxfId="390">
      <calculatedColumnFormula array="1">IF(HB[[#This Row],[Number_of_competition]:[Number_of_competition]]&gt;=3,(LARGE(CHOOSE({1;2;3;4},F2,I2,L2,O2),1)+LARGE(CHOOSE({1;2;3;4},F2,I2,L2,O2),2)+LARGE(CHOOSE({1;2;3;4},F2,I2,L2,O2),3))/3,0)</calculatedColumnFormula>
    </tableColumn>
    <tableColumn id="22" xr3:uid="{04526E81-6DF5-4983-A373-4C62415A36C9}" uniqueName="22" name="AVG_Escore" queryTableFieldId="22" dataDxfId="389">
      <calculatedColumnFormula array="1">IF(HB[[#This Row],[Number_of_competition]:[Number_of_competition]]&gt;=3,(LARGE(CHOOSE({1;2;3;4},G2,J2,M2,P2),1)+LARGE(CHOOSE({1;2;3;4},G2,J2,M2,P2),2)+LARGE(CHOOSE({1;2;3;4},G2,J2,M2,P2),3))/3,0)</calculatedColumnFormula>
    </tableColumn>
    <tableColumn id="23" xr3:uid="{8B8CF932-0A8E-4DB8-A050-BCD410A50E3E}" uniqueName="23" name="AVG_Total_Score" queryTableFieldId="23" dataDxfId="388">
      <calculatedColumnFormula array="1">IF(HB[[#This Row],[Number_of_competition]:[Number_of_competition]]&gt;=3,(LARGE(CHOOSE({1;2;3;4},H2,K2,N2,Q2),1)+LARGE(CHOOSE({1;2;3;4},H2,K2,N2,Q2),2)+LARGE(CHOOSE({1;2;3;4},H2,K2,N2,Q2),3))/3,0)</calculatedColumnFormula>
    </tableColumn>
  </tableColumns>
  <tableStyleInfo name="TableStyleLight8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CDF141F8-D0B8-4883-9B01-A09767AC83E4}" name="HB_Calculation" displayName="HB_Calculation" ref="A41:F53" totalsRowShown="0" headerRowDxfId="387" dataDxfId="385" headerRowBorderDxfId="386" tableBorderDxfId="384">
  <autoFilter ref="A41:F53" xr:uid="{CDF141F8-D0B8-4883-9B01-A09767AC83E4}"/>
  <sortState xmlns:xlrd2="http://schemas.microsoft.com/office/spreadsheetml/2017/richdata2" ref="A42:F53">
    <sortCondition descending="1" ref="A41:A53"/>
  </sortState>
  <tableColumns count="6">
    <tableColumn id="1" xr3:uid="{55394A06-FD6A-4C9A-A2EF-E6C4F9E0B683}" name="Category" dataDxfId="383"/>
    <tableColumn id="2" xr3:uid="{7E43C5BE-5B5A-4E11-AAE7-2AA2F26947A5}" name="Score Type" dataDxfId="382"/>
    <tableColumn id="3" xr3:uid="{2874D5FF-0D53-4A84-B1BA-01DECD6648F0}" name="AVG Score" dataDxfId="381"/>
    <tableColumn id="4" xr3:uid="{4067AAAD-7CC4-4842-AFFC-E86DBD4AF25A}" name="SD" dataDxfId="380"/>
    <tableColumn id="5" xr3:uid="{B7295A47-CEEF-49A1-8CDE-D052D3574070}" name="Top" dataDxfId="379"/>
    <tableColumn id="6" xr3:uid="{838EDF54-4CA4-4535-8939-E04CD239EA2C}" name="Gymnasts" dataDxfId="378"/>
  </tableColumns>
  <tableStyleInfo name="TableStyleMedium1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D37E0C30-8415-7D42-883F-1E95844C8968}" name="AA" displayName="AA" ref="A1:CU53" tableType="queryTable" totalsRowShown="0" headerRowDxfId="377">
  <autoFilter ref="A1:CU53" xr:uid="{D37E0C30-8415-7D42-883F-1E95844C8968}"/>
  <sortState xmlns:xlrd2="http://schemas.microsoft.com/office/spreadsheetml/2017/richdata2" ref="A2:CU53">
    <sortCondition descending="1" ref="CP1:CP53"/>
  </sortState>
  <tableColumns count="99">
    <tableColumn id="1" xr3:uid="{A0F4C68C-3BEF-7E4A-A42F-1E38B556A383}" uniqueName="1" name="Name" queryTableFieldId="1" dataDxfId="376"/>
    <tableColumn id="2" xr3:uid="{4BEFB37D-97B6-894C-8A45-2F1B5E4B5AFE}" uniqueName="2" name="Category" queryTableFieldId="2" dataDxfId="375"/>
    <tableColumn id="3" xr3:uid="{3CFB3DCC-D4B7-9340-BC94-20D6F91F7972}" uniqueName="3" name="License_number" queryTableFieldId="3" dataDxfId="374"/>
    <tableColumn id="4" xr3:uid="{08ED55EB-4D1E-6C46-87CC-B170E48C99ED}" uniqueName="4" name="Club" queryTableFieldId="4" dataDxfId="373"/>
    <tableColumn id="77" xr3:uid="{FA86B38A-1A8D-4527-BAAB-D1675E4F960E}" uniqueName="77" name="All around competition" queryTableFieldId="100" dataDxfId="372">
      <calculatedColumnFormula>SUM(COUNTIF(AA[[#This Row],[Bydgoszcz_all_around]],"Yes"),COUNTIF(AA[[#This Row],[Zabrze_all_around]],"Yes"),COUNTIF(AA[[#This Row],[Cracow_all_around]],"Yes"),COUNTIF(AA[[#This Row],[Gdansk_all_Around]],"Yes"))</calculatedColumnFormula>
    </tableColumn>
    <tableColumn id="5" xr3:uid="{E33AF2BB-2DAB-6F4C-A93A-E573F92916BD}" uniqueName="5" name="bydgoszcz_FX_Dscore" queryTableFieldId="5" dataDxfId="371"/>
    <tableColumn id="6" xr3:uid="{E2B97CE5-12A1-9F4C-A91A-655D47B6F2E0}" uniqueName="6" name="bydgoszcz_FX_Escore" queryTableFieldId="6" dataDxfId="370"/>
    <tableColumn id="7" xr3:uid="{01FD4BC6-572C-F441-8637-23CFE6BA5E47}" uniqueName="7" name="bydgoszcz_FX_Total_Score" queryTableFieldId="7" dataDxfId="369"/>
    <tableColumn id="8" xr3:uid="{B4CBA0C5-BA6A-F847-AC45-5FB0354C3BFF}" uniqueName="8" name="bydgoszcz_PH_Dscore" queryTableFieldId="8" dataDxfId="368"/>
    <tableColumn id="9" xr3:uid="{FCCB6C63-BB79-3F44-9F30-9105E95F358B}" uniqueName="9" name="bydgoszcz_PH_Escore" queryTableFieldId="9" dataDxfId="367"/>
    <tableColumn id="10" xr3:uid="{AC4DE782-3E5B-7641-BD43-1464D89DCDCF}" uniqueName="10" name="bydgoszcz_PH_Total_Score" queryTableFieldId="10" dataDxfId="366"/>
    <tableColumn id="11" xr3:uid="{4D3722BB-67B5-814C-983E-AEE35198FBAC}" uniqueName="11" name="bydgoszcz_SR_Dscore" queryTableFieldId="11" dataDxfId="365"/>
    <tableColumn id="12" xr3:uid="{49948A06-D778-6441-A574-511B31359583}" uniqueName="12" name="bydgoszcz_SR_Escore" queryTableFieldId="12" dataDxfId="364"/>
    <tableColumn id="13" xr3:uid="{9907086A-7622-2C42-AD33-532BD2B482FB}" uniqueName="13" name="bydgoszcz_SR_Total_Score" queryTableFieldId="13" dataDxfId="363"/>
    <tableColumn id="14" xr3:uid="{639D6BB7-0E5F-5A45-B1E4-48E77C22817C}" uniqueName="14" name="bydgoszcz_VT_Dscore" queryTableFieldId="14" dataDxfId="362"/>
    <tableColumn id="15" xr3:uid="{A4EB8499-89DB-AA4B-867A-BA4D1BCEF6CE}" uniqueName="15" name="bydgoszcz_VT_Escore" queryTableFieldId="15" dataDxfId="361"/>
    <tableColumn id="16" xr3:uid="{B2A6733B-66DD-2C4B-AD98-BDE3C38AB42C}" uniqueName="16" name="bydgoszcz_VT_Total_Score" queryTableFieldId="16" dataDxfId="360"/>
    <tableColumn id="17" xr3:uid="{AB11FBCF-EB0E-0942-A0C9-0FAE991E53F5}" uniqueName="17" name="bydgoszcz_PB_Dscore" queryTableFieldId="17" dataDxfId="359"/>
    <tableColumn id="18" xr3:uid="{8D9A1FE4-85CB-6D4E-9A38-3496B963CA84}" uniqueName="18" name="bydgoszcz_PB_Escore" queryTableFieldId="18" dataDxfId="358"/>
    <tableColumn id="19" xr3:uid="{6BC14334-BE5F-6847-BD2B-B2D5F71E53EA}" uniqueName="19" name="bydgoszcz_PB_Total_Score" queryTableFieldId="19" dataDxfId="357"/>
    <tableColumn id="20" xr3:uid="{5D5B8006-1F07-8049-96A9-E87B322D3969}" uniqueName="20" name="bydgoszcz_HB_Dscore" queryTableFieldId="20" dataDxfId="356"/>
    <tableColumn id="21" xr3:uid="{9AA1D85F-C429-124B-920B-BCDA1796B838}" uniqueName="21" name="bydgoszcz_HB_Escore" queryTableFieldId="21" dataDxfId="355"/>
    <tableColumn id="22" xr3:uid="{84769130-5142-7340-91CA-97857F4489BC}" uniqueName="22" name="bydgoszcz_HB_Total_Score" queryTableFieldId="22" dataDxfId="354"/>
    <tableColumn id="92" xr3:uid="{0083EFF3-AB01-4A93-8481-54F7B242A2A5}" uniqueName="92" name="bydgoszcz_DScore" queryTableFieldId="87" dataDxfId="353">
      <calculatedColumnFormula>SUM(F2,I2,L2,O2,R2,U2)</calculatedColumnFormula>
    </tableColumn>
    <tableColumn id="91" xr3:uid="{91AB8CE3-F17D-4E1B-AC16-B8523F7C44F7}" uniqueName="91" name="bydgoszcz_Escore" queryTableFieldId="86" dataDxfId="352">
      <calculatedColumnFormula>SUM(G2,J2,M2,P2,S2,V2)</calculatedColumnFormula>
    </tableColumn>
    <tableColumn id="79" xr3:uid="{07ACE350-A455-4FE4-BE26-8F06B6A009FA}" uniqueName="79" name="bydgoszcz_Total_Score" queryTableFieldId="78" dataDxfId="351">
      <calculatedColumnFormula>SUM(H2,K2,N2,Q2,T2,W2)</calculatedColumnFormula>
    </tableColumn>
    <tableColumn id="78" xr3:uid="{608F0400-8541-4BC2-B29F-8CF131954EE5}" uniqueName="78" name="Bydgoszcz_all_around" queryTableFieldId="101" dataDxfId="350">
      <calculatedColumnFormula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calculatedColumnFormula>
    </tableColumn>
    <tableColumn id="23" xr3:uid="{596863DF-F675-2D40-BE7C-4B39A45F4BCD}" uniqueName="23" name="zabrze_FX_Dscore" queryTableFieldId="23" dataDxfId="349"/>
    <tableColumn id="24" xr3:uid="{48CEC38E-9058-D245-A585-5549DC93ACA0}" uniqueName="24" name="zabrze_FX_Escore" queryTableFieldId="24" dataDxfId="348"/>
    <tableColumn id="25" xr3:uid="{D5FA8146-DF9E-484E-8200-1B59B79C2FBB}" uniqueName="25" name="zabrze_FX_Total_Score" queryTableFieldId="25" dataDxfId="347"/>
    <tableColumn id="26" xr3:uid="{EF1BA7E4-C170-854E-9CE7-115B3BE3A72B}" uniqueName="26" name="zabrze_PH_Dscore" queryTableFieldId="26" dataDxfId="346"/>
    <tableColumn id="27" xr3:uid="{E3ACFDCE-B8D0-E840-9394-8A42C952DE36}" uniqueName="27" name="zabrze_PH_Escore" queryTableFieldId="27" dataDxfId="345"/>
    <tableColumn id="28" xr3:uid="{8EC27F9F-B15A-5F4A-8F80-A9F0CAC4D16A}" uniqueName="28" name="zabrze_PH_Total_Score" queryTableFieldId="28" dataDxfId="344"/>
    <tableColumn id="29" xr3:uid="{65D00C65-E8D7-C647-AC1A-49FCA0B92A2B}" uniqueName="29" name="zabrze_SR_Dscore" queryTableFieldId="29" dataDxfId="343"/>
    <tableColumn id="30" xr3:uid="{996187EF-FAF7-6C4E-8F54-5EF2EC692D27}" uniqueName="30" name="zabrze_SR_Escore" queryTableFieldId="30" dataDxfId="342"/>
    <tableColumn id="31" xr3:uid="{992A4A95-519E-9A4B-AF03-A4DF05F839DC}" uniqueName="31" name="zabrze_SR_Total_Score" queryTableFieldId="31" dataDxfId="341"/>
    <tableColumn id="32" xr3:uid="{BEE6E491-483B-6A4C-8032-5F15AA0AF56F}" uniqueName="32" name="zabrze_VT_Dscore" queryTableFieldId="32" dataDxfId="340"/>
    <tableColumn id="33" xr3:uid="{99298D7A-2E65-144D-9C89-DBB895765AFE}" uniqueName="33" name="zabrze_VT_Escore" queryTableFieldId="33" dataDxfId="339"/>
    <tableColumn id="34" xr3:uid="{2611841B-1FE0-6C46-A2BE-BCF2CC65A75E}" uniqueName="34" name="zabrze_VT_Total_Score" queryTableFieldId="34" dataDxfId="338"/>
    <tableColumn id="35" xr3:uid="{1F369EB2-7C92-6042-A86B-A18768D00747}" uniqueName="35" name="zabrze_PB_Dscore" queryTableFieldId="35" dataDxfId="337"/>
    <tableColumn id="36" xr3:uid="{012352FA-92A2-E642-9C09-B74BE42D7208}" uniqueName="36" name="zabrze_PB_Escore" queryTableFieldId="36" dataDxfId="336"/>
    <tableColumn id="37" xr3:uid="{8DE58518-6848-9741-A632-23299AED6C2F}" uniqueName="37" name="zabrze_PB_Total_Score" queryTableFieldId="37" dataDxfId="335"/>
    <tableColumn id="38" xr3:uid="{25354A0E-5743-904F-81EB-9285B4B051AD}" uniqueName="38" name="zabrze_HB_Dscore" queryTableFieldId="38" dataDxfId="334"/>
    <tableColumn id="39" xr3:uid="{07E914B6-E16C-D946-84D6-D3D827868EB4}" uniqueName="39" name="zabrze_HB_Escore" queryTableFieldId="39" dataDxfId="333"/>
    <tableColumn id="40" xr3:uid="{CD6BF288-F267-994E-B7C6-7DF50D32DD1D}" uniqueName="40" name="zabrze_HB_Total_Score" queryTableFieldId="40" dataDxfId="332"/>
    <tableColumn id="94" xr3:uid="{2469CE54-631C-4505-A541-34AEBD8456D0}" uniqueName="94" name="zabrze_Dscore" queryTableFieldId="89" dataDxfId="331">
      <calculatedColumnFormula>SUM(AB2,AE2,AH2,AK2,AN2,AQ2)</calculatedColumnFormula>
    </tableColumn>
    <tableColumn id="93" xr3:uid="{0D5B59AA-1A79-4650-BD15-38E37A97490E}" uniqueName="93" name="zabrze_Escore" queryTableFieldId="88" dataDxfId="330">
      <calculatedColumnFormula>SUM(AC2,AF2,AI2,AL2,AO2,AR2)</calculatedColumnFormula>
    </tableColumn>
    <tableColumn id="81" xr3:uid="{3FFA73EB-D046-4C42-BF8C-47396657EA3B}" uniqueName="81" name="zabrze_Total_Score" queryTableFieldId="80" dataDxfId="329">
      <calculatedColumnFormula>SUM(AD2,AG2,AJ2,AM2,AP2,AS2)</calculatedColumnFormula>
    </tableColumn>
    <tableColumn id="87" xr3:uid="{946F3A28-E3DD-4A44-8E37-8980FE008CAF}" uniqueName="87" name="Zabrze_all_around" queryTableFieldId="103" dataDxfId="328">
      <calculatedColumnFormula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calculatedColumnFormula>
    </tableColumn>
    <tableColumn id="41" xr3:uid="{83723CBF-EDD3-A943-AFB4-61288E80AF51}" uniqueName="41" name="cracow_FX_Dscore" queryTableFieldId="41" dataDxfId="327"/>
    <tableColumn id="42" xr3:uid="{6ABE5EF5-2CE8-DF4D-97B5-5E0A5973146A}" uniqueName="42" name="cracow_FX_Escore" queryTableFieldId="42" dataDxfId="326"/>
    <tableColumn id="43" xr3:uid="{CC41A20E-20FC-D24E-A278-BA46F8C13439}" uniqueName="43" name="cracow_FX_Total_Score" queryTableFieldId="43" dataDxfId="325"/>
    <tableColumn id="44" xr3:uid="{D9158633-1136-5D4F-81DE-6C6E993B2C84}" uniqueName="44" name="cracow_PH_Dscore" queryTableFieldId="44" dataDxfId="324"/>
    <tableColumn id="45" xr3:uid="{0156C7E3-6469-2441-B69B-DA710A55D2EC}" uniqueName="45" name="cracow_PH_Escore" queryTableFieldId="45" dataDxfId="323"/>
    <tableColumn id="46" xr3:uid="{5283AA34-1333-E842-BD7E-F8B10E74CC33}" uniqueName="46" name="cracow_PH_Total_Score" queryTableFieldId="46" dataDxfId="322"/>
    <tableColumn id="47" xr3:uid="{274B8B6F-EE68-5E45-8FD1-AC6E7829FA8C}" uniqueName="47" name="cracow_SR_Dscore" queryTableFieldId="47" dataDxfId="321"/>
    <tableColumn id="48" xr3:uid="{C882B2BC-DCBB-0B4F-B692-8976635862DD}" uniqueName="48" name="cracow_SR_Escore" queryTableFieldId="48" dataDxfId="320"/>
    <tableColumn id="49" xr3:uid="{6D987393-6558-6540-8E4D-F4238732DEE2}" uniqueName="49" name="cracow_SR_Total_Score" queryTableFieldId="49" dataDxfId="319"/>
    <tableColumn id="50" xr3:uid="{3D27D92D-1C8C-2A43-83D4-B911B14E7BD2}" uniqueName="50" name="cracow_VT_Dscore" queryTableFieldId="50" dataDxfId="318"/>
    <tableColumn id="51" xr3:uid="{649243DE-B27D-F74F-A7F5-A59374FD89C4}" uniqueName="51" name="cracow_VT_Escore" queryTableFieldId="51" dataDxfId="317"/>
    <tableColumn id="52" xr3:uid="{5D53F1AA-6757-D345-A141-647076C60E7A}" uniqueName="52" name="cracow_VT_Total_Score" queryTableFieldId="52" dataDxfId="316"/>
    <tableColumn id="53" xr3:uid="{983370E5-862E-3241-A4E5-8AC50935F6AB}" uniqueName="53" name="cracow_PB_Dscore" queryTableFieldId="53" dataDxfId="315"/>
    <tableColumn id="54" xr3:uid="{278EC2BD-5DFA-5848-A9EF-DAE729E711B9}" uniqueName="54" name="cracow_PB_Escore" queryTableFieldId="54" dataDxfId="314"/>
    <tableColumn id="55" xr3:uid="{1A56F995-B360-EB47-99E6-8AAFE27A9EDB}" uniqueName="55" name="cracow_PB_Total_Score" queryTableFieldId="55" dataDxfId="313"/>
    <tableColumn id="56" xr3:uid="{F8E00BEC-8BFB-434F-B401-5BB102379643}" uniqueName="56" name="cracow_HB_Dscore" queryTableFieldId="56" dataDxfId="312"/>
    <tableColumn id="57" xr3:uid="{D10DC951-1A03-0448-B4E6-DBBE90CDC9E2}" uniqueName="57" name="cracow_HB_Escore" queryTableFieldId="57" dataDxfId="311"/>
    <tableColumn id="58" xr3:uid="{0E6AA6E3-564E-AC41-9FD2-07FA61D6F369}" uniqueName="58" name="cracow_HB_Total_Score" queryTableFieldId="58" dataDxfId="310"/>
    <tableColumn id="96" xr3:uid="{BC218C52-6BAF-4FFA-9368-895D5AA90706}" uniqueName="96" name="cracow_Dscore" queryTableFieldId="91" dataDxfId="309">
      <calculatedColumnFormula>SUM(AX2,BA2,BD2,BG2,BJ2,BM2)</calculatedColumnFormula>
    </tableColumn>
    <tableColumn id="95" xr3:uid="{7A53CC57-B206-40CF-BF49-7BBE6CAF337D}" uniqueName="95" name="cracow_Escore" queryTableFieldId="90" dataDxfId="308">
      <calculatedColumnFormula>SUM(AY2,BB2,BE2,BH2,BK2,BN2)</calculatedColumnFormula>
    </tableColumn>
    <tableColumn id="82" xr3:uid="{F6FC0506-32CF-48A3-BD94-E42E529EF06C}" uniqueName="82" name="cracow_Total_Score" queryTableFieldId="81" dataDxfId="307">
      <calculatedColumnFormula>SUM(AZ2,BC2,BF2,BI2,BL2,BO2)</calculatedColumnFormula>
    </tableColumn>
    <tableColumn id="80" xr3:uid="{AFAFBE53-33F5-4525-8B87-021A780AFADA}" uniqueName="80" name="Cracow_all_around" queryTableFieldId="102" dataDxfId="306">
      <calculatedColumnFormula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calculatedColumnFormula>
    </tableColumn>
    <tableColumn id="59" xr3:uid="{D074142C-459E-DD46-B3C7-D5C0F14359F6}" uniqueName="59" name="gdansk_FX_Dscore" queryTableFieldId="59" dataDxfId="305"/>
    <tableColumn id="60" xr3:uid="{AAB67134-F964-C042-B6D2-C2489AE62863}" uniqueName="60" name="gdansk_FX_Escore" queryTableFieldId="60" dataDxfId="304"/>
    <tableColumn id="61" xr3:uid="{70A6D2B6-CE56-8645-A674-8B85E8F6E439}" uniqueName="61" name="gdansk_FX_Total_Score" queryTableFieldId="61" dataDxfId="303"/>
    <tableColumn id="62" xr3:uid="{E98B17A5-4F03-AB45-81FB-BDC94F8B5534}" uniqueName="62" name="gdansk_PH_Dscore" queryTableFieldId="62" dataDxfId="302"/>
    <tableColumn id="63" xr3:uid="{EF3DC98B-ADBA-CE44-A00F-A058D6C79018}" uniqueName="63" name="gdansk_PH_Escore" queryTableFieldId="63" dataDxfId="301"/>
    <tableColumn id="64" xr3:uid="{C616906C-AF6B-5949-ADDC-1BEFAE6F3B3A}" uniqueName="64" name="gdansk_PH_Total_Score" queryTableFieldId="64" dataDxfId="300"/>
    <tableColumn id="65" xr3:uid="{37AE2CC2-8C99-144A-B0DB-A2CB3BB6FAD6}" uniqueName="65" name="gdansk_SR_Dscore" queryTableFieldId="65" dataDxfId="299"/>
    <tableColumn id="66" xr3:uid="{1746D0F3-2231-F24B-918D-480058E159D0}" uniqueName="66" name="gdansk_SR_Escore" queryTableFieldId="66" dataDxfId="298"/>
    <tableColumn id="67" xr3:uid="{5590D661-F4B8-F543-9DC6-C595F0598AE6}" uniqueName="67" name="gdansk_SR_Total_Score" queryTableFieldId="67" dataDxfId="297"/>
    <tableColumn id="68" xr3:uid="{4B96238E-E5B8-F44C-8CDC-5E62C882F379}" uniqueName="68" name="gdansk_VT_Dscore" queryTableFieldId="68" dataDxfId="296"/>
    <tableColumn id="69" xr3:uid="{FA324B52-089E-414E-86FC-C330A639AD6E}" uniqueName="69" name="gdansk_VT_Escore" queryTableFieldId="69" dataDxfId="295"/>
    <tableColumn id="70" xr3:uid="{C743E507-DA5E-CF41-82E0-C9AC8C434A0F}" uniqueName="70" name="gdansk_VT_Total_Score" queryTableFieldId="70" dataDxfId="294"/>
    <tableColumn id="71" xr3:uid="{FED355F7-4F5C-214E-BC19-1D807F3A15B2}" uniqueName="71" name="gdansk_PB_Dscore" queryTableFieldId="71" dataDxfId="293"/>
    <tableColumn id="72" xr3:uid="{057D45A4-5391-BA4B-BDA1-4B870A1AD8F1}" uniqueName="72" name="gdansk_PB_Escore" queryTableFieldId="72" dataDxfId="292"/>
    <tableColumn id="73" xr3:uid="{8326483C-0111-4344-82A8-0815FA5D1E75}" uniqueName="73" name="gdansk_PB_Total_Score" queryTableFieldId="73" dataDxfId="291"/>
    <tableColumn id="74" xr3:uid="{7904DBA2-A0C6-8244-9405-39CD3C473D74}" uniqueName="74" name="gdansk_HB_Dscore" queryTableFieldId="74" dataDxfId="290"/>
    <tableColumn id="75" xr3:uid="{8874B3DB-285E-604B-8618-574CE032DD67}" uniqueName="75" name="gdansk_HB_Escore" queryTableFieldId="75" dataDxfId="289"/>
    <tableColumn id="76" xr3:uid="{D3F0C2E1-7D54-2A47-9D4D-DC57A19D2F17}" uniqueName="76" name="gdansk_HB_Total_Score" queryTableFieldId="76" dataDxfId="288"/>
    <tableColumn id="98" xr3:uid="{7B3BD5E2-A867-4ABF-A430-45CDD0EF9BD9}" uniqueName="98" name="gdansk_Dscore" queryTableFieldId="93" dataDxfId="287">
      <calculatedColumnFormula>SUM(BT2,BW2,BZ2,CC2,CF2,CI2)</calculatedColumnFormula>
    </tableColumn>
    <tableColumn id="97" xr3:uid="{5351A074-31FA-4640-B6FD-F5667E2D5E29}" uniqueName="97" name="gdansk_Escore" queryTableFieldId="92" dataDxfId="286">
      <calculatedColumnFormula>SUM(BU2,BX2,CA2,CD2,CG2,CJ2)</calculatedColumnFormula>
    </tableColumn>
    <tableColumn id="83" xr3:uid="{9809E0A8-F6FC-4ABD-8104-D27FFF960371}" uniqueName="83" name="gdansk_Total_Score" queryTableFieldId="82" dataDxfId="285">
      <calculatedColumnFormula>SUM(BV2,BY2,CB2,CE2,CH2,CK2)</calculatedColumnFormula>
    </tableColumn>
    <tableColumn id="88" xr3:uid="{ADB678A1-9B47-4193-97D4-A24B7B571E94}" uniqueName="88" name="Gdansk_all_Around" queryTableFieldId="104" dataDxfId="284">
      <calculatedColumnFormula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calculatedColumnFormula>
    </tableColumn>
    <tableColumn id="84" xr3:uid="{0F203390-4F05-4B33-B7A4-D0F1F88697DB}" uniqueName="84" name="Year_AA_Dscore" queryTableFieldId="83" dataDxfId="283">
      <calculatedColumnFormula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calculatedColumnFormula>
    </tableColumn>
    <tableColumn id="85" xr3:uid="{A574CD8C-BD07-4892-AA22-D9D5A3AFD058}" uniqueName="85" name="Year_AA_Escore" queryTableFieldId="84" dataDxfId="282">
      <calculatedColumnFormula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calculatedColumnFormula>
    </tableColumn>
    <tableColumn id="86" xr3:uid="{08E572F2-7D70-4BE9-895A-2DA78B2DE775}" uniqueName="86" name="Year_AA_Total_Score" queryTableFieldId="85" dataDxfId="281">
      <calculatedColumnFormula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calculatedColumnFormula>
    </tableColumn>
    <tableColumn id="100" xr3:uid="{E310DD4E-AAAA-4881-BA41-5E03624E3008}" uniqueName="100" name="AVG_AA_Dscore" queryTableFieldId="95" dataDxfId="280">
      <calculatedColumnFormula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calculatedColumnFormula>
    </tableColumn>
    <tableColumn id="101" xr3:uid="{E4371F69-A316-46EA-86B3-3B83B75210B3}" uniqueName="101" name="AVG_AA_Escore" queryTableFieldId="96" dataDxfId="279">
      <calculatedColumnFormula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calculatedColumnFormula>
    </tableColumn>
    <tableColumn id="102" xr3:uid="{CD35E152-8C9B-4FDB-9DA8-AD53D11F2FE6}" uniqueName="102" name="AVG_AA_Total_Score" queryTableFieldId="97" dataDxfId="278">
      <calculatedColumnFormula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calculatedColumnFormula>
    </tableColumn>
  </tableColumns>
  <tableStyleInfo name="TableStyleLight8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C9C24E-D64B-4A81-802B-45B38330DF82}" name="AA_Calculation" displayName="AA_Calculation" ref="A57:X69" totalsRowShown="0" headerRowDxfId="277" dataDxfId="275" headerRowBorderDxfId="276" tableBorderDxfId="274">
  <autoFilter ref="A57:X69" xr:uid="{89C9C24E-D64B-4A81-802B-45B38330DF82}"/>
  <sortState xmlns:xlrd2="http://schemas.microsoft.com/office/spreadsheetml/2017/richdata2" ref="A58:X69">
    <sortCondition descending="1" ref="A57:A69"/>
  </sortState>
  <tableColumns count="24">
    <tableColumn id="1" xr3:uid="{5745AFAA-C281-48B7-9672-20D12A4F8B94}" name="Category" dataDxfId="273"/>
    <tableColumn id="2" xr3:uid="{165007AF-FD87-4209-9A86-9F0FD550F51C}" name="Score Type" dataDxfId="272"/>
    <tableColumn id="3" xr3:uid="{FA2124D0-7132-47A4-B19A-4ADCDDF332EC}" name="AVG Score" dataDxfId="271"/>
    <tableColumn id="4" xr3:uid="{74184D8E-CE2E-4BB0-9CA7-7B3B2E8AFC55}" name="SD" dataDxfId="270"/>
    <tableColumn id="5" xr3:uid="{3CDE4BA3-EA4B-4529-B77A-1C5BFEC2C722}" name="Top" dataDxfId="269"/>
    <tableColumn id="6" xr3:uid="{7A42F4AD-3EA1-4651-BBFD-161C6B7C945D}" name="Gymnasts" dataDxfId="268"/>
    <tableColumn id="7" xr3:uid="{203A70C4-B095-4996-A71C-1874C609AF8F}" name="Kolumna1" dataDxfId="267"/>
    <tableColumn id="8" xr3:uid="{B04BB4D8-65FB-40E0-9B1B-20D8B7D86FFE}" name="Kolumna2" dataDxfId="266"/>
    <tableColumn id="9" xr3:uid="{7325D1AD-7900-405A-9339-AC6AF590A3BA}" name="Kolumna3" dataDxfId="265"/>
    <tableColumn id="10" xr3:uid="{ABB004C0-7722-4AAE-AB3A-7B1F5F3713D1}" name="Kolumna4" dataDxfId="264"/>
    <tableColumn id="11" xr3:uid="{84DDD7B9-2906-490A-8149-8D4CDD801D3D}" name="Kolumna5" dataDxfId="263"/>
    <tableColumn id="12" xr3:uid="{AC3849E7-8FBD-4563-8ED7-8B630FF032CE}" name="Kolumna6" dataDxfId="262"/>
    <tableColumn id="13" xr3:uid="{BFE25C85-58A3-40C0-BCF7-9EA628BAEA4D}" name="Kolumna7" dataDxfId="261"/>
    <tableColumn id="14" xr3:uid="{2631C946-9F5F-49E7-91F0-3A4BE35CFDB3}" name="Kolumna8" dataDxfId="260"/>
    <tableColumn id="15" xr3:uid="{AF5518A8-99CB-48D4-91F1-2C0F692BE724}" name="Kolumna9" dataDxfId="259"/>
    <tableColumn id="16" xr3:uid="{8EA33144-7AB6-4020-88CC-79A915384F27}" name="Kolumna10" dataDxfId="258"/>
    <tableColumn id="17" xr3:uid="{56E65D86-0C57-4F72-9C8A-414F8FDD6010}" name="Kolumna11" dataDxfId="257"/>
    <tableColumn id="18" xr3:uid="{4C2C779D-41C3-4AEC-90BA-6E3C7676EC91}" name="Kolumna12" dataDxfId="256"/>
    <tableColumn id="19" xr3:uid="{D812E4B9-7E8D-436A-B5CD-EF34119ACEBF}" name="Kolumna13" dataDxfId="255"/>
    <tableColumn id="20" xr3:uid="{BFFD35D5-EA5A-4368-9870-40FFC5208168}" name="Kolumna14" dataDxfId="254"/>
    <tableColumn id="21" xr3:uid="{A09E4A70-23B0-47C5-912F-66DA10ED4EB9}" name="Kolumna15" dataDxfId="253"/>
    <tableColumn id="22" xr3:uid="{BF2D0EC6-2CD9-4B26-AED6-FF8CF88A88EB}" name="Kolumna16" dataDxfId="252"/>
    <tableColumn id="23" xr3:uid="{7F8F4158-5D26-49B8-B842-6981CAC07304}" name="Kolumna17" dataDxfId="251"/>
    <tableColumn id="24" xr3:uid="{14657628-10CC-4A71-9864-A6AD70E80934}" name="Best Gymnasts" dataDxfId="250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microsoft.com/office/2007/relationships/slicer" Target="../slicers/slicer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Relationship Id="rId6" Type="http://schemas.openxmlformats.org/officeDocument/2006/relationships/table" Target="../tables/table3.xml"/><Relationship Id="rId5" Type="http://schemas.openxmlformats.org/officeDocument/2006/relationships/table" Target="../tables/table2.xml"/><Relationship Id="rId4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2.xml"/><Relationship Id="rId1" Type="http://schemas.openxmlformats.org/officeDocument/2006/relationships/pivotTable" Target="../pivotTables/pivotTable2.xml"/><Relationship Id="rId6" Type="http://schemas.microsoft.com/office/2007/relationships/slicer" Target="../slicers/slicer2.xml"/><Relationship Id="rId5" Type="http://schemas.openxmlformats.org/officeDocument/2006/relationships/table" Target="../tables/table6.xml"/><Relationship Id="rId4" Type="http://schemas.openxmlformats.org/officeDocument/2006/relationships/table" Target="../tables/table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ivotTable" Target="../pivotTables/pivotTable3.xml"/><Relationship Id="rId6" Type="http://schemas.microsoft.com/office/2007/relationships/slicer" Target="../slicers/slicer3.xml"/><Relationship Id="rId5" Type="http://schemas.openxmlformats.org/officeDocument/2006/relationships/table" Target="../tables/table9.xml"/><Relationship Id="rId4" Type="http://schemas.openxmlformats.org/officeDocument/2006/relationships/table" Target="../tables/table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drawing" Target="../drawings/drawing4.xml"/><Relationship Id="rId1" Type="http://schemas.openxmlformats.org/officeDocument/2006/relationships/pivotTable" Target="../pivotTables/pivotTable4.xml"/><Relationship Id="rId6" Type="http://schemas.microsoft.com/office/2007/relationships/slicer" Target="../slicers/slicer4.xml"/><Relationship Id="rId5" Type="http://schemas.openxmlformats.org/officeDocument/2006/relationships/table" Target="../tables/table12.xml"/><Relationship Id="rId4" Type="http://schemas.openxmlformats.org/officeDocument/2006/relationships/table" Target="../tables/table11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6.xml"/><Relationship Id="rId1" Type="http://schemas.openxmlformats.org/officeDocument/2006/relationships/table" Target="../tables/table15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8.xml"/><Relationship Id="rId1" Type="http://schemas.openxmlformats.org/officeDocument/2006/relationships/table" Target="../tables/table1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0.xml"/><Relationship Id="rId1" Type="http://schemas.openxmlformats.org/officeDocument/2006/relationships/table" Target="../tables/table19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2.xml"/><Relationship Id="rId1" Type="http://schemas.openxmlformats.org/officeDocument/2006/relationships/table" Target="../tables/table21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4.xml"/><Relationship Id="rId1" Type="http://schemas.openxmlformats.org/officeDocument/2006/relationships/table" Target="../tables/table2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6.xml"/><Relationship Id="rId1" Type="http://schemas.openxmlformats.org/officeDocument/2006/relationships/table" Target="../tables/table2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B2C691-1EA7-7D49-9717-DB7B11398D4D}">
  <sheetPr codeName="Arkusz1">
    <tabColor theme="4" tint="0.39997558519241921"/>
  </sheetPr>
  <dimension ref="A1:AV673"/>
  <sheetViews>
    <sheetView topLeftCell="R1" zoomScale="70" zoomScaleNormal="70" workbookViewId="0">
      <selection activeCell="AS1" sqref="AS1"/>
    </sheetView>
  </sheetViews>
  <sheetFormatPr defaultColWidth="11" defaultRowHeight="15.75" x14ac:dyDescent="0.25"/>
  <cols>
    <col min="1" max="1" width="9.5" style="2" customWidth="1"/>
    <col min="2" max="2" width="24.125" customWidth="1"/>
    <col min="3" max="4" width="15" style="2" customWidth="1"/>
    <col min="5" max="5" width="15.375" style="2" customWidth="1"/>
    <col min="6" max="6" width="17" customWidth="1"/>
    <col min="7" max="7" width="12.375" customWidth="1"/>
    <col min="8" max="8" width="13.625" style="2" customWidth="1"/>
    <col min="9" max="9" width="14.625" style="2" customWidth="1"/>
    <col min="10" max="10" width="19.5" style="2" bestFit="1" customWidth="1"/>
    <col min="11" max="11" width="12.875" style="2" customWidth="1"/>
    <col min="12" max="13" width="10.375" style="2" customWidth="1"/>
    <col min="14" max="14" width="9" style="2" customWidth="1"/>
    <col min="15" max="15" width="15.25" style="2" customWidth="1"/>
    <col min="16" max="16" width="14" style="2" customWidth="1"/>
    <col min="17" max="17" width="16.25" style="2" bestFit="1" customWidth="1"/>
    <col min="18" max="27" width="9" style="2" customWidth="1"/>
    <col min="28" max="28" width="10.375" style="2" customWidth="1"/>
    <col min="29" max="29" width="11.625" bestFit="1" customWidth="1"/>
    <col min="30" max="30" width="18.5" bestFit="1" customWidth="1"/>
    <col min="31" max="31" width="14.5" bestFit="1" customWidth="1"/>
    <col min="35" max="35" width="17.25" bestFit="1" customWidth="1"/>
    <col min="36" max="36" width="17.5" bestFit="1" customWidth="1"/>
    <col min="37" max="37" width="6.375" bestFit="1" customWidth="1"/>
    <col min="38" max="38" width="14" bestFit="1" customWidth="1"/>
  </cols>
  <sheetData>
    <row r="1" spans="1:48" s="2" customFormat="1" x14ac:dyDescent="0.25">
      <c r="A1" s="4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243</v>
      </c>
      <c r="H1" s="2" t="s">
        <v>6</v>
      </c>
      <c r="I1" s="2" t="s">
        <v>7</v>
      </c>
      <c r="J1" s="2" t="s">
        <v>131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C1"/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N1" t="s">
        <v>1</v>
      </c>
      <c r="AO1" t="s">
        <v>2</v>
      </c>
      <c r="AP1" t="s">
        <v>3</v>
      </c>
      <c r="AQ1" t="s">
        <v>5</v>
      </c>
      <c r="AR1" t="s">
        <v>243</v>
      </c>
      <c r="AS1" t="s">
        <v>318</v>
      </c>
      <c r="AT1" t="s">
        <v>217</v>
      </c>
      <c r="AU1" t="s">
        <v>315</v>
      </c>
      <c r="AV1" t="s">
        <v>309</v>
      </c>
    </row>
    <row r="2" spans="1:48" x14ac:dyDescent="0.25">
      <c r="A2" s="2">
        <v>1</v>
      </c>
      <c r="B2" t="s">
        <v>63</v>
      </c>
      <c r="C2" s="2" t="s">
        <v>60</v>
      </c>
      <c r="D2" s="2">
        <v>1997</v>
      </c>
      <c r="E2" s="2" t="s">
        <v>64</v>
      </c>
      <c r="F2" t="s">
        <v>39</v>
      </c>
      <c r="G2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" s="5">
        <v>5.8</v>
      </c>
      <c r="I2" s="8">
        <v>7.8</v>
      </c>
      <c r="J2" s="8">
        <v>13.6</v>
      </c>
      <c r="K2" s="5">
        <v>4.4000000000000004</v>
      </c>
      <c r="L2" s="8">
        <v>7.1</v>
      </c>
      <c r="M2" s="8">
        <v>11.5</v>
      </c>
      <c r="N2" s="5">
        <v>4.5999999999999996</v>
      </c>
      <c r="O2" s="8">
        <v>7.2</v>
      </c>
      <c r="P2" s="8">
        <v>11.8</v>
      </c>
      <c r="Q2" s="5">
        <v>4.8</v>
      </c>
      <c r="R2" s="8">
        <v>8.6999999999999993</v>
      </c>
      <c r="S2" s="8">
        <v>13.5</v>
      </c>
      <c r="T2" s="5">
        <v>4.2</v>
      </c>
      <c r="U2" s="8">
        <v>8.6</v>
      </c>
      <c r="V2" s="8">
        <v>12.8</v>
      </c>
      <c r="W2" s="5">
        <v>4.4000000000000004</v>
      </c>
      <c r="X2" s="8">
        <v>8</v>
      </c>
      <c r="Y2" s="8">
        <v>12.4</v>
      </c>
      <c r="Z2" s="4">
        <f>IF(Bydgoszcz_result[[#This Row],[All Around]]="Yes",SUM(H2,K2,N2,Q2,T2,W2),0)</f>
        <v>28.199999999999996</v>
      </c>
      <c r="AA2" s="7">
        <f>IF(Bydgoszcz_result[[#This Row],[All Around]]="Yes",SUM(I2,L2,O2,R2,U2,X2),0)</f>
        <v>47.4</v>
      </c>
      <c r="AB2" s="7">
        <f t="shared" ref="AB2:AB33" si="0">SUM(J2,M2,P2,S2,V2,Y2)</f>
        <v>75.600000000000009</v>
      </c>
      <c r="AD2" s="41" t="s">
        <v>60</v>
      </c>
      <c r="AE2" s="20" t="s">
        <v>243</v>
      </c>
      <c r="AF2" s="21">
        <f>AVERAGEIFS(Bydgoszcz_result[AA_Dscore],Bydgoszcz_result[[Category]:[Category]],"senior",Bydgoszcz_result[AA_Dscore],"&lt;&gt;0",Bydgoszcz_result[All Around],"Yes")</f>
        <v>22.3</v>
      </c>
      <c r="AG2" s="21" cm="1">
        <f t="array" ref="AG2">_xlfn.STDEV.S(_xlfn._xlws.FILTER(Bydgoszcz_result[AA_Dscore],(Bydgoszcz_result[Category]="senior")*(Bydgoszcz_result[All Around]="yes")))</f>
        <v>2.9056595022227105</v>
      </c>
      <c r="AH2" s="22">
        <f>AVERAGEIFS(Bydgoszcz_result[AA_Escore],Bydgoszcz_result[[Category]:[Category]],"senior",Bydgoszcz_result[AA_Escore],"&lt;&gt;0",Bydgoszcz_result[All Around],"Yes")</f>
        <v>46.043750000000003</v>
      </c>
      <c r="AI2" s="22" cm="1">
        <f t="array" ref="AI2">_xlfn.STDEV.S(_xlfn._xlws.FILTER(Bydgoszcz_result[AA_Escore],(Bydgoszcz_result[Category]="senior")*(Bydgoszcz_result[All Around]="yes")))</f>
        <v>3.8497158986086215</v>
      </c>
      <c r="AJ2" s="22">
        <f>AVERAGEIFS(Bydgoszcz_result[Total_Score],Bydgoszcz_result[[Category]:[Category]],"senior",Bydgoszcz_result[Total_Score],"&lt;&gt;0",Bydgoszcz_result[All Around],"Yes")</f>
        <v>68.34375</v>
      </c>
      <c r="AK2" s="22" cm="1">
        <f t="array" ref="AK2">_xlfn.STDEV.S(_xlfn._xlws.FILTER(Bydgoszcz_result[Total_Score],(Bydgoszcz_result[Category]="senior")*(Bydgoszcz_result[All Around]="yes")))</f>
        <v>5.9448920151192475</v>
      </c>
      <c r="AL2" s="22" cm="1">
        <f t="array" ref="AL2">MAX(_xlfn._xlws.FILTER(Bydgoszcz_result[Total_Score],Bydgoszcz_result[Category]="senior"))</f>
        <v>75.600000000000009</v>
      </c>
      <c r="AN2" t="s">
        <v>63</v>
      </c>
      <c r="AO2" t="s">
        <v>60</v>
      </c>
      <c r="AP2">
        <v>1997</v>
      </c>
      <c r="AQ2" t="s">
        <v>39</v>
      </c>
      <c r="AR2" t="s">
        <v>306</v>
      </c>
      <c r="AS2" t="s">
        <v>319</v>
      </c>
      <c r="AT2" t="s">
        <v>218</v>
      </c>
      <c r="AU2" t="s">
        <v>310</v>
      </c>
      <c r="AV2">
        <v>5.8</v>
      </c>
    </row>
    <row r="3" spans="1:48" x14ac:dyDescent="0.25">
      <c r="A3" s="2">
        <v>2</v>
      </c>
      <c r="B3" t="s">
        <v>141</v>
      </c>
      <c r="C3" s="2" t="s">
        <v>60</v>
      </c>
      <c r="D3" s="2">
        <v>2000</v>
      </c>
      <c r="E3" s="2" t="s">
        <v>128</v>
      </c>
      <c r="F3" t="s">
        <v>72</v>
      </c>
      <c r="G3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3" s="5">
        <v>4.4000000000000004</v>
      </c>
      <c r="I3" s="8">
        <v>8.6999999999999993</v>
      </c>
      <c r="J3" s="8">
        <v>13.1</v>
      </c>
      <c r="K3" s="5">
        <v>4.2</v>
      </c>
      <c r="L3" s="8">
        <v>8</v>
      </c>
      <c r="M3" s="8">
        <v>12.2</v>
      </c>
      <c r="N3" s="5">
        <v>3.8</v>
      </c>
      <c r="O3" s="8">
        <v>8.1999999999999993</v>
      </c>
      <c r="P3" s="8">
        <v>12</v>
      </c>
      <c r="Q3" s="5">
        <v>4</v>
      </c>
      <c r="R3" s="8">
        <v>9</v>
      </c>
      <c r="S3" s="8">
        <v>13</v>
      </c>
      <c r="T3" s="5">
        <v>3.8</v>
      </c>
      <c r="U3" s="8">
        <v>7.55</v>
      </c>
      <c r="V3" s="8">
        <v>11.35</v>
      </c>
      <c r="W3" s="5">
        <v>4.0999999999999996</v>
      </c>
      <c r="X3" s="8">
        <v>8.4</v>
      </c>
      <c r="Y3" s="8">
        <v>12.5</v>
      </c>
      <c r="Z3" s="4">
        <f>IF(Bydgoszcz_result[[#This Row],[All Around]]="Yes",SUM(H3,K3,N3,Q3,T3,W3),0)</f>
        <v>24.300000000000004</v>
      </c>
      <c r="AA3" s="7">
        <f>IF(Bydgoszcz_result[[#This Row],[All Around]]="Yes",SUM(I3,L3,O3,R3,U3,X3),0)</f>
        <v>49.849999999999994</v>
      </c>
      <c r="AB3" s="7">
        <f t="shared" si="0"/>
        <v>74.150000000000006</v>
      </c>
      <c r="AD3" s="42"/>
      <c r="AE3" s="20" t="s">
        <v>218</v>
      </c>
      <c r="AF3" s="21">
        <f>AVERAGEIFS(Bydgoszcz_result[FX_Dscore],Bydgoszcz_result[[Category]:[Category]],"senior",Bydgoszcz_result[FX_Dscore],"&lt;&gt;0")</f>
        <v>4.3818181818181818</v>
      </c>
      <c r="AG3" s="21" cm="1">
        <f t="array" ref="AG3">_xlfn.STDEV.S(_xlfn._xlws.FILTER(Bydgoszcz_result[FX_Dscore],(Bydgoszcz_result[Category]="senior")*(Bydgoszcz_result[FX_Dscore]&gt;0)))</f>
        <v>0.56003246659132411</v>
      </c>
      <c r="AH3" s="22">
        <f>AVERAGEIFS(Bydgoszcz_result[FX_Escore],Bydgoszcz_result[[Category]:[Category]],"senior",Bydgoszcz_result[FX_Escore],"&lt;&gt;0")</f>
        <v>7.995454545454546</v>
      </c>
      <c r="AI3" s="22" cm="1">
        <f t="array" ref="AI3">_xlfn.STDEV.S(_xlfn._xlws.FILTER(Bydgoszcz_result[FX_Escore],(Bydgoszcz_result[Category]="senior")*(Bydgoszcz_result[FX_Escore]&gt;0)))</f>
        <v>0.79889127716308961</v>
      </c>
      <c r="AJ3" s="22">
        <f>AVERAGEIFS(Bydgoszcz_result[FX_Total_Score],Bydgoszcz_result[[Category]:[Category]],"senior",Bydgoszcz_result[FX_Total_Score],"&lt;&gt;0")</f>
        <v>12.377272727272727</v>
      </c>
      <c r="AK3" s="22" cm="1">
        <f t="array" ref="AK3">_xlfn.STDEV.S(_xlfn._xlws.FILTER(Bydgoszcz_result[FX_Total_Score],(Bydgoszcz_result[Category]="senior")*(Bydgoszcz_result[FX_Total_Score]&gt;0)))</f>
        <v>0.88469306439115836</v>
      </c>
      <c r="AL3" s="22" cm="1">
        <f t="array" ref="AL3">MAX(_xlfn._xlws.FILTER(Bydgoszcz_result[FX_Total_Score],Bydgoszcz_result[Category]="senior"))</f>
        <v>13.6</v>
      </c>
      <c r="AN3" t="s">
        <v>63</v>
      </c>
      <c r="AO3" t="s">
        <v>60</v>
      </c>
      <c r="AP3">
        <v>1997</v>
      </c>
      <c r="AQ3" t="s">
        <v>39</v>
      </c>
      <c r="AR3" t="s">
        <v>306</v>
      </c>
      <c r="AS3" t="s">
        <v>319</v>
      </c>
      <c r="AT3" t="s">
        <v>218</v>
      </c>
      <c r="AU3" t="s">
        <v>311</v>
      </c>
      <c r="AV3">
        <v>7.8</v>
      </c>
    </row>
    <row r="4" spans="1:48" x14ac:dyDescent="0.25">
      <c r="A4" s="2">
        <v>3</v>
      </c>
      <c r="B4" t="s">
        <v>142</v>
      </c>
      <c r="C4" s="2" t="s">
        <v>60</v>
      </c>
      <c r="D4" s="2">
        <v>2001</v>
      </c>
      <c r="E4" s="2" t="s">
        <v>143</v>
      </c>
      <c r="F4" t="s">
        <v>62</v>
      </c>
      <c r="G4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4" s="5">
        <v>4.5</v>
      </c>
      <c r="I4" s="8">
        <v>8.6999999999999993</v>
      </c>
      <c r="J4" s="8">
        <v>13.2</v>
      </c>
      <c r="K4" s="5">
        <v>3.8</v>
      </c>
      <c r="L4" s="8">
        <v>7.9</v>
      </c>
      <c r="M4" s="8">
        <v>11.7</v>
      </c>
      <c r="N4" s="5">
        <v>2.7</v>
      </c>
      <c r="O4" s="8">
        <v>8</v>
      </c>
      <c r="P4" s="8">
        <v>10.7</v>
      </c>
      <c r="Q4" s="5">
        <v>3.2</v>
      </c>
      <c r="R4" s="8">
        <v>9.5</v>
      </c>
      <c r="S4" s="8">
        <v>12.7</v>
      </c>
      <c r="T4" s="5">
        <v>3.4</v>
      </c>
      <c r="U4" s="8">
        <v>7.9</v>
      </c>
      <c r="V4" s="8">
        <v>11.3</v>
      </c>
      <c r="W4" s="5">
        <v>3.6</v>
      </c>
      <c r="X4" s="8">
        <v>8</v>
      </c>
      <c r="Y4" s="8">
        <v>11.6</v>
      </c>
      <c r="Z4" s="4">
        <f>IF(Bydgoszcz_result[[#This Row],[All Around]]="Yes",SUM(H4,K4,N4,Q4,T4,W4),0)</f>
        <v>21.2</v>
      </c>
      <c r="AA4" s="7">
        <f>IF(Bydgoszcz_result[[#This Row],[All Around]]="Yes",SUM(I4,L4,O4,R4,U4,X4),0)</f>
        <v>50</v>
      </c>
      <c r="AB4" s="7">
        <f t="shared" si="0"/>
        <v>71.199999999999989</v>
      </c>
      <c r="AD4" s="42"/>
      <c r="AE4" s="20" t="s">
        <v>242</v>
      </c>
      <c r="AF4" s="21">
        <f>AVERAGEIFS(Bydgoszcz_result[HB_Dscore],Bydgoszcz_result[[Category]:[Category]],"senior",Bydgoszcz_result[HB_Dscore],"&lt;&gt;0")</f>
        <v>3.2727272727272729</v>
      </c>
      <c r="AG4" s="21" cm="1">
        <f t="array" ref="AG4">_xlfn.STDEV.S(_xlfn._xlws.FILTER(Bydgoszcz_result[HB_Dscore],(Bydgoszcz_result[Category]="senior")*(Bydgoszcz_result[HB_Dscore]&gt;0)))</f>
        <v>0.65588247284236656</v>
      </c>
      <c r="AH4" s="22">
        <f>AVERAGEIFS(Bydgoszcz_result[HB_Escore],Bydgoszcz_result[[Category]:[Category]],"senior",Bydgoszcz_result[HB_Escore],"&lt;&gt;0")</f>
        <v>7.6636363636363649</v>
      </c>
      <c r="AI4" s="22" cm="1">
        <f t="array" ref="AI4">_xlfn.STDEV.S(_xlfn._xlws.FILTER(Bydgoszcz_result[HB_Escore],(Bydgoszcz_result[Category]="senior")*(Bydgoszcz_result[HB_Escore]&gt;0)))</f>
        <v>0.60045437340855023</v>
      </c>
      <c r="AJ4" s="22">
        <f>AVERAGEIFS(Bydgoszcz_result[HB_total_score],Bydgoszcz_result[[Category]:[Category]],"senior",Bydgoszcz_result[HB_total_score],"&lt;&gt;0")</f>
        <v>10.936363636363637</v>
      </c>
      <c r="AK4" s="22" cm="1">
        <f t="array" ref="AK4">_xlfn.STDEV.S(_xlfn._xlws.FILTER(Bydgoszcz_result[HB_total_score],(Bydgoszcz_result[Category]="senior")*(Bydgoszcz_result[HB_total_score]&gt;0)))</f>
        <v>1.0481151914486568</v>
      </c>
      <c r="AL4" s="22" cm="1">
        <f t="array" ref="AL4">MAX(_xlfn._xlws.FILTER(Bydgoszcz_result[HB_total_score],Bydgoszcz_result[Category]="senior"))</f>
        <v>12.5</v>
      </c>
      <c r="AN4" t="s">
        <v>63</v>
      </c>
      <c r="AO4" t="s">
        <v>60</v>
      </c>
      <c r="AP4">
        <v>1997</v>
      </c>
      <c r="AQ4" t="s">
        <v>39</v>
      </c>
      <c r="AR4" t="s">
        <v>306</v>
      </c>
      <c r="AS4" t="s">
        <v>319</v>
      </c>
      <c r="AT4" t="s">
        <v>218</v>
      </c>
      <c r="AU4" t="s">
        <v>268</v>
      </c>
      <c r="AV4">
        <v>13.6</v>
      </c>
    </row>
    <row r="5" spans="1:48" x14ac:dyDescent="0.25">
      <c r="A5" s="2">
        <v>4</v>
      </c>
      <c r="B5" t="s">
        <v>80</v>
      </c>
      <c r="C5" s="2" t="s">
        <v>60</v>
      </c>
      <c r="D5" s="2">
        <v>2004</v>
      </c>
      <c r="E5" s="2" t="s">
        <v>81</v>
      </c>
      <c r="F5" t="s">
        <v>62</v>
      </c>
      <c r="G5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5" s="5">
        <v>3.6</v>
      </c>
      <c r="I5" s="8">
        <v>9</v>
      </c>
      <c r="J5" s="8">
        <v>12.6</v>
      </c>
      <c r="K5" s="5">
        <v>3.6</v>
      </c>
      <c r="L5" s="8">
        <v>7.55</v>
      </c>
      <c r="M5" s="8">
        <v>11.15</v>
      </c>
      <c r="N5" s="5">
        <v>3.9</v>
      </c>
      <c r="O5" s="8">
        <v>6.4</v>
      </c>
      <c r="P5" s="8">
        <v>10.3</v>
      </c>
      <c r="Q5" s="5">
        <v>3.6</v>
      </c>
      <c r="R5" s="8">
        <v>8.4</v>
      </c>
      <c r="S5" s="8">
        <v>12</v>
      </c>
      <c r="T5" s="5">
        <v>3.7</v>
      </c>
      <c r="U5" s="8">
        <v>8.4499999999999993</v>
      </c>
      <c r="V5" s="8">
        <v>12.15</v>
      </c>
      <c r="W5" s="5">
        <v>3</v>
      </c>
      <c r="X5" s="8">
        <v>7.6</v>
      </c>
      <c r="Y5" s="8">
        <v>10.6</v>
      </c>
      <c r="Z5" s="4">
        <f>IF(Bydgoszcz_result[[#This Row],[All Around]]="Yes",SUM(H5,K5,N5,Q5,T5,W5),0)</f>
        <v>21.4</v>
      </c>
      <c r="AA5" s="7">
        <f>IF(Bydgoszcz_result[[#This Row],[All Around]]="Yes",SUM(I5,L5,O5,R5,U5,X5),0)</f>
        <v>47.4</v>
      </c>
      <c r="AB5" s="7">
        <f t="shared" si="0"/>
        <v>68.8</v>
      </c>
      <c r="AD5" s="42"/>
      <c r="AE5" s="20" t="s">
        <v>241</v>
      </c>
      <c r="AF5" s="21">
        <f>AVERAGEIFS(Bydgoszcz_result[PB_Dscore],Bydgoszcz_result[[Category]:[Category]],"senior",Bydgoszcz_result[PB_Dscore],"&lt;&gt;0")</f>
        <v>3.2461538461538462</v>
      </c>
      <c r="AG5" s="21" cm="1">
        <f t="array" ref="AG5">_xlfn.STDEV.S(_xlfn._xlws.FILTER(Bydgoszcz_result[PB_Dscore],(Bydgoszcz_result[Category]="senior")*(Bydgoszcz_result[PB_Dscore]&gt;0)))</f>
        <v>0.61456676422688761</v>
      </c>
      <c r="AH5" s="22">
        <f>AVERAGEIFS(Bydgoszcz_result[PB_Escore],Bydgoszcz_result[[Category]:[Category]],"senior",Bydgoszcz_result[PB_Escore],"&lt;&gt;0")</f>
        <v>7.8192307692307699</v>
      </c>
      <c r="AI5" s="22" cm="1">
        <f t="array" ref="AI5">_xlfn.STDEV.S(_xlfn._xlws.FILTER(Bydgoszcz_result[PB_Escore],(Bydgoszcz_result[Category]="senior")*(Bydgoszcz_result[PB_Escore]&gt;0)))</f>
        <v>0.84988687029962395</v>
      </c>
      <c r="AJ5" s="22">
        <f>AVERAGEIFS(Bydgoszcz_result[PB_total_score],Bydgoszcz_result[[Category]:[Category]],"senior",Bydgoszcz_result[PB_total_score],"&lt;&gt;0")</f>
        <v>11.065384615384614</v>
      </c>
      <c r="AK5" s="22" cm="1">
        <f t="array" ref="AK5">_xlfn.STDEV.S(_xlfn._xlws.FILTER(Bydgoszcz_result[PB_total_score],(Bydgoszcz_result[Category]="senior")*(Bydgoszcz_result[PB_total_score]&gt;0)))</f>
        <v>1.2143902131290503</v>
      </c>
      <c r="AL5" s="22" cm="1">
        <f t="array" ref="AL5">MAX(_xlfn._xlws.FILTER(Bydgoszcz_result[PB_total_score],Bydgoszcz_result[Category]="senior"))</f>
        <v>12.8</v>
      </c>
      <c r="AN5" t="s">
        <v>63</v>
      </c>
      <c r="AO5" t="s">
        <v>60</v>
      </c>
      <c r="AP5">
        <v>1997</v>
      </c>
      <c r="AQ5" t="s">
        <v>39</v>
      </c>
      <c r="AR5" t="s">
        <v>306</v>
      </c>
      <c r="AS5" t="s">
        <v>319</v>
      </c>
      <c r="AT5" t="s">
        <v>238</v>
      </c>
      <c r="AU5" t="s">
        <v>310</v>
      </c>
      <c r="AV5">
        <v>4.4000000000000004</v>
      </c>
    </row>
    <row r="6" spans="1:48" x14ac:dyDescent="0.25">
      <c r="A6" s="2">
        <v>5</v>
      </c>
      <c r="B6" t="s">
        <v>77</v>
      </c>
      <c r="C6" s="2" t="s">
        <v>60</v>
      </c>
      <c r="D6" s="2">
        <v>2002</v>
      </c>
      <c r="E6" s="2" t="s">
        <v>78</v>
      </c>
      <c r="F6" t="s">
        <v>79</v>
      </c>
      <c r="G6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6" s="5">
        <v>4.2</v>
      </c>
      <c r="I6" s="8">
        <v>6.3</v>
      </c>
      <c r="J6" s="8">
        <v>10.5</v>
      </c>
      <c r="K6" s="5">
        <v>3.9</v>
      </c>
      <c r="L6" s="8">
        <v>7.8</v>
      </c>
      <c r="M6" s="8">
        <v>11.7</v>
      </c>
      <c r="N6" s="5">
        <v>4</v>
      </c>
      <c r="O6" s="8">
        <v>7.3</v>
      </c>
      <c r="P6" s="8">
        <v>11.3</v>
      </c>
      <c r="Q6" s="5">
        <v>3.6</v>
      </c>
      <c r="R6" s="8">
        <v>7.8</v>
      </c>
      <c r="S6" s="8">
        <v>11.4</v>
      </c>
      <c r="T6" s="5">
        <v>4</v>
      </c>
      <c r="U6" s="8">
        <v>8.15</v>
      </c>
      <c r="V6" s="8">
        <v>12.15</v>
      </c>
      <c r="W6" s="5">
        <v>3</v>
      </c>
      <c r="X6" s="8">
        <v>7.2</v>
      </c>
      <c r="Y6" s="8">
        <v>10.199999999999999</v>
      </c>
      <c r="Z6" s="4">
        <f>IF(Bydgoszcz_result[[#This Row],[All Around]]="Yes",SUM(H6,K6,N6,Q6,T6,W6),0)</f>
        <v>22.7</v>
      </c>
      <c r="AA6" s="7">
        <f>IF(Bydgoszcz_result[[#This Row],[All Around]]="Yes",SUM(I6,L6,O6,R6,U6,X6),0)</f>
        <v>44.550000000000004</v>
      </c>
      <c r="AB6" s="7">
        <f t="shared" si="0"/>
        <v>67.25</v>
      </c>
      <c r="AD6" s="42"/>
      <c r="AE6" s="20" t="s">
        <v>238</v>
      </c>
      <c r="AF6" s="21">
        <f>AVERAGEIFS(Bydgoszcz_result[PH_Dscore],Bydgoszcz_result[[Category]:[Category]],"senior",Bydgoszcz_result[PH_Dscore],"&lt;&gt;0")</f>
        <v>3.5153846153846144</v>
      </c>
      <c r="AG6" s="21" cm="1">
        <f t="array" ref="AG6">_xlfn.STDEV.S(_xlfn._xlws.FILTER(Bydgoszcz_result[PH_Dscore],(Bydgoszcz_result[Category]="senior")*(Bydgoszcz_result[PH_Dscore]&gt;0)))</f>
        <v>0.6465886815255345</v>
      </c>
      <c r="AH6" s="22">
        <f>AVERAGEIFS(Bydgoszcz_result[PH_Escore],Bydgoszcz_result[[Category]:[Category]],"senior",Bydgoszcz_result[PH_Escore],"&lt;&gt;0")</f>
        <v>5.9884615384615394</v>
      </c>
      <c r="AI6" s="22" cm="1">
        <f t="array" ref="AI6">_xlfn.STDEV.S(_xlfn._xlws.FILTER(Bydgoszcz_result[PH_Escore],(Bydgoszcz_result[Category]="senior")*(Bydgoszcz_result[PH_Escore]&gt;0)))</f>
        <v>2.4123945439951191</v>
      </c>
      <c r="AJ6" s="22">
        <f>AVERAGEIFS(Bydgoszcz_result[PH_Total_Score],Bydgoszcz_result[[Category]:[Category]],"senior",Bydgoszcz_result[PH_Total_Score],"&lt;&gt;0")</f>
        <v>9.5038461538461547</v>
      </c>
      <c r="AK6" s="22" cm="1">
        <f t="array" ref="AK6">_xlfn.STDEV.S(_xlfn._xlws.FILTER(Bydgoszcz_result[PH_Total_Score],(Bydgoszcz_result[Category]="senior")*(Bydgoszcz_result[PH_Total_Score]&gt;0)))</f>
        <v>2.9651771685728394</v>
      </c>
      <c r="AL6" s="22" cm="1">
        <f t="array" ref="AL6">MAX(_xlfn._xlws.FILTER(Bydgoszcz_result[PH_Total_Score],Bydgoszcz_result[Category]="senior"))</f>
        <v>12.65</v>
      </c>
      <c r="AN6" t="s">
        <v>63</v>
      </c>
      <c r="AO6" t="s">
        <v>60</v>
      </c>
      <c r="AP6">
        <v>1997</v>
      </c>
      <c r="AQ6" t="s">
        <v>39</v>
      </c>
      <c r="AR6" t="s">
        <v>306</v>
      </c>
      <c r="AS6" t="s">
        <v>319</v>
      </c>
      <c r="AT6" t="s">
        <v>238</v>
      </c>
      <c r="AU6" t="s">
        <v>311</v>
      </c>
      <c r="AV6">
        <v>7.1</v>
      </c>
    </row>
    <row r="7" spans="1:48" x14ac:dyDescent="0.25">
      <c r="A7" s="2">
        <v>6</v>
      </c>
      <c r="B7" t="s">
        <v>73</v>
      </c>
      <c r="C7" s="2" t="s">
        <v>60</v>
      </c>
      <c r="D7" s="2">
        <v>2001</v>
      </c>
      <c r="E7" s="2" t="s">
        <v>74</v>
      </c>
      <c r="F7" t="s">
        <v>62</v>
      </c>
      <c r="G7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7" s="5">
        <v>4.7</v>
      </c>
      <c r="I7" s="8">
        <v>8.1</v>
      </c>
      <c r="J7" s="8">
        <v>12.8</v>
      </c>
      <c r="K7" s="5">
        <v>3</v>
      </c>
      <c r="L7" s="8">
        <v>6.3</v>
      </c>
      <c r="M7" s="8">
        <v>9.3000000000000007</v>
      </c>
      <c r="N7" s="5">
        <v>2.7</v>
      </c>
      <c r="O7" s="8">
        <v>7.7</v>
      </c>
      <c r="P7" s="8">
        <v>10.4</v>
      </c>
      <c r="Q7" s="5">
        <v>4</v>
      </c>
      <c r="R7" s="8">
        <v>8.6</v>
      </c>
      <c r="S7" s="8">
        <v>12.6</v>
      </c>
      <c r="T7" s="5">
        <v>3.5</v>
      </c>
      <c r="U7" s="8">
        <v>8</v>
      </c>
      <c r="V7" s="8">
        <v>11.5</v>
      </c>
      <c r="W7" s="5">
        <v>3.1</v>
      </c>
      <c r="X7" s="8">
        <v>7.3</v>
      </c>
      <c r="Y7" s="8">
        <v>10.4</v>
      </c>
      <c r="Z7" s="4">
        <f>IF(Bydgoszcz_result[[#This Row],[All Around]]="Yes",SUM(H7,K7,N7,Q7,T7,W7),0)</f>
        <v>21</v>
      </c>
      <c r="AA7" s="7">
        <f>IF(Bydgoszcz_result[[#This Row],[All Around]]="Yes",SUM(I7,L7,O7,R7,U7,X7),0)</f>
        <v>45.999999999999993</v>
      </c>
      <c r="AB7" s="7">
        <f t="shared" si="0"/>
        <v>67</v>
      </c>
      <c r="AD7" s="42"/>
      <c r="AE7" s="20" t="s">
        <v>239</v>
      </c>
      <c r="AF7" s="21">
        <f>AVERAGEIFS(Bydgoszcz_result[SR_Dscore],Bydgoszcz_result[[Category]:[Category]],"senior",Bydgoszcz_result[SR_Dscore],"&lt;&gt;0")</f>
        <v>3.5166666666666671</v>
      </c>
      <c r="AG7" s="21" cm="1">
        <f t="array" ref="AG7">_xlfn.STDEV.S(_xlfn._xlws.FILTER(Bydgoszcz_result[SR_Dscore],(Bydgoszcz_result[Category]="senior")*(Bydgoszcz_result[SR_Dscore]&gt;0)))</f>
        <v>0.59518268140330244</v>
      </c>
      <c r="AH7" s="22">
        <f>AVERAGEIFS(Bydgoszcz_result[SR_Escore],Bydgoszcz_result[[Category]:[Category]],"senior",Bydgoszcz_result[SR_Escore],"&lt;&gt;0")</f>
        <v>7.4541666666666684</v>
      </c>
      <c r="AI7" s="22" cm="1">
        <f t="array" ref="AI7">_xlfn.STDEV.S(_xlfn._xlws.FILTER(Bydgoszcz_result[SR_Escore],(Bydgoszcz_result[Category]="senior")*(Bydgoszcz_result[SR_Escore]&gt;0)))</f>
        <v>0.58986066664985037</v>
      </c>
      <c r="AJ7" s="22">
        <f>AVERAGEIFS(Bydgoszcz_result[SR_Total_Score],Bydgoszcz_result[[Category]:[Category]],"senior",Bydgoszcz_result[SR_Total_Score],"&lt;&gt;0")</f>
        <v>10.970833333333333</v>
      </c>
      <c r="AK7" s="22" cm="1">
        <f t="array" ref="AK7">_xlfn.STDEV.S(_xlfn._xlws.FILTER(Bydgoszcz_result[SR_Total_Score],(Bydgoszcz_result[Category]="senior")*(Bydgoszcz_result[SR_Total_Score]&gt;0)))</f>
        <v>0.79500095292491013</v>
      </c>
      <c r="AL7" s="22" cm="1">
        <f t="array" ref="AL7">MAX(_xlfn._xlws.FILTER(Bydgoszcz_result[SR_Total_Score],Bydgoszcz_result[Category]="senior"))</f>
        <v>12.5</v>
      </c>
      <c r="AN7" t="s">
        <v>63</v>
      </c>
      <c r="AO7" t="s">
        <v>60</v>
      </c>
      <c r="AP7">
        <v>1997</v>
      </c>
      <c r="AQ7" t="s">
        <v>39</v>
      </c>
      <c r="AR7" t="s">
        <v>306</v>
      </c>
      <c r="AS7" t="s">
        <v>319</v>
      </c>
      <c r="AT7" t="s">
        <v>238</v>
      </c>
      <c r="AU7" t="s">
        <v>268</v>
      </c>
      <c r="AV7">
        <v>11.5</v>
      </c>
    </row>
    <row r="8" spans="1:48" x14ac:dyDescent="0.25">
      <c r="A8" s="2">
        <v>7</v>
      </c>
      <c r="B8" t="s">
        <v>84</v>
      </c>
      <c r="C8" s="2" t="s">
        <v>60</v>
      </c>
      <c r="D8" s="2">
        <v>2004</v>
      </c>
      <c r="E8" s="2" t="s">
        <v>85</v>
      </c>
      <c r="F8" t="s">
        <v>39</v>
      </c>
      <c r="G8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8" s="5">
        <v>4.5</v>
      </c>
      <c r="I8" s="8">
        <v>7.35</v>
      </c>
      <c r="J8" s="8">
        <v>11.85</v>
      </c>
      <c r="K8" s="5">
        <v>3.2</v>
      </c>
      <c r="L8" s="8">
        <v>6.1</v>
      </c>
      <c r="M8" s="8">
        <v>9.3000000000000007</v>
      </c>
      <c r="N8" s="5">
        <v>3.6</v>
      </c>
      <c r="O8" s="8">
        <v>7.5</v>
      </c>
      <c r="P8" s="8">
        <v>11.1</v>
      </c>
      <c r="Q8" s="5">
        <v>3</v>
      </c>
      <c r="R8" s="8">
        <v>9.3000000000000007</v>
      </c>
      <c r="S8" s="8">
        <v>12.3</v>
      </c>
      <c r="T8" s="5">
        <v>3.7</v>
      </c>
      <c r="U8" s="8">
        <v>7.85</v>
      </c>
      <c r="V8" s="8">
        <v>11.55</v>
      </c>
      <c r="W8" s="5">
        <v>3.2</v>
      </c>
      <c r="X8" s="8">
        <v>7.2</v>
      </c>
      <c r="Y8" s="8">
        <v>10.4</v>
      </c>
      <c r="Z8" s="4">
        <f>IF(Bydgoszcz_result[[#This Row],[All Around]]="Yes",SUM(H8,K8,N8,Q8,T8,W8),0)</f>
        <v>21.2</v>
      </c>
      <c r="AA8" s="7">
        <f>IF(Bydgoszcz_result[[#This Row],[All Around]]="Yes",SUM(I8,L8,O8,R8,U8,X8),0)</f>
        <v>45.300000000000004</v>
      </c>
      <c r="AB8" s="7">
        <f t="shared" si="0"/>
        <v>66.5</v>
      </c>
      <c r="AD8" s="43"/>
      <c r="AE8" s="20" t="s">
        <v>240</v>
      </c>
      <c r="AF8" s="21">
        <f>AVERAGEIFS(Bydgoszcz_result[VT_Dscore],Bydgoszcz_result[[Category]:[Category]],"senior",Bydgoszcz_result[VT_Dscore],"&lt;&gt;0")</f>
        <v>3.6199999999999997</v>
      </c>
      <c r="AG8" s="21" cm="1">
        <f t="array" ref="AG8">_xlfn.STDEV.S(_xlfn._xlws.FILTER(Bydgoszcz_result[VT_Dscore],(Bydgoszcz_result[Category]="senior")*(Bydgoszcz_result[VT_Dscore]&gt;0)))</f>
        <v>0.59962951524717389</v>
      </c>
      <c r="AH8" s="22">
        <f>AVERAGEIFS(Bydgoszcz_result[VT_Escore],Bydgoszcz_result[[Category]:[Category]],"senior",Bydgoszcz_result[VT_Escore],"&lt;&gt;0")</f>
        <v>8.754999999999999</v>
      </c>
      <c r="AI8" s="22" cm="1">
        <f t="array" ref="AI8">_xlfn.STDEV.S(_xlfn._xlws.FILTER(Bydgoszcz_result[VT_Escore],(Bydgoszcz_result[Category]="senior")*(Bydgoszcz_result[VT_Escore]&gt;0)))</f>
        <v>0.60848171706305199</v>
      </c>
      <c r="AJ8" s="22">
        <f>AVERAGEIFS(Bydgoszcz_result[VT_total_score],Bydgoszcz_result[[Category]:[Category]],"senior",Bydgoszcz_result[VT_total_score],"&lt;&gt;0")</f>
        <v>12.375</v>
      </c>
      <c r="AK8" s="22" cm="1">
        <f t="array" ref="AK8">_xlfn.STDEV.S(_xlfn._xlws.FILTER(Bydgoszcz_result[VT_total_score],(Bydgoszcz_result[Category]="senior")*(Bydgoszcz_result[VT_total_score]&gt;0)))</f>
        <v>0.7962586123727502</v>
      </c>
      <c r="AL8" s="22" cm="1">
        <f t="array" ref="AL8">MAX(_xlfn._xlws.FILTER(Bydgoszcz_result[VT_total_score],Bydgoszcz_result[Category]="senior"))</f>
        <v>13.5</v>
      </c>
      <c r="AN8" t="s">
        <v>63</v>
      </c>
      <c r="AO8" t="s">
        <v>60</v>
      </c>
      <c r="AP8">
        <v>1997</v>
      </c>
      <c r="AQ8" t="s">
        <v>39</v>
      </c>
      <c r="AR8" t="s">
        <v>306</v>
      </c>
      <c r="AS8" t="s">
        <v>319</v>
      </c>
      <c r="AT8" t="s">
        <v>239</v>
      </c>
      <c r="AU8" t="s">
        <v>310</v>
      </c>
      <c r="AV8">
        <v>4.5999999999999996</v>
      </c>
    </row>
    <row r="9" spans="1:48" x14ac:dyDescent="0.25">
      <c r="A9" s="2">
        <v>8</v>
      </c>
      <c r="B9" t="s">
        <v>100</v>
      </c>
      <c r="C9" s="2" t="s">
        <v>60</v>
      </c>
      <c r="D9" s="2">
        <v>2004</v>
      </c>
      <c r="E9" s="2" t="s">
        <v>101</v>
      </c>
      <c r="F9" t="s">
        <v>31</v>
      </c>
      <c r="G9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9" s="5">
        <v>4.3</v>
      </c>
      <c r="I9" s="8">
        <v>7.4</v>
      </c>
      <c r="J9" s="8">
        <v>11.7</v>
      </c>
      <c r="K9" s="5">
        <v>2.4</v>
      </c>
      <c r="L9" s="8">
        <v>1.1000000000000001</v>
      </c>
      <c r="M9" s="8">
        <v>3.5</v>
      </c>
      <c r="N9" s="5">
        <v>2.9</v>
      </c>
      <c r="O9" s="8">
        <v>7</v>
      </c>
      <c r="P9" s="8">
        <v>9.9</v>
      </c>
      <c r="Q9" s="5">
        <v>3.2</v>
      </c>
      <c r="R9" s="8">
        <v>7.8</v>
      </c>
      <c r="S9" s="8">
        <v>11</v>
      </c>
      <c r="T9" s="5">
        <v>2.9</v>
      </c>
      <c r="U9" s="8">
        <v>7.75</v>
      </c>
      <c r="V9" s="8">
        <v>10.65</v>
      </c>
      <c r="W9" s="5">
        <v>2.7</v>
      </c>
      <c r="X9" s="8">
        <v>6.8</v>
      </c>
      <c r="Y9" s="8">
        <v>9.5</v>
      </c>
      <c r="Z9" s="4">
        <f>IF(Bydgoszcz_result[[#This Row],[All Around]]="Yes",SUM(H9,K9,N9,Q9,T9,W9),0)</f>
        <v>18.400000000000002</v>
      </c>
      <c r="AA9" s="7">
        <f>IF(Bydgoszcz_result[[#This Row],[All Around]]="Yes",SUM(I9,L9,O9,R9,U9,X9),0)</f>
        <v>37.85</v>
      </c>
      <c r="AB9" s="7">
        <f t="shared" si="0"/>
        <v>56.25</v>
      </c>
      <c r="AD9" s="41" t="s">
        <v>26</v>
      </c>
      <c r="AE9" s="20" t="s">
        <v>243</v>
      </c>
      <c r="AF9" s="21">
        <f>AVERAGEIFS(Bydgoszcz_result[AA_Dscore],Bydgoszcz_result[[Category]:[Category]],"junior",Bydgoszcz_result[AA_Dscore],"&lt;&gt;0",Bydgoszcz_result[All Around],"Yes")</f>
        <v>16.841666666666665</v>
      </c>
      <c r="AG9" s="21" cm="1">
        <f t="array" ref="AG9">_xlfn.STDEV.S(_xlfn._xlws.FILTER(Bydgoszcz_result[AA_Dscore],(Bydgoszcz_result[Category]="junior")*(Bydgoszcz_result[All Around]="yes")))</f>
        <v>3.8053690140817351</v>
      </c>
      <c r="AH9" s="22">
        <f>AVERAGEIFS(Bydgoszcz_result[AA_Escore],Bydgoszcz_result[[Category]:[Category]],"junior",Bydgoszcz_result[AA_Escore],"&lt;&gt;0",Bydgoszcz_result[All Around],"Yes")</f>
        <v>44.1875</v>
      </c>
      <c r="AI9" s="22" cm="1">
        <f t="array" ref="AI9">_xlfn.STDEV.S(_xlfn._xlws.FILTER(Bydgoszcz_result[AA_Escore],(Bydgoszcz_result[Category]="junior")*(Bydgoszcz_result[All Around]="yes")))</f>
        <v>9.0092156100900951</v>
      </c>
      <c r="AJ9" s="22">
        <f>AVERAGEIFS(Bydgoszcz_result[Total_Score],Bydgoszcz_result[[Category]:[Category]],"junior",Bydgoszcz_result[Total_Score],"&lt;&gt;0",Bydgoszcz_result[All Around],"Yes")</f>
        <v>61.029166666666669</v>
      </c>
      <c r="AK9" s="22" cm="1">
        <f t="array" ref="AK9">_xlfn.STDEV.S(_xlfn._xlws.FILTER(Bydgoszcz_result[Total_Score],(Bydgoszcz_result[Category]="junior")*(Bydgoszcz_result[All Around]="yes")))</f>
        <v>12.546739133288284</v>
      </c>
      <c r="AL9" s="22" cm="1">
        <f t="array" ref="AL9">MAX(_xlfn._xlws.FILTER(Bydgoszcz_result[Total_Score],Bydgoszcz_result[Category]="junior"))</f>
        <v>73.2</v>
      </c>
      <c r="AN9" t="s">
        <v>63</v>
      </c>
      <c r="AO9" t="s">
        <v>60</v>
      </c>
      <c r="AP9">
        <v>1997</v>
      </c>
      <c r="AQ9" t="s">
        <v>39</v>
      </c>
      <c r="AR9" t="s">
        <v>306</v>
      </c>
      <c r="AS9" t="s">
        <v>319</v>
      </c>
      <c r="AT9" t="s">
        <v>239</v>
      </c>
      <c r="AU9" t="s">
        <v>311</v>
      </c>
      <c r="AV9">
        <v>7.2</v>
      </c>
    </row>
    <row r="10" spans="1:48" x14ac:dyDescent="0.25">
      <c r="A10" s="2">
        <v>9</v>
      </c>
      <c r="B10" t="s">
        <v>86</v>
      </c>
      <c r="C10" s="2" t="s">
        <v>60</v>
      </c>
      <c r="D10" s="2">
        <v>2003</v>
      </c>
      <c r="E10" s="2" t="s">
        <v>87</v>
      </c>
      <c r="F10" t="s">
        <v>72</v>
      </c>
      <c r="G10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0" s="5">
        <v>4.2</v>
      </c>
      <c r="I10" s="8">
        <v>8.6</v>
      </c>
      <c r="J10" s="8">
        <v>12.8</v>
      </c>
      <c r="K10" s="5">
        <v>3.8</v>
      </c>
      <c r="L10" s="8">
        <v>7.1</v>
      </c>
      <c r="M10" s="8">
        <v>10.9</v>
      </c>
      <c r="N10" s="5">
        <v>3.5</v>
      </c>
      <c r="O10" s="8">
        <v>6.7</v>
      </c>
      <c r="P10" s="8">
        <v>10.199999999999999</v>
      </c>
      <c r="Q10" s="5">
        <v>2.8</v>
      </c>
      <c r="R10" s="8">
        <v>9.1999999999999993</v>
      </c>
      <c r="S10" s="8">
        <v>12</v>
      </c>
      <c r="T10" s="5">
        <v>2.6</v>
      </c>
      <c r="U10" s="8">
        <v>5.65</v>
      </c>
      <c r="V10" s="8">
        <v>8.25</v>
      </c>
      <c r="W10" s="5">
        <v>0</v>
      </c>
      <c r="X10" s="8">
        <v>0</v>
      </c>
      <c r="Y10" s="8">
        <v>0</v>
      </c>
      <c r="Z10" s="4">
        <f>IF(Bydgoszcz_result[[#This Row],[All Around]]="Yes",SUM(H10,K10,N10,Q10,T10,W10),0)</f>
        <v>0</v>
      </c>
      <c r="AA10" s="7">
        <f>IF(Bydgoszcz_result[[#This Row],[All Around]]="Yes",SUM(I10,L10,O10,R10,U10,X10),0)</f>
        <v>0</v>
      </c>
      <c r="AB10" s="7">
        <f t="shared" si="0"/>
        <v>54.150000000000006</v>
      </c>
      <c r="AD10" s="42"/>
      <c r="AE10" s="20" t="s">
        <v>218</v>
      </c>
      <c r="AF10" s="21">
        <f>AVERAGEIFS(Bydgoszcz_result[FX_Dscore],Bydgoszcz_result[[Category]:[Category]],"junior",Bydgoszcz_result[FX_Dscore],"&lt;&gt;0")</f>
        <v>3.5200000000000005</v>
      </c>
      <c r="AG10" s="21" cm="1">
        <f t="array" ref="AG10">_xlfn.STDEV.S(_xlfn._xlws.FILTER(Bydgoszcz_result[FX_Dscore],(Bydgoszcz_result[Category]="junior")*(Bydgoszcz_result[FX_Dscore]&gt;0)))</f>
        <v>0.51436507324217207</v>
      </c>
      <c r="AH10" s="22">
        <f>AVERAGEIFS(Bydgoszcz_result[FX_Escore],Bydgoszcz_result[[Category]:[Category]],"junior",Bydgoszcz_result[FX_Escore],"&lt;&gt;0")</f>
        <v>8.1999999999999993</v>
      </c>
      <c r="AI10" s="22" cm="1">
        <f t="array" ref="AI10">_xlfn.STDEV.S(_xlfn._xlws.FILTER(Bydgoszcz_result[FX_Escore],(Bydgoszcz_result[Category]="junior")*(Bydgoszcz_result[FX_Escore]&gt;0)))</f>
        <v>0.50249378105604436</v>
      </c>
      <c r="AJ10" s="22">
        <f>AVERAGEIFS(Bydgoszcz_result[FX_Total_Score],Bydgoszcz_result[[Category]:[Category]],"junior",Bydgoszcz_result[FX_Total_Score],"&lt;&gt;0")</f>
        <v>11.719999999999999</v>
      </c>
      <c r="AK10" s="22" cm="1">
        <f t="array" ref="AK10">_xlfn.STDEV.S(_xlfn._xlws.FILTER(Bydgoszcz_result[FX_Total_Score],(Bydgoszcz_result[Category]="junior")*(Bydgoszcz_result[FX_Total_Score]&gt;0)))</f>
        <v>0.81411652377636601</v>
      </c>
      <c r="AL10" s="22" cm="1">
        <f t="array" ref="AL10">MAX(_xlfn._xlws.FILTER(Bydgoszcz_result[FX_Total_Score],Bydgoszcz_result[Category]="junior"))</f>
        <v>12.95</v>
      </c>
      <c r="AN10" t="s">
        <v>63</v>
      </c>
      <c r="AO10" t="s">
        <v>60</v>
      </c>
      <c r="AP10">
        <v>1997</v>
      </c>
      <c r="AQ10" t="s">
        <v>39</v>
      </c>
      <c r="AR10" t="s">
        <v>306</v>
      </c>
      <c r="AS10" t="s">
        <v>319</v>
      </c>
      <c r="AT10" t="s">
        <v>239</v>
      </c>
      <c r="AU10" t="s">
        <v>268</v>
      </c>
      <c r="AV10">
        <v>11.8</v>
      </c>
    </row>
    <row r="11" spans="1:48" x14ac:dyDescent="0.25">
      <c r="A11" s="2">
        <v>10</v>
      </c>
      <c r="B11" t="s">
        <v>98</v>
      </c>
      <c r="C11" s="2" t="s">
        <v>60</v>
      </c>
      <c r="D11" s="2">
        <v>1999</v>
      </c>
      <c r="E11" s="2" t="s">
        <v>99</v>
      </c>
      <c r="F11" t="s">
        <v>72</v>
      </c>
      <c r="G11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1" s="5">
        <v>0</v>
      </c>
      <c r="I11" s="8">
        <v>0</v>
      </c>
      <c r="J11" s="8">
        <v>0</v>
      </c>
      <c r="K11" s="5">
        <v>3.3</v>
      </c>
      <c r="L11" s="8">
        <v>4.0999999999999996</v>
      </c>
      <c r="M11" s="8">
        <v>7.4</v>
      </c>
      <c r="N11" s="5">
        <v>3.2</v>
      </c>
      <c r="O11" s="8">
        <v>7.65</v>
      </c>
      <c r="P11" s="8">
        <v>10.85</v>
      </c>
      <c r="Q11" s="5">
        <v>0</v>
      </c>
      <c r="R11" s="8">
        <v>0</v>
      </c>
      <c r="S11" s="8">
        <v>0</v>
      </c>
      <c r="T11" s="5">
        <v>2.5</v>
      </c>
      <c r="U11" s="8">
        <v>8.8000000000000007</v>
      </c>
      <c r="V11" s="8">
        <v>11.3</v>
      </c>
      <c r="W11" s="5">
        <v>3</v>
      </c>
      <c r="X11" s="8">
        <v>7</v>
      </c>
      <c r="Y11" s="8">
        <v>10</v>
      </c>
      <c r="Z11" s="4">
        <f>IF(Bydgoszcz_result[[#This Row],[All Around]]="Yes",SUM(H11,K11,N11,Q11,T11,W11),0)</f>
        <v>0</v>
      </c>
      <c r="AA11" s="7">
        <f>IF(Bydgoszcz_result[[#This Row],[All Around]]="Yes",SUM(I11,L11,O11,R11,U11,X11),0)</f>
        <v>0</v>
      </c>
      <c r="AB11" s="7">
        <f t="shared" si="0"/>
        <v>39.549999999999997</v>
      </c>
      <c r="AD11" s="42"/>
      <c r="AE11" s="20" t="s">
        <v>242</v>
      </c>
      <c r="AF11" s="21">
        <f>AVERAGEIFS(Bydgoszcz_result[HB_Dscore],Bydgoszcz_result[[Category]:[Category]],"junior",Bydgoszcz_result[HB_Dscore],"&lt;&gt;0")</f>
        <v>2.2071428571428569</v>
      </c>
      <c r="AG11" s="21" cm="1">
        <f t="array" ref="AG11">_xlfn.STDEV.S(_xlfn._xlws.FILTER(Bydgoszcz_result[HB_Dscore],(Bydgoszcz_result[Category]="junior")*(Bydgoszcz_result[HB_Dscore]&gt;0)))</f>
        <v>0.93188335826249957</v>
      </c>
      <c r="AH11" s="22">
        <f>AVERAGEIFS(Bydgoszcz_result[HB_Escore],Bydgoszcz_result[[Category]:[Category]],"junior",Bydgoszcz_result[HB_Escore],"&lt;&gt;0")</f>
        <v>6.9785714285714278</v>
      </c>
      <c r="AI11" s="22" cm="1">
        <f t="array" ref="AI11">_xlfn.STDEV.S(_xlfn._xlws.FILTER(Bydgoszcz_result[HB_Escore],(Bydgoszcz_result[Category]="junior")*(Bydgoszcz_result[HB_Escore]&gt;0)))</f>
        <v>2.3238491184400809</v>
      </c>
      <c r="AJ11" s="22">
        <f>AVERAGEIFS(Bydgoszcz_result[HB_total_score],Bydgoszcz_result[[Category]:[Category]],"junior",Bydgoszcz_result[HB_total_score],"&lt;&gt;0")</f>
        <v>9.1857142857142851</v>
      </c>
      <c r="AK11" s="22" cm="1">
        <f t="array" ref="AK11">_xlfn.STDEV.S(_xlfn._xlws.FILTER(Bydgoszcz_result[HB_total_score],(Bydgoszcz_result[Category]="junior")*(Bydgoszcz_result[HB_total_score]&gt;0)))</f>
        <v>3.1050472913175873</v>
      </c>
      <c r="AL11" s="22" cm="1">
        <f t="array" ref="AL11">MAX(_xlfn._xlws.FILTER(Bydgoszcz_result[HB_total_score],Bydgoszcz_result[Category]="junior"))</f>
        <v>11.6</v>
      </c>
      <c r="AN11" t="s">
        <v>63</v>
      </c>
      <c r="AO11" t="s">
        <v>60</v>
      </c>
      <c r="AP11">
        <v>1997</v>
      </c>
      <c r="AQ11" t="s">
        <v>39</v>
      </c>
      <c r="AR11" t="s">
        <v>306</v>
      </c>
      <c r="AS11" t="s">
        <v>319</v>
      </c>
      <c r="AT11" t="s">
        <v>240</v>
      </c>
      <c r="AU11" t="s">
        <v>310</v>
      </c>
      <c r="AV11">
        <v>4.8</v>
      </c>
    </row>
    <row r="12" spans="1:48" x14ac:dyDescent="0.25">
      <c r="A12" s="2">
        <v>11</v>
      </c>
      <c r="B12" t="s">
        <v>129</v>
      </c>
      <c r="C12" s="2" t="s">
        <v>60</v>
      </c>
      <c r="D12" s="2">
        <v>2000</v>
      </c>
      <c r="E12" s="2" t="s">
        <v>130</v>
      </c>
      <c r="F12" t="s">
        <v>72</v>
      </c>
      <c r="G12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2" s="5">
        <v>4.0999999999999996</v>
      </c>
      <c r="I12" s="8">
        <v>7.6</v>
      </c>
      <c r="J12" s="8">
        <v>11.7</v>
      </c>
      <c r="K12" s="5">
        <v>0</v>
      </c>
      <c r="L12" s="8">
        <v>0</v>
      </c>
      <c r="M12" s="8">
        <v>0</v>
      </c>
      <c r="N12" s="5">
        <v>0</v>
      </c>
      <c r="O12" s="8">
        <v>0</v>
      </c>
      <c r="P12" s="8">
        <v>0</v>
      </c>
      <c r="Q12" s="5">
        <v>4</v>
      </c>
      <c r="R12" s="8">
        <v>9.25</v>
      </c>
      <c r="S12" s="8">
        <v>13.25</v>
      </c>
      <c r="T12" s="5">
        <v>2.7</v>
      </c>
      <c r="U12" s="8">
        <v>8.65</v>
      </c>
      <c r="V12" s="8">
        <v>11.35</v>
      </c>
      <c r="W12" s="5">
        <v>0</v>
      </c>
      <c r="X12" s="8">
        <v>0</v>
      </c>
      <c r="Y12" s="8">
        <v>0</v>
      </c>
      <c r="Z12" s="4">
        <f>IF(Bydgoszcz_result[[#This Row],[All Around]]="Yes",SUM(H12,K12,N12,Q12,T12,W12),0)</f>
        <v>0</v>
      </c>
      <c r="AA12" s="7">
        <f>IF(Bydgoszcz_result[[#This Row],[All Around]]="Yes",SUM(I12,L12,O12,R12,U12,X12),0)</f>
        <v>0</v>
      </c>
      <c r="AB12" s="7">
        <f t="shared" si="0"/>
        <v>36.299999999999997</v>
      </c>
      <c r="AD12" s="42"/>
      <c r="AE12" s="20" t="s">
        <v>241</v>
      </c>
      <c r="AF12" s="21">
        <f>AVERAGEIFS(Bydgoszcz_result[PB_Dscore],Bydgoszcz_result[[Category]:[Category]],"junior",Bydgoszcz_result[PB_Dscore],"&lt;&gt;0")</f>
        <v>2.8624999999999998</v>
      </c>
      <c r="AG12" s="21" cm="1">
        <f t="array" ref="AG12">_xlfn.STDEV.S(_xlfn._xlws.FILTER(Bydgoszcz_result[PB_Dscore],(Bydgoszcz_result[Category]="junior")*(Bydgoszcz_result[PB_Dscore]&gt;0)))</f>
        <v>0.66720811345986275</v>
      </c>
      <c r="AH12" s="22">
        <f>AVERAGEIFS(Bydgoszcz_result[PB_Escore],Bydgoszcz_result[[Category]:[Category]],"junior",Bydgoszcz_result[PB_Escore],"&lt;&gt;0")</f>
        <v>7.09375</v>
      </c>
      <c r="AI12" s="22" cm="1">
        <f t="array" ref="AI12">_xlfn.STDEV.S(_xlfn._xlws.FILTER(Bydgoszcz_result[PB_Escore],(Bydgoszcz_result[Category]="junior")*(Bydgoszcz_result[PB_Escore]&gt;0)))</f>
        <v>2.3377250337311559</v>
      </c>
      <c r="AJ12" s="22">
        <f>AVERAGEIFS(Bydgoszcz_result[PB_total_score],Bydgoszcz_result[[Category]:[Category]],"junior",Bydgoszcz_result[PB_total_score],"&lt;&gt;0")</f>
        <v>9.9562500000000007</v>
      </c>
      <c r="AK12" s="22" cm="1">
        <f t="array" ref="AK12">_xlfn.STDEV.S(_xlfn._xlws.FILTER(Bydgoszcz_result[PB_total_score],(Bydgoszcz_result[Category]="junior")*(Bydgoszcz_result[PB_total_score]&gt;0)))</f>
        <v>2.9375088652348449</v>
      </c>
      <c r="AL12" s="22" cm="1">
        <f t="array" ref="AL12">MAX(_xlfn._xlws.FILTER(Bydgoszcz_result[PB_total_score],Bydgoszcz_result[Category]="junior"))</f>
        <v>12.65</v>
      </c>
      <c r="AN12" t="s">
        <v>63</v>
      </c>
      <c r="AO12" t="s">
        <v>60</v>
      </c>
      <c r="AP12">
        <v>1997</v>
      </c>
      <c r="AQ12" t="s">
        <v>39</v>
      </c>
      <c r="AR12" t="s">
        <v>306</v>
      </c>
      <c r="AS12" t="s">
        <v>319</v>
      </c>
      <c r="AT12" t="s">
        <v>240</v>
      </c>
      <c r="AU12" t="s">
        <v>311</v>
      </c>
      <c r="AV12">
        <v>8.6999999999999993</v>
      </c>
    </row>
    <row r="13" spans="1:48" x14ac:dyDescent="0.25">
      <c r="A13" s="2">
        <v>12</v>
      </c>
      <c r="B13" t="s">
        <v>144</v>
      </c>
      <c r="C13" s="2" t="s">
        <v>60</v>
      </c>
      <c r="D13" s="2">
        <v>2002</v>
      </c>
      <c r="E13" s="2" t="s">
        <v>97</v>
      </c>
      <c r="F13" t="s">
        <v>62</v>
      </c>
      <c r="G13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3" s="5">
        <v>0</v>
      </c>
      <c r="I13" s="8">
        <v>0</v>
      </c>
      <c r="J13" s="8">
        <v>0</v>
      </c>
      <c r="K13" s="5">
        <v>3.8</v>
      </c>
      <c r="L13" s="8">
        <v>4.1500000000000004</v>
      </c>
      <c r="M13" s="8">
        <v>7.95</v>
      </c>
      <c r="N13" s="5">
        <v>4.0999999999999996</v>
      </c>
      <c r="O13" s="8">
        <v>8.4</v>
      </c>
      <c r="P13" s="8">
        <v>12.5</v>
      </c>
      <c r="Q13" s="5">
        <v>0</v>
      </c>
      <c r="R13" s="8">
        <v>0</v>
      </c>
      <c r="S13" s="8">
        <v>0</v>
      </c>
      <c r="T13" s="5">
        <v>0</v>
      </c>
      <c r="U13" s="8">
        <v>0</v>
      </c>
      <c r="V13" s="8">
        <v>0</v>
      </c>
      <c r="W13" s="5">
        <v>3.8</v>
      </c>
      <c r="X13" s="8">
        <v>8.4</v>
      </c>
      <c r="Y13" s="8">
        <v>12.2</v>
      </c>
      <c r="Z13" s="4">
        <f>IF(Bydgoszcz_result[[#This Row],[All Around]]="Yes",SUM(H13,K13,N13,Q13,T13,W13),0)</f>
        <v>0</v>
      </c>
      <c r="AA13" s="7">
        <f>IF(Bydgoszcz_result[[#This Row],[All Around]]="Yes",SUM(I13,L13,O13,R13,U13,X13),0)</f>
        <v>0</v>
      </c>
      <c r="AB13" s="7">
        <f t="shared" si="0"/>
        <v>32.65</v>
      </c>
      <c r="AD13" s="42"/>
      <c r="AE13" s="20" t="s">
        <v>238</v>
      </c>
      <c r="AF13" s="21">
        <f>AVERAGEIFS(Bydgoszcz_result[PH_Dscore],Bydgoszcz_result[[Category]:[Category]],"junior",Bydgoszcz_result[FX_Dscore],"&lt;&gt;0")</f>
        <v>2.8400000000000003</v>
      </c>
      <c r="AG13" s="21" cm="1">
        <f t="array" ref="AG13">_xlfn.STDEV.S(_xlfn._xlws.FILTER(Bydgoszcz_result[PH_Dscore],(Bydgoszcz_result[Category]="junior")*(Bydgoszcz_result[PH_Dscore]&gt;0)))</f>
        <v>1.0187218058170042</v>
      </c>
      <c r="AH13" s="22">
        <f>AVERAGEIFS(Bydgoszcz_result[PH_Escore],Bydgoszcz_result[[Category]:[Category]],"junior",Bydgoszcz_result[FX_Escore],"&lt;&gt;0")</f>
        <v>5.5600000000000014</v>
      </c>
      <c r="AI13" s="22" cm="1">
        <f t="array" ref="AI13">_xlfn.STDEV.S(_xlfn._xlws.FILTER(Bydgoszcz_result[PH_Escore],(Bydgoszcz_result[Category]="junior")*(Bydgoszcz_result[PH_Escore]&gt;0)))</f>
        <v>1.6164674549668501</v>
      </c>
      <c r="AJ13" s="22">
        <f>AVERAGEIFS(Bydgoszcz_result[PH_Total_Score],Bydgoszcz_result[[Category]:[Category]],"junior",Bydgoszcz_result[FX_Total_Score],"&lt;&gt;0")</f>
        <v>8.3999999999999986</v>
      </c>
      <c r="AK13" s="22" cm="1">
        <f t="array" ref="AK13">_xlfn.STDEV.S(_xlfn._xlws.FILTER(Bydgoszcz_result[PH_Total_Score],(Bydgoszcz_result[Category]="junior")*(Bydgoszcz_result[PH_Total_Score]&gt;0)))</f>
        <v>3.882985131237537</v>
      </c>
      <c r="AL13" s="22" cm="1">
        <f t="array" ref="AL13">MAX(_xlfn._xlws.FILTER(Bydgoszcz_result[PH_Total_Score],Bydgoszcz_result[Category]="junior"))</f>
        <v>12.75</v>
      </c>
      <c r="AN13" t="s">
        <v>63</v>
      </c>
      <c r="AO13" t="s">
        <v>60</v>
      </c>
      <c r="AP13">
        <v>1997</v>
      </c>
      <c r="AQ13" t="s">
        <v>39</v>
      </c>
      <c r="AR13" t="s">
        <v>306</v>
      </c>
      <c r="AS13" t="s">
        <v>319</v>
      </c>
      <c r="AT13" t="s">
        <v>240</v>
      </c>
      <c r="AU13" t="s">
        <v>268</v>
      </c>
      <c r="AV13">
        <v>13.5</v>
      </c>
    </row>
    <row r="14" spans="1:48" x14ac:dyDescent="0.25">
      <c r="A14" s="2">
        <v>13</v>
      </c>
      <c r="B14" t="s">
        <v>68</v>
      </c>
      <c r="C14" s="2" t="s">
        <v>60</v>
      </c>
      <c r="D14" s="2">
        <v>2004</v>
      </c>
      <c r="E14" s="2" t="s">
        <v>69</v>
      </c>
      <c r="F14" t="s">
        <v>31</v>
      </c>
      <c r="G14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4" s="5">
        <v>0</v>
      </c>
      <c r="I14" s="8">
        <v>0</v>
      </c>
      <c r="J14" s="8">
        <v>0</v>
      </c>
      <c r="K14" s="5">
        <v>0</v>
      </c>
      <c r="L14" s="8">
        <v>0</v>
      </c>
      <c r="M14" s="8">
        <v>0</v>
      </c>
      <c r="N14" s="5">
        <v>3.2</v>
      </c>
      <c r="O14" s="8">
        <v>7.4</v>
      </c>
      <c r="P14" s="8">
        <v>10.6</v>
      </c>
      <c r="Q14" s="5">
        <v>0</v>
      </c>
      <c r="R14" s="8">
        <v>0</v>
      </c>
      <c r="S14" s="8">
        <v>0</v>
      </c>
      <c r="T14" s="5">
        <v>2.7</v>
      </c>
      <c r="U14" s="8">
        <v>6.85</v>
      </c>
      <c r="V14" s="8">
        <v>9.5500000000000007</v>
      </c>
      <c r="W14" s="5">
        <v>2.1</v>
      </c>
      <c r="X14" s="8">
        <v>8.4</v>
      </c>
      <c r="Y14" s="8">
        <v>10.5</v>
      </c>
      <c r="Z14" s="4">
        <f>IF(Bydgoszcz_result[[#This Row],[All Around]]="Yes",SUM(H14,K14,N14,Q14,T14,W14),0)</f>
        <v>0</v>
      </c>
      <c r="AA14" s="7">
        <f>IF(Bydgoszcz_result[[#This Row],[All Around]]="Yes",SUM(I14,L14,O14,R14,U14,X14),0)</f>
        <v>0</v>
      </c>
      <c r="AB14" s="7">
        <f t="shared" si="0"/>
        <v>30.65</v>
      </c>
      <c r="AD14" s="42"/>
      <c r="AE14" s="20" t="s">
        <v>239</v>
      </c>
      <c r="AF14" s="21">
        <f>AVERAGEIFS(Bydgoszcz_result[SR_Dscore],Bydgoszcz_result[[Category]:[Category]],"junior",Bydgoszcz_result[SR_Dscore],"&lt;&gt;0")</f>
        <v>2.5533333333333337</v>
      </c>
      <c r="AG14" s="21" cm="1">
        <f t="array" ref="AG14">_xlfn.STDEV.S(_xlfn._xlws.FILTER(Bydgoszcz_result[SR_Dscore],(Bydgoszcz_result[Category]="junior")*(Bydgoszcz_result[SR_Dscore]&gt;0)))</f>
        <v>0.5194319241339731</v>
      </c>
      <c r="AH14" s="22">
        <f>AVERAGEIFS(Bydgoszcz_result[SR_Escore],Bydgoszcz_result[[Category]:[Category]],"junior",Bydgoszcz_result[SR_Escore],"&lt;&gt;0")</f>
        <v>7.0366666666666653</v>
      </c>
      <c r="AI14" s="22" cm="1">
        <f t="array" ref="AI14">_xlfn.STDEV.S(_xlfn._xlws.FILTER(Bydgoszcz_result[SR_Escore],(Bydgoszcz_result[Category]="junior")*(Bydgoszcz_result[SR_Escore]&gt;0)))</f>
        <v>1.3279235491476813</v>
      </c>
      <c r="AJ14" s="22">
        <f>AVERAGEIFS(Bydgoszcz_result[SR_Total_Score],Bydgoszcz_result[[Category]:[Category]],"junior",Bydgoszcz_result[SR_Total_Score],"&lt;&gt;0")</f>
        <v>9.5900000000000016</v>
      </c>
      <c r="AK14" s="22" cm="1">
        <f t="array" ref="AK14">_xlfn.STDEV.S(_xlfn._xlws.FILTER(Bydgoszcz_result[SR_Total_Score],(Bydgoszcz_result[Category]="junior")*(Bydgoszcz_result[SR_Total_Score]&gt;0)))</f>
        <v>1.7176811611671539</v>
      </c>
      <c r="AL14" s="22" cm="1">
        <f t="array" ref="AL14">MAX(_xlfn._xlws.FILTER(Bydgoszcz_result[SR_Total_Score],Bydgoszcz_result[Category]="junior"))</f>
        <v>11.65</v>
      </c>
      <c r="AN14" t="s">
        <v>63</v>
      </c>
      <c r="AO14" t="s">
        <v>60</v>
      </c>
      <c r="AP14">
        <v>1997</v>
      </c>
      <c r="AQ14" t="s">
        <v>39</v>
      </c>
      <c r="AR14" t="s">
        <v>306</v>
      </c>
      <c r="AS14" t="s">
        <v>319</v>
      </c>
      <c r="AT14" t="s">
        <v>316</v>
      </c>
      <c r="AU14" t="s">
        <v>310</v>
      </c>
      <c r="AV14">
        <v>4.2</v>
      </c>
    </row>
    <row r="15" spans="1:48" x14ac:dyDescent="0.25">
      <c r="A15" s="2">
        <v>14</v>
      </c>
      <c r="B15" t="s">
        <v>106</v>
      </c>
      <c r="C15" s="2" t="s">
        <v>60</v>
      </c>
      <c r="D15" s="2">
        <v>2004</v>
      </c>
      <c r="E15" s="2" t="s">
        <v>107</v>
      </c>
      <c r="F15" t="s">
        <v>31</v>
      </c>
      <c r="G15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5" s="5">
        <v>3.9</v>
      </c>
      <c r="I15" s="8">
        <v>8.4</v>
      </c>
      <c r="J15" s="8">
        <v>12.3</v>
      </c>
      <c r="K15" s="5">
        <v>2.2999999999999998</v>
      </c>
      <c r="L15" s="8">
        <v>2</v>
      </c>
      <c r="M15" s="8">
        <v>4.3</v>
      </c>
      <c r="N15" s="5">
        <v>0</v>
      </c>
      <c r="O15" s="8">
        <v>0</v>
      </c>
      <c r="P15" s="8">
        <v>0</v>
      </c>
      <c r="Q15" s="5">
        <v>0</v>
      </c>
      <c r="R15" s="8">
        <v>0</v>
      </c>
      <c r="S15" s="8">
        <v>0</v>
      </c>
      <c r="T15" s="5">
        <v>2.5</v>
      </c>
      <c r="U15" s="8">
        <v>7.45</v>
      </c>
      <c r="V15" s="8">
        <v>9.9499999999999993</v>
      </c>
      <c r="W15" s="5">
        <v>0</v>
      </c>
      <c r="X15" s="8">
        <v>0</v>
      </c>
      <c r="Y15" s="8">
        <v>0</v>
      </c>
      <c r="Z15" s="4">
        <f>IF(Bydgoszcz_result[[#This Row],[All Around]]="Yes",SUM(H15,K15,N15,Q15,T15,W15),0)</f>
        <v>0</v>
      </c>
      <c r="AA15" s="7">
        <f>IF(Bydgoszcz_result[[#This Row],[All Around]]="Yes",SUM(I15,L15,O15,R15,U15,X15),0)</f>
        <v>0</v>
      </c>
      <c r="AB15" s="7">
        <f t="shared" si="0"/>
        <v>26.55</v>
      </c>
      <c r="AD15" s="43"/>
      <c r="AE15" s="20" t="s">
        <v>240</v>
      </c>
      <c r="AF15" s="21">
        <f>AVERAGEIFS(Bydgoszcz_result[VT_Dscore],Bydgoszcz_result[[Category]:[Category]],"junior",Bydgoszcz_result[VT_Dscore],"&lt;&gt;0")</f>
        <v>2.5749999999999997</v>
      </c>
      <c r="AG15" s="21" cm="1">
        <f t="array" ref="AG15">_xlfn.STDEV.S(_xlfn._xlws.FILTER(Bydgoszcz_result[VT_Dscore],(Bydgoszcz_result[Category]="junior")*(Bydgoszcz_result[VT_Dscore]&gt;0)))</f>
        <v>0.74072037009027158</v>
      </c>
      <c r="AH15" s="22">
        <f>AVERAGEIFS(Bydgoszcz_result[VT_Escore],Bydgoszcz_result[[Category]:[Category]],"junior",Bydgoszcz_result[VT_Escore],"&lt;&gt;0")</f>
        <v>8.5718749999999986</v>
      </c>
      <c r="AI15" s="22" cm="1">
        <f t="array" ref="AI15">_xlfn.STDEV.S(_xlfn._xlws.FILTER(Bydgoszcz_result[VT_Escore],(Bydgoszcz_result[Category]="junior")*(Bydgoszcz_result[VT_Escore]&gt;0)))</f>
        <v>0.55856027726050594</v>
      </c>
      <c r="AJ15" s="22">
        <f>AVERAGEIFS(Bydgoszcz_result[VT_total_score],Bydgoszcz_result[[Category]:[Category]],"junior",Bydgoszcz_result[VT_total_score],"&lt;&gt;0")</f>
        <v>11.146875</v>
      </c>
      <c r="AK15" s="22" cm="1">
        <f t="array" ref="AK15">_xlfn.STDEV.S(_xlfn._xlws.FILTER(Bydgoszcz_result[VT_total_score],(Bydgoszcz_result[Category]="junior")*(Bydgoszcz_result[VT_total_score]&gt;0)))</f>
        <v>0.81924126482984228</v>
      </c>
      <c r="AL15" s="22" cm="1">
        <f t="array" ref="AL15">MAX(_xlfn._xlws.FILTER(Bydgoszcz_result[VT_total_score],Bydgoszcz_result[Category]="junior"))</f>
        <v>12.5</v>
      </c>
      <c r="AN15" t="s">
        <v>63</v>
      </c>
      <c r="AO15" t="s">
        <v>60</v>
      </c>
      <c r="AP15">
        <v>1997</v>
      </c>
      <c r="AQ15" t="s">
        <v>39</v>
      </c>
      <c r="AR15" t="s">
        <v>306</v>
      </c>
      <c r="AS15" t="s">
        <v>319</v>
      </c>
      <c r="AT15" t="s">
        <v>316</v>
      </c>
      <c r="AU15" t="s">
        <v>311</v>
      </c>
      <c r="AV15">
        <v>8.6</v>
      </c>
    </row>
    <row r="16" spans="1:48" x14ac:dyDescent="0.25">
      <c r="A16" s="2">
        <v>15</v>
      </c>
      <c r="B16" t="s">
        <v>92</v>
      </c>
      <c r="C16" s="2" t="s">
        <v>60</v>
      </c>
      <c r="D16" s="2">
        <v>2004</v>
      </c>
      <c r="E16" s="2" t="s">
        <v>93</v>
      </c>
      <c r="F16" t="s">
        <v>39</v>
      </c>
      <c r="G16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16" s="5">
        <v>0</v>
      </c>
      <c r="I16" s="8">
        <v>0</v>
      </c>
      <c r="J16" s="8">
        <v>0</v>
      </c>
      <c r="K16" s="5">
        <v>4</v>
      </c>
      <c r="L16" s="8">
        <v>8.65</v>
      </c>
      <c r="M16" s="8">
        <v>12.65</v>
      </c>
      <c r="N16" s="5">
        <v>0</v>
      </c>
      <c r="O16" s="8">
        <v>0</v>
      </c>
      <c r="P16" s="8">
        <v>0</v>
      </c>
      <c r="Q16" s="5">
        <v>0</v>
      </c>
      <c r="R16" s="8">
        <v>0</v>
      </c>
      <c r="S16" s="8">
        <v>0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IF(Bydgoszcz_result[[#This Row],[All Around]]="Yes",SUM(H16,K16,N16,Q16,T16,W16),0)</f>
        <v>0</v>
      </c>
      <c r="AA16" s="7">
        <f>IF(Bydgoszcz_result[[#This Row],[All Around]]="Yes",SUM(I16,L16,O16,R16,U16,X16),0)</f>
        <v>0</v>
      </c>
      <c r="AB16" s="7">
        <f t="shared" si="0"/>
        <v>12.65</v>
      </c>
      <c r="AN16" t="s">
        <v>63</v>
      </c>
      <c r="AO16" t="s">
        <v>60</v>
      </c>
      <c r="AP16">
        <v>1997</v>
      </c>
      <c r="AQ16" t="s">
        <v>39</v>
      </c>
      <c r="AR16" t="s">
        <v>306</v>
      </c>
      <c r="AS16" t="s">
        <v>319</v>
      </c>
      <c r="AT16" t="s">
        <v>316</v>
      </c>
      <c r="AU16" t="s">
        <v>268</v>
      </c>
      <c r="AV16">
        <v>12.8</v>
      </c>
    </row>
    <row r="17" spans="1:48" x14ac:dyDescent="0.25">
      <c r="A17" s="2">
        <v>1</v>
      </c>
      <c r="B17" t="s">
        <v>25</v>
      </c>
      <c r="C17" s="2" t="s">
        <v>26</v>
      </c>
      <c r="D17" s="2">
        <v>2008</v>
      </c>
      <c r="E17" s="2" t="s">
        <v>27</v>
      </c>
      <c r="F17" t="s">
        <v>28</v>
      </c>
      <c r="G17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17" s="4">
        <v>4</v>
      </c>
      <c r="I17" s="8">
        <v>8.9499999999999993</v>
      </c>
      <c r="J17" s="7">
        <v>12.95</v>
      </c>
      <c r="K17" s="5">
        <v>3.8</v>
      </c>
      <c r="L17" s="8">
        <v>8.9499999999999993</v>
      </c>
      <c r="M17" s="7">
        <v>12.75</v>
      </c>
      <c r="N17" s="5">
        <v>2.8</v>
      </c>
      <c r="O17" s="8">
        <v>8.85</v>
      </c>
      <c r="P17" s="7">
        <v>11.65</v>
      </c>
      <c r="Q17" s="5">
        <v>2.2000000000000002</v>
      </c>
      <c r="R17" s="8">
        <v>9.4</v>
      </c>
      <c r="S17" s="7">
        <v>11.6</v>
      </c>
      <c r="T17" s="5">
        <v>4.0999999999999996</v>
      </c>
      <c r="U17" s="8">
        <v>8.5500000000000007</v>
      </c>
      <c r="V17" s="7">
        <v>12.65</v>
      </c>
      <c r="W17" s="5">
        <v>2.6</v>
      </c>
      <c r="X17" s="8">
        <v>9</v>
      </c>
      <c r="Y17" s="7">
        <v>11.6</v>
      </c>
      <c r="Z17" s="4">
        <f>IF(Bydgoszcz_result[[#This Row],[All Around]]="Yes",SUM(H17,K17,N17,Q17,T17,W17),0)</f>
        <v>19.5</v>
      </c>
      <c r="AA17" s="7">
        <f>IF(Bydgoszcz_result[[#This Row],[All Around]]="Yes",SUM(I17,L17,O17,R17,U17,X17),0)</f>
        <v>53.7</v>
      </c>
      <c r="AB17" s="7">
        <f t="shared" si="0"/>
        <v>73.2</v>
      </c>
      <c r="AD17" s="28" t="s">
        <v>296</v>
      </c>
      <c r="AI17" s="38" t="s">
        <v>217</v>
      </c>
      <c r="AJ17" t="s">
        <v>218</v>
      </c>
      <c r="AN17" t="s">
        <v>63</v>
      </c>
      <c r="AO17" t="s">
        <v>60</v>
      </c>
      <c r="AP17">
        <v>1997</v>
      </c>
      <c r="AQ17" t="s">
        <v>39</v>
      </c>
      <c r="AR17" t="s">
        <v>306</v>
      </c>
      <c r="AS17" t="s">
        <v>319</v>
      </c>
      <c r="AT17" t="s">
        <v>242</v>
      </c>
      <c r="AU17" t="s">
        <v>310</v>
      </c>
      <c r="AV17">
        <v>4.4000000000000004</v>
      </c>
    </row>
    <row r="18" spans="1:48" x14ac:dyDescent="0.25">
      <c r="A18" s="2">
        <v>2</v>
      </c>
      <c r="B18" t="s">
        <v>112</v>
      </c>
      <c r="C18" s="2" t="s">
        <v>26</v>
      </c>
      <c r="D18" s="2">
        <v>2005</v>
      </c>
      <c r="E18" s="2" t="s">
        <v>113</v>
      </c>
      <c r="F18" t="s">
        <v>31</v>
      </c>
      <c r="G18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18" s="5">
        <v>4</v>
      </c>
      <c r="I18" s="8">
        <v>7.8</v>
      </c>
      <c r="J18" s="8">
        <v>11.8</v>
      </c>
      <c r="K18" s="5">
        <v>3.1</v>
      </c>
      <c r="L18" s="8">
        <v>7.65</v>
      </c>
      <c r="M18" s="8">
        <v>10.75</v>
      </c>
      <c r="N18" s="5">
        <v>2.9</v>
      </c>
      <c r="O18" s="8">
        <v>8</v>
      </c>
      <c r="P18" s="8">
        <v>10.9</v>
      </c>
      <c r="Q18" s="5">
        <v>4</v>
      </c>
      <c r="R18" s="8">
        <v>8.5</v>
      </c>
      <c r="S18" s="8">
        <v>12.5</v>
      </c>
      <c r="T18" s="5">
        <v>3.1</v>
      </c>
      <c r="U18" s="8">
        <v>8.65</v>
      </c>
      <c r="V18" s="8">
        <v>11.75</v>
      </c>
      <c r="W18" s="5">
        <v>3.4</v>
      </c>
      <c r="X18" s="8">
        <v>7.8</v>
      </c>
      <c r="Y18" s="8">
        <v>11.2</v>
      </c>
      <c r="Z18" s="4">
        <f>IF(Bydgoszcz_result[[#This Row],[All Around]]="Yes",SUM(H18,K18,N18,Q18,T18,W18),0)</f>
        <v>20.5</v>
      </c>
      <c r="AA18" s="7">
        <f>IF(Bydgoszcz_result[[#This Row],[All Around]]="Yes",SUM(I18,L18,O18,R18,U18,X18),0)</f>
        <v>48.4</v>
      </c>
      <c r="AB18" s="7">
        <f t="shared" si="0"/>
        <v>68.900000000000006</v>
      </c>
      <c r="AD18" s="29" t="s">
        <v>297</v>
      </c>
      <c r="AN18" t="s">
        <v>63</v>
      </c>
      <c r="AO18" t="s">
        <v>60</v>
      </c>
      <c r="AP18">
        <v>1997</v>
      </c>
      <c r="AQ18" t="s">
        <v>39</v>
      </c>
      <c r="AR18" t="s">
        <v>306</v>
      </c>
      <c r="AS18" t="s">
        <v>319</v>
      </c>
      <c r="AT18" t="s">
        <v>242</v>
      </c>
      <c r="AU18" t="s">
        <v>311</v>
      </c>
      <c r="AV18">
        <v>8</v>
      </c>
    </row>
    <row r="19" spans="1:48" x14ac:dyDescent="0.25">
      <c r="A19" s="2">
        <v>3</v>
      </c>
      <c r="B19" t="s">
        <v>34</v>
      </c>
      <c r="C19" s="2" t="s">
        <v>26</v>
      </c>
      <c r="D19" s="2">
        <v>2006</v>
      </c>
      <c r="E19" s="2" t="s">
        <v>35</v>
      </c>
      <c r="F19" t="s">
        <v>36</v>
      </c>
      <c r="G19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19" s="5">
        <v>3.8</v>
      </c>
      <c r="I19" s="8">
        <v>8.6999999999999993</v>
      </c>
      <c r="J19" s="8">
        <v>12.5</v>
      </c>
      <c r="K19" s="5">
        <v>4.4000000000000004</v>
      </c>
      <c r="L19" s="8">
        <v>7</v>
      </c>
      <c r="M19" s="8">
        <v>11.4</v>
      </c>
      <c r="N19" s="5">
        <v>3.6</v>
      </c>
      <c r="O19" s="8">
        <v>7.8</v>
      </c>
      <c r="P19" s="8">
        <v>11.4</v>
      </c>
      <c r="Q19" s="5">
        <v>1.6</v>
      </c>
      <c r="R19" s="8">
        <v>8.8000000000000007</v>
      </c>
      <c r="S19" s="8">
        <v>10.4</v>
      </c>
      <c r="T19" s="5">
        <v>3.2</v>
      </c>
      <c r="U19" s="8">
        <v>8.6</v>
      </c>
      <c r="V19" s="8">
        <v>11.8</v>
      </c>
      <c r="W19" s="5">
        <v>3.4</v>
      </c>
      <c r="X19" s="8">
        <v>7.4</v>
      </c>
      <c r="Y19" s="8">
        <v>10.8</v>
      </c>
      <c r="Z19" s="4">
        <f>IF(Bydgoszcz_result[[#This Row],[All Around]]="Yes",SUM(H19,K19,N19,Q19,T19,W19),0)</f>
        <v>19.999999999999996</v>
      </c>
      <c r="AA19" s="7">
        <f>IF(Bydgoszcz_result[[#This Row],[All Around]]="Yes",SUM(I19,L19,O19,R19,U19,X19),0)</f>
        <v>48.3</v>
      </c>
      <c r="AB19" s="7">
        <f t="shared" si="0"/>
        <v>68.3</v>
      </c>
      <c r="AD19" s="30" t="s">
        <v>298</v>
      </c>
      <c r="AI19" s="38" t="s">
        <v>313</v>
      </c>
      <c r="AJ19" s="38" t="s">
        <v>308</v>
      </c>
      <c r="AN19" t="s">
        <v>63</v>
      </c>
      <c r="AO19" t="s">
        <v>60</v>
      </c>
      <c r="AP19">
        <v>1997</v>
      </c>
      <c r="AQ19" t="s">
        <v>39</v>
      </c>
      <c r="AR19" t="s">
        <v>306</v>
      </c>
      <c r="AS19" t="s">
        <v>319</v>
      </c>
      <c r="AT19" t="s">
        <v>242</v>
      </c>
      <c r="AU19" t="s">
        <v>268</v>
      </c>
      <c r="AV19">
        <v>12.4</v>
      </c>
    </row>
    <row r="20" spans="1:48" x14ac:dyDescent="0.25">
      <c r="A20" s="2">
        <v>4</v>
      </c>
      <c r="B20" t="s">
        <v>32</v>
      </c>
      <c r="C20" s="2" t="s">
        <v>26</v>
      </c>
      <c r="D20" s="2">
        <v>2005</v>
      </c>
      <c r="E20" s="2" t="s">
        <v>33</v>
      </c>
      <c r="F20" t="s">
        <v>31</v>
      </c>
      <c r="G20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0" s="5">
        <v>4.2</v>
      </c>
      <c r="I20" s="8">
        <v>8.6</v>
      </c>
      <c r="J20" s="8">
        <v>12.8</v>
      </c>
      <c r="K20" s="5">
        <v>3.6</v>
      </c>
      <c r="L20" s="8">
        <v>7</v>
      </c>
      <c r="M20" s="8">
        <v>10.6</v>
      </c>
      <c r="N20" s="5">
        <v>3.3</v>
      </c>
      <c r="O20" s="8">
        <v>7.1</v>
      </c>
      <c r="P20" s="8">
        <v>10.4</v>
      </c>
      <c r="Q20" s="5">
        <v>3.2</v>
      </c>
      <c r="R20" s="8">
        <v>9</v>
      </c>
      <c r="S20" s="8">
        <v>12.2</v>
      </c>
      <c r="T20" s="5">
        <v>3.5</v>
      </c>
      <c r="U20" s="8">
        <v>7.95</v>
      </c>
      <c r="V20" s="8">
        <v>11.45</v>
      </c>
      <c r="W20" s="5">
        <v>3.1</v>
      </c>
      <c r="X20" s="8">
        <v>7.7</v>
      </c>
      <c r="Y20" s="8">
        <v>10.8</v>
      </c>
      <c r="Z20" s="4">
        <f>IF(Bydgoszcz_result[[#This Row],[All Around]]="Yes",SUM(H20,K20,N20,Q20,T20,W20),0)</f>
        <v>20.900000000000002</v>
      </c>
      <c r="AA20" s="7">
        <f>IF(Bydgoszcz_result[[#This Row],[All Around]]="Yes",SUM(I20,L20,O20,R20,U20,X20),0)</f>
        <v>47.35</v>
      </c>
      <c r="AB20" s="7">
        <f t="shared" si="0"/>
        <v>68.25</v>
      </c>
      <c r="AD20" s="31" t="s">
        <v>300</v>
      </c>
      <c r="AI20" s="38" t="s">
        <v>305</v>
      </c>
      <c r="AJ20" t="s">
        <v>26</v>
      </c>
      <c r="AK20" t="s">
        <v>60</v>
      </c>
      <c r="AL20" t="s">
        <v>312</v>
      </c>
      <c r="AN20" t="s">
        <v>63</v>
      </c>
      <c r="AO20" t="s">
        <v>60</v>
      </c>
      <c r="AP20">
        <v>1997</v>
      </c>
      <c r="AQ20" t="s">
        <v>39</v>
      </c>
      <c r="AR20" t="s">
        <v>306</v>
      </c>
      <c r="AS20" t="s">
        <v>319</v>
      </c>
      <c r="AT20" t="s">
        <v>243</v>
      </c>
      <c r="AU20" t="s">
        <v>247</v>
      </c>
      <c r="AV20">
        <v>28.199999999999996</v>
      </c>
    </row>
    <row r="21" spans="1:48" x14ac:dyDescent="0.25">
      <c r="A21" s="2">
        <v>5</v>
      </c>
      <c r="B21" t="s">
        <v>37</v>
      </c>
      <c r="C21" s="2" t="s">
        <v>26</v>
      </c>
      <c r="D21" s="2">
        <v>2006</v>
      </c>
      <c r="E21" s="2" t="s">
        <v>38</v>
      </c>
      <c r="F21" t="s">
        <v>39</v>
      </c>
      <c r="G21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1" s="5">
        <v>3.3</v>
      </c>
      <c r="I21" s="8">
        <v>8.3000000000000007</v>
      </c>
      <c r="J21" s="8">
        <v>11.6</v>
      </c>
      <c r="K21" s="5">
        <v>4.4000000000000004</v>
      </c>
      <c r="L21" s="8">
        <v>7.85</v>
      </c>
      <c r="M21" s="8">
        <v>12.25</v>
      </c>
      <c r="N21" s="5">
        <v>2.2999999999999998</v>
      </c>
      <c r="O21" s="8">
        <v>7.3</v>
      </c>
      <c r="P21" s="8">
        <v>9.6</v>
      </c>
      <c r="Q21" s="5">
        <v>2.4</v>
      </c>
      <c r="R21" s="8">
        <v>8.85</v>
      </c>
      <c r="S21" s="8">
        <v>11.25</v>
      </c>
      <c r="T21" s="5">
        <v>3.1</v>
      </c>
      <c r="U21" s="8">
        <v>8.5</v>
      </c>
      <c r="V21" s="8">
        <v>11.6</v>
      </c>
      <c r="W21" s="5">
        <v>3</v>
      </c>
      <c r="X21" s="8">
        <v>7.8</v>
      </c>
      <c r="Y21" s="8">
        <v>10.8</v>
      </c>
      <c r="Z21" s="4">
        <f>IF(Bydgoszcz_result[[#This Row],[All Around]]="Yes",SUM(H21,K21,N21,Q21,T21,W21),0)</f>
        <v>18.5</v>
      </c>
      <c r="AA21" s="7">
        <f>IF(Bydgoszcz_result[[#This Row],[All Around]]="Yes",SUM(I21,L21,O21,R21,U21,X21),0)</f>
        <v>48.599999999999994</v>
      </c>
      <c r="AB21" s="7">
        <f t="shared" si="0"/>
        <v>67.100000000000009</v>
      </c>
      <c r="AD21" s="32" t="s">
        <v>299</v>
      </c>
      <c r="AI21" s="39" t="s">
        <v>268</v>
      </c>
      <c r="AJ21">
        <v>15</v>
      </c>
      <c r="AK21">
        <v>11</v>
      </c>
      <c r="AL21">
        <v>26</v>
      </c>
      <c r="AN21" t="s">
        <v>63</v>
      </c>
      <c r="AO21" t="s">
        <v>60</v>
      </c>
      <c r="AP21">
        <v>1997</v>
      </c>
      <c r="AQ21" t="s">
        <v>39</v>
      </c>
      <c r="AR21" t="s">
        <v>306</v>
      </c>
      <c r="AS21" t="s">
        <v>319</v>
      </c>
      <c r="AT21" t="s">
        <v>243</v>
      </c>
      <c r="AU21" t="s">
        <v>248</v>
      </c>
      <c r="AV21">
        <v>47.4</v>
      </c>
    </row>
    <row r="22" spans="1:48" x14ac:dyDescent="0.25">
      <c r="A22" s="2">
        <v>6</v>
      </c>
      <c r="B22" t="s">
        <v>44</v>
      </c>
      <c r="C22" s="2" t="s">
        <v>26</v>
      </c>
      <c r="D22" s="2">
        <v>2007</v>
      </c>
      <c r="E22" s="2" t="s">
        <v>45</v>
      </c>
      <c r="F22" t="s">
        <v>39</v>
      </c>
      <c r="G22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2" s="5">
        <v>3.4</v>
      </c>
      <c r="I22" s="8">
        <v>8.4</v>
      </c>
      <c r="J22" s="8">
        <v>11.8</v>
      </c>
      <c r="K22" s="5">
        <v>3</v>
      </c>
      <c r="L22" s="8">
        <v>8.6</v>
      </c>
      <c r="M22" s="8">
        <v>11.6</v>
      </c>
      <c r="N22" s="5">
        <v>2.2999999999999998</v>
      </c>
      <c r="O22" s="8">
        <v>7.3</v>
      </c>
      <c r="P22" s="8">
        <v>9.6</v>
      </c>
      <c r="Q22" s="5">
        <v>2.8</v>
      </c>
      <c r="R22" s="8">
        <v>8.5</v>
      </c>
      <c r="S22" s="8">
        <v>11.3</v>
      </c>
      <c r="T22" s="5">
        <v>3.1</v>
      </c>
      <c r="U22" s="8">
        <v>8.6999999999999993</v>
      </c>
      <c r="V22" s="8">
        <v>11.8</v>
      </c>
      <c r="W22" s="5">
        <v>2.4</v>
      </c>
      <c r="X22" s="8">
        <v>7.8</v>
      </c>
      <c r="Y22" s="8">
        <v>10.199999999999999</v>
      </c>
      <c r="Z22" s="4">
        <f>IF(Bydgoszcz_result[[#This Row],[All Around]]="Yes",SUM(H22,K22,N22,Q22,T22,W22),0)</f>
        <v>17</v>
      </c>
      <c r="AA22" s="7">
        <f>IF(Bydgoszcz_result[[#This Row],[All Around]]="Yes",SUM(I22,L22,O22,R22,U22,X22),0)</f>
        <v>49.3</v>
      </c>
      <c r="AB22" s="7">
        <f t="shared" si="0"/>
        <v>66.3</v>
      </c>
      <c r="AD22" s="33" t="s">
        <v>252</v>
      </c>
      <c r="AI22" s="40" t="s">
        <v>329</v>
      </c>
      <c r="AJ22">
        <v>1</v>
      </c>
      <c r="AK22">
        <v>1</v>
      </c>
      <c r="AL22">
        <v>2</v>
      </c>
      <c r="AN22" t="s">
        <v>63</v>
      </c>
      <c r="AO22" t="s">
        <v>60</v>
      </c>
      <c r="AP22">
        <v>1997</v>
      </c>
      <c r="AQ22" t="s">
        <v>39</v>
      </c>
      <c r="AR22" t="s">
        <v>306</v>
      </c>
      <c r="AS22" t="s">
        <v>319</v>
      </c>
      <c r="AT22" t="s">
        <v>243</v>
      </c>
      <c r="AU22" t="s">
        <v>314</v>
      </c>
      <c r="AV22">
        <v>75.600000000000009</v>
      </c>
    </row>
    <row r="23" spans="1:48" x14ac:dyDescent="0.25">
      <c r="A23" s="2">
        <v>7</v>
      </c>
      <c r="B23" t="s">
        <v>29</v>
      </c>
      <c r="C23" s="2" t="s">
        <v>26</v>
      </c>
      <c r="D23" s="2">
        <v>2005</v>
      </c>
      <c r="E23" s="2" t="s">
        <v>30</v>
      </c>
      <c r="F23" t="s">
        <v>31</v>
      </c>
      <c r="G23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3" s="5">
        <v>4</v>
      </c>
      <c r="I23" s="8">
        <v>8.9499999999999993</v>
      </c>
      <c r="J23" s="8">
        <v>12.95</v>
      </c>
      <c r="K23" s="5">
        <v>3.3</v>
      </c>
      <c r="L23" s="8">
        <v>6.65</v>
      </c>
      <c r="M23" s="8">
        <v>9.9499999999999993</v>
      </c>
      <c r="N23" s="5">
        <v>2.6</v>
      </c>
      <c r="O23" s="8">
        <v>6.9</v>
      </c>
      <c r="P23" s="8">
        <v>9.5</v>
      </c>
      <c r="Q23" s="5">
        <v>2.8</v>
      </c>
      <c r="R23" s="8">
        <v>8.6</v>
      </c>
      <c r="S23" s="8">
        <v>11.4</v>
      </c>
      <c r="T23" s="5">
        <v>3.2</v>
      </c>
      <c r="U23" s="8">
        <v>8.4499999999999993</v>
      </c>
      <c r="V23" s="8">
        <v>11.65</v>
      </c>
      <c r="W23" s="5">
        <v>2.4</v>
      </c>
      <c r="X23" s="8">
        <v>7.9</v>
      </c>
      <c r="Y23" s="8">
        <v>10.3</v>
      </c>
      <c r="Z23" s="4">
        <f>IF(Bydgoszcz_result[[#This Row],[All Around]]="Yes",SUM(H23,K23,N23,Q23,T23,W23),0)</f>
        <v>18.299999999999997</v>
      </c>
      <c r="AA23" s="7">
        <f>IF(Bydgoszcz_result[[#This Row],[All Around]]="Yes",SUM(I23,L23,O23,R23,U23,X23),0)</f>
        <v>47.449999999999996</v>
      </c>
      <c r="AB23" s="7">
        <f t="shared" si="0"/>
        <v>65.75</v>
      </c>
      <c r="AD23" s="34" t="s">
        <v>301</v>
      </c>
      <c r="AI23" s="40" t="s">
        <v>330</v>
      </c>
      <c r="AJ23">
        <v>2</v>
      </c>
      <c r="AL23">
        <v>2</v>
      </c>
      <c r="AN23" t="s">
        <v>141</v>
      </c>
      <c r="AO23" t="s">
        <v>60</v>
      </c>
      <c r="AP23">
        <v>2000</v>
      </c>
      <c r="AQ23" t="s">
        <v>72</v>
      </c>
      <c r="AR23" t="s">
        <v>306</v>
      </c>
      <c r="AS23" t="s">
        <v>319</v>
      </c>
      <c r="AT23" t="s">
        <v>218</v>
      </c>
      <c r="AU23" t="s">
        <v>310</v>
      </c>
      <c r="AV23">
        <v>4.4000000000000004</v>
      </c>
    </row>
    <row r="24" spans="1:48" x14ac:dyDescent="0.25">
      <c r="A24" s="2">
        <v>8</v>
      </c>
      <c r="B24" t="s">
        <v>132</v>
      </c>
      <c r="C24" s="2" t="s">
        <v>26</v>
      </c>
      <c r="D24" s="2">
        <v>2008</v>
      </c>
      <c r="E24" s="2" t="s">
        <v>133</v>
      </c>
      <c r="F24" t="s">
        <v>39</v>
      </c>
      <c r="G24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4" s="5">
        <v>3.8</v>
      </c>
      <c r="I24" s="8">
        <v>7.8</v>
      </c>
      <c r="J24" s="8">
        <v>11.6</v>
      </c>
      <c r="K24" s="5">
        <v>3</v>
      </c>
      <c r="L24" s="8">
        <v>7.6</v>
      </c>
      <c r="M24" s="8">
        <v>10.6</v>
      </c>
      <c r="N24" s="5">
        <v>2.2999999999999998</v>
      </c>
      <c r="O24" s="8">
        <v>7.15</v>
      </c>
      <c r="P24" s="8">
        <v>9.4499999999999993</v>
      </c>
      <c r="Q24" s="5">
        <v>2.2000000000000002</v>
      </c>
      <c r="R24" s="8">
        <v>9.1</v>
      </c>
      <c r="S24" s="8">
        <v>11.3</v>
      </c>
      <c r="T24" s="5">
        <v>3</v>
      </c>
      <c r="U24" s="8">
        <v>8.0500000000000007</v>
      </c>
      <c r="V24" s="8">
        <v>11.05</v>
      </c>
      <c r="W24" s="5">
        <v>2.4</v>
      </c>
      <c r="X24" s="8">
        <v>9.1</v>
      </c>
      <c r="Y24" s="8">
        <v>11.5</v>
      </c>
      <c r="Z24" s="4">
        <f>IF(Bydgoszcz_result[[#This Row],[All Around]]="Yes",SUM(H24,K24,N24,Q24,T24,W24),0)</f>
        <v>16.7</v>
      </c>
      <c r="AA24" s="7">
        <f>IF(Bydgoszcz_result[[#This Row],[All Around]]="Yes",SUM(I24,L24,O24,R24,U24,X24),0)</f>
        <v>48.800000000000004</v>
      </c>
      <c r="AB24" s="7">
        <f t="shared" si="0"/>
        <v>65.5</v>
      </c>
      <c r="AD24" s="37" t="s">
        <v>304</v>
      </c>
      <c r="AI24" s="40" t="s">
        <v>331</v>
      </c>
      <c r="AJ24">
        <v>3</v>
      </c>
      <c r="AL24">
        <v>3</v>
      </c>
      <c r="AN24" t="s">
        <v>141</v>
      </c>
      <c r="AO24" t="s">
        <v>60</v>
      </c>
      <c r="AP24">
        <v>2000</v>
      </c>
      <c r="AQ24" t="s">
        <v>72</v>
      </c>
      <c r="AR24" t="s">
        <v>306</v>
      </c>
      <c r="AS24" t="s">
        <v>319</v>
      </c>
      <c r="AT24" t="s">
        <v>218</v>
      </c>
      <c r="AU24" t="s">
        <v>311</v>
      </c>
      <c r="AV24">
        <v>8.6999999999999993</v>
      </c>
    </row>
    <row r="25" spans="1:48" x14ac:dyDescent="0.25">
      <c r="A25" s="2">
        <v>9</v>
      </c>
      <c r="B25" t="s">
        <v>48</v>
      </c>
      <c r="C25" s="2" t="s">
        <v>26</v>
      </c>
      <c r="D25" s="2">
        <v>2006</v>
      </c>
      <c r="E25" s="2" t="s">
        <v>49</v>
      </c>
      <c r="F25" t="s">
        <v>36</v>
      </c>
      <c r="G25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5" s="5">
        <v>3.7</v>
      </c>
      <c r="I25" s="8">
        <v>7.4</v>
      </c>
      <c r="J25" s="8">
        <v>11.1</v>
      </c>
      <c r="K25" s="5">
        <v>2.8</v>
      </c>
      <c r="L25" s="8">
        <v>4</v>
      </c>
      <c r="M25" s="8">
        <v>6.8</v>
      </c>
      <c r="N25" s="5">
        <v>2.4</v>
      </c>
      <c r="O25" s="8">
        <v>7.55</v>
      </c>
      <c r="P25" s="8">
        <v>9.9499999999999993</v>
      </c>
      <c r="Q25" s="5">
        <v>2.4</v>
      </c>
      <c r="R25" s="8">
        <v>7.8</v>
      </c>
      <c r="S25" s="8">
        <v>10.199999999999999</v>
      </c>
      <c r="T25" s="5">
        <v>3.1</v>
      </c>
      <c r="U25" s="8">
        <v>8.0500000000000007</v>
      </c>
      <c r="V25" s="8">
        <v>11.15</v>
      </c>
      <c r="W25" s="5">
        <v>1.9</v>
      </c>
      <c r="X25" s="8">
        <v>8</v>
      </c>
      <c r="Y25" s="8">
        <v>9.9</v>
      </c>
      <c r="Z25" s="4">
        <f>IF(Bydgoszcz_result[[#This Row],[All Around]]="Yes",SUM(H25,K25,N25,Q25,T25,W25),0)</f>
        <v>16.3</v>
      </c>
      <c r="AA25" s="7">
        <f>IF(Bydgoszcz_result[[#This Row],[All Around]]="Yes",SUM(I25,L25,O25,R25,U25,X25),0)</f>
        <v>42.8</v>
      </c>
      <c r="AB25" s="7">
        <f t="shared" si="0"/>
        <v>59.099999999999994</v>
      </c>
      <c r="AD25" s="35" t="s">
        <v>302</v>
      </c>
      <c r="AI25" s="40" t="s">
        <v>327</v>
      </c>
      <c r="AJ25">
        <v>4</v>
      </c>
      <c r="AK25">
        <v>3</v>
      </c>
      <c r="AL25">
        <v>7</v>
      </c>
      <c r="AN25" t="s">
        <v>141</v>
      </c>
      <c r="AO25" t="s">
        <v>60</v>
      </c>
      <c r="AP25">
        <v>2000</v>
      </c>
      <c r="AQ25" t="s">
        <v>72</v>
      </c>
      <c r="AR25" t="s">
        <v>306</v>
      </c>
      <c r="AS25" t="s">
        <v>319</v>
      </c>
      <c r="AT25" t="s">
        <v>218</v>
      </c>
      <c r="AU25" t="s">
        <v>268</v>
      </c>
      <c r="AV25">
        <v>13.1</v>
      </c>
    </row>
    <row r="26" spans="1:48" x14ac:dyDescent="0.25">
      <c r="A26" s="2">
        <v>10</v>
      </c>
      <c r="B26" t="s">
        <v>57</v>
      </c>
      <c r="C26" s="2" t="s">
        <v>26</v>
      </c>
      <c r="D26" s="2">
        <v>2007</v>
      </c>
      <c r="E26" s="2" t="s">
        <v>58</v>
      </c>
      <c r="F26" t="s">
        <v>36</v>
      </c>
      <c r="G26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26" s="5">
        <v>3.2</v>
      </c>
      <c r="I26" s="8">
        <v>7.3</v>
      </c>
      <c r="J26" s="8">
        <v>10.5</v>
      </c>
      <c r="K26" s="5">
        <v>2.6</v>
      </c>
      <c r="L26" s="8">
        <v>6</v>
      </c>
      <c r="M26" s="8">
        <v>8.6</v>
      </c>
      <c r="N26" s="5">
        <v>2.8</v>
      </c>
      <c r="O26" s="8">
        <v>8.1</v>
      </c>
      <c r="P26" s="8">
        <v>10.9</v>
      </c>
      <c r="Q26" s="5">
        <v>1.6</v>
      </c>
      <c r="R26" s="8">
        <v>8.6999999999999993</v>
      </c>
      <c r="S26" s="8">
        <v>10.3</v>
      </c>
      <c r="T26" s="5">
        <v>2.5</v>
      </c>
      <c r="U26" s="8">
        <v>5.7</v>
      </c>
      <c r="V26" s="8">
        <v>8.1999999999999993</v>
      </c>
      <c r="W26" s="5">
        <v>1.9</v>
      </c>
      <c r="X26" s="8">
        <v>8.1</v>
      </c>
      <c r="Y26" s="8">
        <v>10</v>
      </c>
      <c r="Z26" s="4">
        <f>IF(Bydgoszcz_result[[#This Row],[All Around]]="Yes",SUM(H26,K26,N26,Q26,T26,W26),0)</f>
        <v>14.600000000000001</v>
      </c>
      <c r="AA26" s="7">
        <f>IF(Bydgoszcz_result[[#This Row],[All Around]]="Yes",SUM(I26,L26,O26,R26,U26,X26),0)</f>
        <v>43.9</v>
      </c>
      <c r="AB26" s="7">
        <f t="shared" si="0"/>
        <v>58.5</v>
      </c>
      <c r="AD26" s="36" t="s">
        <v>303</v>
      </c>
      <c r="AI26" s="40" t="s">
        <v>332</v>
      </c>
      <c r="AJ26">
        <v>2</v>
      </c>
      <c r="AK26">
        <v>1</v>
      </c>
      <c r="AL26">
        <v>3</v>
      </c>
      <c r="AN26" t="s">
        <v>141</v>
      </c>
      <c r="AO26" t="s">
        <v>60</v>
      </c>
      <c r="AP26">
        <v>2000</v>
      </c>
      <c r="AQ26" t="s">
        <v>72</v>
      </c>
      <c r="AR26" t="s">
        <v>306</v>
      </c>
      <c r="AS26" t="s">
        <v>319</v>
      </c>
      <c r="AT26" t="s">
        <v>238</v>
      </c>
      <c r="AU26" t="s">
        <v>310</v>
      </c>
      <c r="AV26">
        <v>4.2</v>
      </c>
    </row>
    <row r="27" spans="1:48" x14ac:dyDescent="0.25">
      <c r="A27" s="2">
        <v>11</v>
      </c>
      <c r="B27" t="s">
        <v>120</v>
      </c>
      <c r="C27" s="2" t="s">
        <v>26</v>
      </c>
      <c r="D27" s="2">
        <v>2006</v>
      </c>
      <c r="E27" s="2" t="s">
        <v>121</v>
      </c>
      <c r="F27" t="s">
        <v>39</v>
      </c>
      <c r="G27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27" s="5">
        <v>3</v>
      </c>
      <c r="I27" s="8">
        <v>8.3000000000000007</v>
      </c>
      <c r="J27" s="8">
        <v>11.3</v>
      </c>
      <c r="K27" s="5">
        <v>2.6</v>
      </c>
      <c r="L27" s="8">
        <v>4.4000000000000004</v>
      </c>
      <c r="M27" s="8">
        <v>7</v>
      </c>
      <c r="N27" s="5">
        <v>2.9</v>
      </c>
      <c r="O27" s="8">
        <v>6.7</v>
      </c>
      <c r="P27" s="8">
        <v>9.6</v>
      </c>
      <c r="Q27" s="5">
        <v>3.2</v>
      </c>
      <c r="R27" s="8">
        <v>9</v>
      </c>
      <c r="S27" s="8">
        <v>12.2</v>
      </c>
      <c r="T27" s="5">
        <v>3.1</v>
      </c>
      <c r="U27" s="8">
        <v>7.45</v>
      </c>
      <c r="V27" s="8">
        <v>10.55</v>
      </c>
      <c r="W27" s="5">
        <v>0</v>
      </c>
      <c r="X27" s="8">
        <v>0</v>
      </c>
      <c r="Y27" s="8">
        <v>0</v>
      </c>
      <c r="Z27" s="4">
        <f>IF(Bydgoszcz_result[[#This Row],[All Around]]="Yes",SUM(H27,K27,N27,Q27,T27,W27),0)</f>
        <v>0</v>
      </c>
      <c r="AA27" s="7">
        <f>IF(Bydgoszcz_result[[#This Row],[All Around]]="Yes",SUM(I27,L27,O27,R27,U27,X27),0)</f>
        <v>0</v>
      </c>
      <c r="AB27" s="7">
        <f t="shared" si="0"/>
        <v>50.649999999999991</v>
      </c>
      <c r="AI27" s="40" t="s">
        <v>328</v>
      </c>
      <c r="AJ27">
        <v>3</v>
      </c>
      <c r="AK27">
        <v>3</v>
      </c>
      <c r="AL27">
        <v>6</v>
      </c>
      <c r="AN27" t="s">
        <v>141</v>
      </c>
      <c r="AO27" t="s">
        <v>60</v>
      </c>
      <c r="AP27">
        <v>2000</v>
      </c>
      <c r="AQ27" t="s">
        <v>72</v>
      </c>
      <c r="AR27" t="s">
        <v>306</v>
      </c>
      <c r="AS27" t="s">
        <v>319</v>
      </c>
      <c r="AT27" t="s">
        <v>238</v>
      </c>
      <c r="AU27" t="s">
        <v>311</v>
      </c>
      <c r="AV27">
        <v>8</v>
      </c>
    </row>
    <row r="28" spans="1:48" x14ac:dyDescent="0.25">
      <c r="A28" s="2">
        <v>12</v>
      </c>
      <c r="B28" t="s">
        <v>42</v>
      </c>
      <c r="C28" s="2" t="s">
        <v>26</v>
      </c>
      <c r="D28" s="2">
        <v>2007</v>
      </c>
      <c r="E28" s="2" t="s">
        <v>43</v>
      </c>
      <c r="F28" t="s">
        <v>36</v>
      </c>
      <c r="G28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28" s="5">
        <v>4</v>
      </c>
      <c r="I28" s="8">
        <v>8.1999999999999993</v>
      </c>
      <c r="J28" s="8">
        <v>12.2</v>
      </c>
      <c r="K28" s="5">
        <v>2.6</v>
      </c>
      <c r="L28" s="8">
        <v>7.7</v>
      </c>
      <c r="M28" s="8">
        <v>10.3</v>
      </c>
      <c r="N28" s="5">
        <v>2.4</v>
      </c>
      <c r="O28" s="8">
        <v>7.8</v>
      </c>
      <c r="P28" s="8">
        <v>10.199999999999999</v>
      </c>
      <c r="Q28" s="5">
        <v>4</v>
      </c>
      <c r="R28" s="8">
        <v>7.9</v>
      </c>
      <c r="S28" s="8">
        <v>11.9</v>
      </c>
      <c r="T28" s="5">
        <v>0</v>
      </c>
      <c r="U28" s="8">
        <v>0</v>
      </c>
      <c r="V28" s="8">
        <v>0</v>
      </c>
      <c r="W28" s="5">
        <v>0</v>
      </c>
      <c r="X28" s="8">
        <v>0</v>
      </c>
      <c r="Y28" s="8">
        <v>0</v>
      </c>
      <c r="Z28" s="4">
        <f>IF(Bydgoszcz_result[[#This Row],[All Around]]="Yes",SUM(H28,K28,N28,Q28,T28,W28),0)</f>
        <v>0</v>
      </c>
      <c r="AA28" s="7">
        <f>IF(Bydgoszcz_result[[#This Row],[All Around]]="Yes",SUM(I28,L28,O28,R28,U28,X28),0)</f>
        <v>0</v>
      </c>
      <c r="AB28" s="7">
        <f t="shared" si="0"/>
        <v>44.6</v>
      </c>
      <c r="AI28" s="40" t="s">
        <v>333</v>
      </c>
      <c r="AK28">
        <v>2</v>
      </c>
      <c r="AL28">
        <v>2</v>
      </c>
      <c r="AN28" t="s">
        <v>141</v>
      </c>
      <c r="AO28" t="s">
        <v>60</v>
      </c>
      <c r="AP28">
        <v>2000</v>
      </c>
      <c r="AQ28" t="s">
        <v>72</v>
      </c>
      <c r="AR28" t="s">
        <v>306</v>
      </c>
      <c r="AS28" t="s">
        <v>319</v>
      </c>
      <c r="AT28" t="s">
        <v>238</v>
      </c>
      <c r="AU28" t="s">
        <v>268</v>
      </c>
      <c r="AV28">
        <v>12.2</v>
      </c>
    </row>
    <row r="29" spans="1:48" x14ac:dyDescent="0.25">
      <c r="A29" s="2">
        <v>13</v>
      </c>
      <c r="B29" t="s">
        <v>134</v>
      </c>
      <c r="C29" s="2" t="s">
        <v>26</v>
      </c>
      <c r="D29" s="2">
        <v>2006</v>
      </c>
      <c r="E29" s="2" t="s">
        <v>115</v>
      </c>
      <c r="F29" t="s">
        <v>36</v>
      </c>
      <c r="G29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29" s="5">
        <v>0</v>
      </c>
      <c r="I29" s="8">
        <v>0</v>
      </c>
      <c r="J29" s="8">
        <v>0</v>
      </c>
      <c r="K29" s="5">
        <v>2.6</v>
      </c>
      <c r="L29" s="8">
        <v>4.9000000000000004</v>
      </c>
      <c r="M29" s="8">
        <v>7.5</v>
      </c>
      <c r="N29" s="5">
        <v>0</v>
      </c>
      <c r="O29" s="8">
        <v>0</v>
      </c>
      <c r="P29" s="8">
        <v>0</v>
      </c>
      <c r="Q29" s="5">
        <v>2.4</v>
      </c>
      <c r="R29" s="8">
        <v>8.8000000000000007</v>
      </c>
      <c r="S29" s="8">
        <v>11.2</v>
      </c>
      <c r="T29" s="5">
        <v>2.4</v>
      </c>
      <c r="U29" s="8">
        <v>8.1</v>
      </c>
      <c r="V29" s="8">
        <v>10.5</v>
      </c>
      <c r="W29" s="5">
        <v>1.8</v>
      </c>
      <c r="X29" s="8">
        <v>8</v>
      </c>
      <c r="Y29" s="8">
        <v>9.8000000000000007</v>
      </c>
      <c r="Z29" s="4">
        <f>IF(Bydgoszcz_result[[#This Row],[All Around]]="Yes",SUM(H29,K29,N29,Q29,T29,W29),0)</f>
        <v>0</v>
      </c>
      <c r="AA29" s="7">
        <f>IF(Bydgoszcz_result[[#This Row],[All Around]]="Yes",SUM(I29,L29,O29,R29,U29,X29),0)</f>
        <v>0</v>
      </c>
      <c r="AB29" s="7">
        <f t="shared" si="0"/>
        <v>39</v>
      </c>
      <c r="AI29" s="40" t="s">
        <v>334</v>
      </c>
      <c r="AK29">
        <v>1</v>
      </c>
      <c r="AL29">
        <v>1</v>
      </c>
      <c r="AN29" t="s">
        <v>141</v>
      </c>
      <c r="AO29" t="s">
        <v>60</v>
      </c>
      <c r="AP29">
        <v>2000</v>
      </c>
      <c r="AQ29" t="s">
        <v>72</v>
      </c>
      <c r="AR29" t="s">
        <v>306</v>
      </c>
      <c r="AS29" t="s">
        <v>319</v>
      </c>
      <c r="AT29" t="s">
        <v>239</v>
      </c>
      <c r="AU29" t="s">
        <v>310</v>
      </c>
      <c r="AV29">
        <v>3.8</v>
      </c>
    </row>
    <row r="30" spans="1:48" x14ac:dyDescent="0.25">
      <c r="A30" s="2">
        <v>14</v>
      </c>
      <c r="B30" t="s">
        <v>135</v>
      </c>
      <c r="C30" s="2" t="s">
        <v>26</v>
      </c>
      <c r="D30" s="2">
        <v>2007</v>
      </c>
      <c r="E30" s="2" t="s">
        <v>136</v>
      </c>
      <c r="F30" t="s">
        <v>124</v>
      </c>
      <c r="G30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30" s="5">
        <v>2.9</v>
      </c>
      <c r="I30" s="8">
        <v>7.8</v>
      </c>
      <c r="J30" s="8">
        <v>10.7</v>
      </c>
      <c r="K30" s="5">
        <v>1.3</v>
      </c>
      <c r="L30" s="8">
        <v>0</v>
      </c>
      <c r="M30" s="8">
        <v>1.3</v>
      </c>
      <c r="N30" s="5">
        <v>2.1</v>
      </c>
      <c r="O30" s="8">
        <v>5.2</v>
      </c>
      <c r="P30" s="8">
        <v>7.3</v>
      </c>
      <c r="Q30" s="5">
        <v>2.4</v>
      </c>
      <c r="R30" s="8">
        <v>7.5</v>
      </c>
      <c r="S30" s="8">
        <v>9.9</v>
      </c>
      <c r="T30" s="5">
        <v>1.4</v>
      </c>
      <c r="U30" s="8">
        <v>1.7</v>
      </c>
      <c r="V30" s="8">
        <v>3.1</v>
      </c>
      <c r="W30" s="5">
        <v>1.5</v>
      </c>
      <c r="X30" s="8">
        <v>5</v>
      </c>
      <c r="Y30" s="8">
        <v>6.5</v>
      </c>
      <c r="Z30" s="4">
        <f>IF(Bydgoszcz_result[[#This Row],[All Around]]="Yes",SUM(H30,K30,N30,Q30,T30,W30),0)</f>
        <v>11.600000000000001</v>
      </c>
      <c r="AA30" s="7">
        <f>IF(Bydgoszcz_result[[#This Row],[All Around]]="Yes",SUM(I30,L30,O30,R30,U30,X30),0)</f>
        <v>27.2</v>
      </c>
      <c r="AB30" s="7">
        <f t="shared" si="0"/>
        <v>38.800000000000004</v>
      </c>
      <c r="AI30" s="39" t="s">
        <v>312</v>
      </c>
      <c r="AJ30">
        <v>15</v>
      </c>
      <c r="AK30">
        <v>11</v>
      </c>
      <c r="AL30">
        <v>26</v>
      </c>
      <c r="AN30" t="s">
        <v>141</v>
      </c>
      <c r="AO30" t="s">
        <v>60</v>
      </c>
      <c r="AP30">
        <v>2000</v>
      </c>
      <c r="AQ30" t="s">
        <v>72</v>
      </c>
      <c r="AR30" t="s">
        <v>306</v>
      </c>
      <c r="AS30" t="s">
        <v>319</v>
      </c>
      <c r="AT30" t="s">
        <v>239</v>
      </c>
      <c r="AU30" t="s">
        <v>311</v>
      </c>
      <c r="AV30">
        <v>8.1999999999999993</v>
      </c>
    </row>
    <row r="31" spans="1:48" x14ac:dyDescent="0.25">
      <c r="A31" s="2">
        <v>15</v>
      </c>
      <c r="B31" t="s">
        <v>137</v>
      </c>
      <c r="C31" s="2" t="s">
        <v>26</v>
      </c>
      <c r="D31" s="2">
        <v>2007</v>
      </c>
      <c r="E31" s="2" t="s">
        <v>138</v>
      </c>
      <c r="F31" t="s">
        <v>124</v>
      </c>
      <c r="G31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Yes</v>
      </c>
      <c r="H31" s="5">
        <v>2.5</v>
      </c>
      <c r="I31" s="8">
        <v>8.3000000000000007</v>
      </c>
      <c r="J31" s="8">
        <v>10.8</v>
      </c>
      <c r="K31" s="5">
        <v>0.6</v>
      </c>
      <c r="L31" s="8">
        <v>0</v>
      </c>
      <c r="M31" s="8">
        <v>0.6</v>
      </c>
      <c r="N31" s="5">
        <v>1.5</v>
      </c>
      <c r="O31" s="8">
        <v>3.3</v>
      </c>
      <c r="P31" s="8">
        <v>4.8</v>
      </c>
      <c r="Q31" s="5">
        <v>1.6</v>
      </c>
      <c r="R31" s="8">
        <v>9</v>
      </c>
      <c r="S31" s="8">
        <v>10.6</v>
      </c>
      <c r="T31" s="5">
        <v>1.9</v>
      </c>
      <c r="U31" s="8">
        <v>2.85</v>
      </c>
      <c r="V31" s="8">
        <v>4.75</v>
      </c>
      <c r="W31" s="5">
        <v>0.1</v>
      </c>
      <c r="X31" s="8">
        <v>1</v>
      </c>
      <c r="Y31" s="8">
        <v>1.1000000000000001</v>
      </c>
      <c r="Z31" s="4">
        <f>IF(Bydgoszcz_result[[#This Row],[All Around]]="Yes",SUM(H31,K31,N31,Q31,T31,W31),0)</f>
        <v>8.1999999999999993</v>
      </c>
      <c r="AA31" s="7">
        <f>IF(Bydgoszcz_result[[#This Row],[All Around]]="Yes",SUM(I31,L31,O31,R31,U31,X31),0)</f>
        <v>24.450000000000003</v>
      </c>
      <c r="AB31" s="7">
        <f t="shared" si="0"/>
        <v>32.65</v>
      </c>
      <c r="AN31" t="s">
        <v>141</v>
      </c>
      <c r="AO31" t="s">
        <v>60</v>
      </c>
      <c r="AP31">
        <v>2000</v>
      </c>
      <c r="AQ31" t="s">
        <v>72</v>
      </c>
      <c r="AR31" t="s">
        <v>306</v>
      </c>
      <c r="AS31" t="s">
        <v>319</v>
      </c>
      <c r="AT31" t="s">
        <v>239</v>
      </c>
      <c r="AU31" t="s">
        <v>268</v>
      </c>
      <c r="AV31">
        <v>12</v>
      </c>
    </row>
    <row r="32" spans="1:48" x14ac:dyDescent="0.25">
      <c r="A32" s="2">
        <v>16</v>
      </c>
      <c r="B32" t="s">
        <v>139</v>
      </c>
      <c r="C32" s="2" t="s">
        <v>26</v>
      </c>
      <c r="D32" s="2">
        <v>2008</v>
      </c>
      <c r="E32" s="2" t="s">
        <v>140</v>
      </c>
      <c r="F32" t="s">
        <v>124</v>
      </c>
      <c r="G32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32" s="5">
        <v>3</v>
      </c>
      <c r="I32" s="8">
        <v>8.1999999999999993</v>
      </c>
      <c r="J32" s="8">
        <v>11.2</v>
      </c>
      <c r="K32" s="5">
        <v>1.5</v>
      </c>
      <c r="L32" s="8">
        <v>0</v>
      </c>
      <c r="M32" s="8">
        <v>1.5</v>
      </c>
      <c r="N32" s="5">
        <v>2.1</v>
      </c>
      <c r="O32" s="8">
        <v>6.5</v>
      </c>
      <c r="P32" s="8">
        <v>8.6</v>
      </c>
      <c r="Q32" s="5">
        <v>0</v>
      </c>
      <c r="R32" s="8">
        <v>0</v>
      </c>
      <c r="S32" s="8">
        <v>0</v>
      </c>
      <c r="T32" s="5">
        <v>2</v>
      </c>
      <c r="U32" s="8">
        <v>3.45</v>
      </c>
      <c r="V32" s="8">
        <v>5.45</v>
      </c>
      <c r="W32" s="5">
        <v>1</v>
      </c>
      <c r="X32" s="8">
        <v>3.1</v>
      </c>
      <c r="Y32" s="8">
        <v>4.0999999999999996</v>
      </c>
      <c r="Z32" s="4">
        <f>IF(Bydgoszcz_result[[#This Row],[All Around]]="Yes",SUM(H32,K32,N32,Q32,T32,W32),0)</f>
        <v>0</v>
      </c>
      <c r="AA32" s="7">
        <f>IF(Bydgoszcz_result[[#This Row],[All Around]]="Yes",SUM(I32,L32,O32,R32,U32,X32),0)</f>
        <v>0</v>
      </c>
      <c r="AB32" s="7">
        <f t="shared" si="0"/>
        <v>30.849999999999994</v>
      </c>
      <c r="AD32" t="s">
        <v>336</v>
      </c>
      <c r="AN32" t="s">
        <v>141</v>
      </c>
      <c r="AO32" t="s">
        <v>60</v>
      </c>
      <c r="AP32">
        <v>2000</v>
      </c>
      <c r="AQ32" t="s">
        <v>72</v>
      </c>
      <c r="AR32" t="s">
        <v>306</v>
      </c>
      <c r="AS32" t="s">
        <v>319</v>
      </c>
      <c r="AT32" t="s">
        <v>240</v>
      </c>
      <c r="AU32" t="s">
        <v>310</v>
      </c>
      <c r="AV32">
        <v>4</v>
      </c>
    </row>
    <row r="33" spans="1:48" x14ac:dyDescent="0.25">
      <c r="A33" s="2">
        <v>17</v>
      </c>
      <c r="B33" t="s">
        <v>52</v>
      </c>
      <c r="C33" s="2" t="s">
        <v>26</v>
      </c>
      <c r="D33" s="2">
        <v>2006</v>
      </c>
      <c r="E33" s="2" t="s">
        <v>53</v>
      </c>
      <c r="F33" t="s">
        <v>36</v>
      </c>
      <c r="G33" s="2" t="str">
        <f>IF((COUNTIF(Bydgoszcz_result[[#This Row],[FX_Total_Score]],"&gt;0")+COUNTIF(Bydgoszcz_result[[#This Row],[PH_Total_Score]],"&gt;0")+COUNTIF(Bydgoszcz_result[[#This Row],[SR_Total_Score]],"&gt;0")+COUNTIF(Bydgoszcz_result[[#This Row],[VT_total_score]],"&gt;0")+COUNTIF(Bydgoszcz_result[[#This Row],[PB_total_score]],"&gt;0")+COUNTIF(Bydgoszcz_result[[#This Row],[HB_total_score]],"&gt;0"))=6,"Yes","No")</f>
        <v>No</v>
      </c>
      <c r="H33" s="5">
        <v>0</v>
      </c>
      <c r="I33" s="8">
        <v>0</v>
      </c>
      <c r="J33" s="8">
        <v>0</v>
      </c>
      <c r="K33" s="5">
        <v>2.1</v>
      </c>
      <c r="L33" s="8">
        <v>4.5</v>
      </c>
      <c r="M33" s="8">
        <v>6.6</v>
      </c>
      <c r="N33" s="5">
        <v>0</v>
      </c>
      <c r="O33" s="8">
        <v>0</v>
      </c>
      <c r="P33" s="8">
        <v>0</v>
      </c>
      <c r="Q33" s="5">
        <v>2.4</v>
      </c>
      <c r="R33" s="8">
        <v>7.7</v>
      </c>
      <c r="S33" s="8">
        <v>10.1</v>
      </c>
      <c r="T33" s="5">
        <v>3.1</v>
      </c>
      <c r="U33" s="8">
        <v>8.75</v>
      </c>
      <c r="V33" s="8">
        <v>11.85</v>
      </c>
      <c r="W33" s="5">
        <v>0</v>
      </c>
      <c r="X33" s="8">
        <v>0</v>
      </c>
      <c r="Y33" s="8">
        <v>0</v>
      </c>
      <c r="Z33" s="4">
        <f>IF(Bydgoszcz_result[[#This Row],[All Around]]="Yes",SUM(H33,K33,N33,Q33,T33,W33),0)</f>
        <v>0</v>
      </c>
      <c r="AA33" s="7">
        <f>IF(Bydgoszcz_result[[#This Row],[All Around]]="Yes",SUM(I33,L33,O33,R33,U33,X33),0)</f>
        <v>0</v>
      </c>
      <c r="AB33" s="7">
        <f t="shared" si="0"/>
        <v>28.549999999999997</v>
      </c>
      <c r="AN33" t="s">
        <v>141</v>
      </c>
      <c r="AO33" t="s">
        <v>60</v>
      </c>
      <c r="AP33">
        <v>2000</v>
      </c>
      <c r="AQ33" t="s">
        <v>72</v>
      </c>
      <c r="AR33" t="s">
        <v>306</v>
      </c>
      <c r="AS33" t="s">
        <v>319</v>
      </c>
      <c r="AT33" t="s">
        <v>240</v>
      </c>
      <c r="AU33" t="s">
        <v>311</v>
      </c>
      <c r="AV33">
        <v>9</v>
      </c>
    </row>
    <row r="34" spans="1:48" x14ac:dyDescent="0.25">
      <c r="AN34" t="s">
        <v>141</v>
      </c>
      <c r="AO34" t="s">
        <v>60</v>
      </c>
      <c r="AP34">
        <v>2000</v>
      </c>
      <c r="AQ34" t="s">
        <v>72</v>
      </c>
      <c r="AR34" t="s">
        <v>306</v>
      </c>
      <c r="AS34" t="s">
        <v>319</v>
      </c>
      <c r="AT34" t="s">
        <v>240</v>
      </c>
      <c r="AU34" t="s">
        <v>268</v>
      </c>
      <c r="AV34">
        <v>13</v>
      </c>
    </row>
    <row r="35" spans="1:48" ht="24.75" customHeight="1" x14ac:dyDescent="0.25">
      <c r="C35" s="13"/>
      <c r="D35" s="13"/>
      <c r="E35" s="13"/>
      <c r="F35" s="13"/>
      <c r="G35" s="13"/>
      <c r="H35" s="13"/>
      <c r="I35" s="13"/>
      <c r="J35" s="13"/>
      <c r="K35" s="13"/>
      <c r="M35" s="44"/>
      <c r="N35" s="44"/>
      <c r="O35" s="44"/>
      <c r="P35" s="44"/>
      <c r="R35" s="44"/>
      <c r="S35" s="44"/>
      <c r="T35" s="44"/>
      <c r="U35" s="44"/>
      <c r="AN35" t="s">
        <v>141</v>
      </c>
      <c r="AO35" t="s">
        <v>60</v>
      </c>
      <c r="AP35">
        <v>2000</v>
      </c>
      <c r="AQ35" t="s">
        <v>72</v>
      </c>
      <c r="AR35" t="s">
        <v>306</v>
      </c>
      <c r="AS35" t="s">
        <v>319</v>
      </c>
      <c r="AT35" t="s">
        <v>316</v>
      </c>
      <c r="AU35" t="s">
        <v>310</v>
      </c>
      <c r="AV35">
        <v>3.8</v>
      </c>
    </row>
    <row r="36" spans="1:48" ht="38.25" customHeight="1" x14ac:dyDescent="0.25">
      <c r="A36" s="10" t="s">
        <v>2</v>
      </c>
      <c r="B36" s="10" t="s">
        <v>217</v>
      </c>
      <c r="C36" s="10" t="s">
        <v>244</v>
      </c>
      <c r="D36" s="10" t="s">
        <v>249</v>
      </c>
      <c r="E36" s="10" t="s">
        <v>245</v>
      </c>
      <c r="F36" s="10" t="s">
        <v>250</v>
      </c>
      <c r="G36" s="10" t="s">
        <v>246</v>
      </c>
      <c r="H36" s="10" t="s">
        <v>251</v>
      </c>
      <c r="I36" s="10" t="s">
        <v>252</v>
      </c>
      <c r="J36" s="10" t="s">
        <v>253</v>
      </c>
      <c r="M36" s="44"/>
      <c r="N36" s="44"/>
      <c r="O36" s="44"/>
      <c r="P36" s="44"/>
      <c r="R36" s="44"/>
      <c r="S36" s="44"/>
      <c r="T36" s="44"/>
      <c r="U36" s="44"/>
      <c r="AN36" t="s">
        <v>141</v>
      </c>
      <c r="AO36" t="s">
        <v>60</v>
      </c>
      <c r="AP36">
        <v>2000</v>
      </c>
      <c r="AQ36" t="s">
        <v>72</v>
      </c>
      <c r="AR36" t="s">
        <v>306</v>
      </c>
      <c r="AS36" t="s">
        <v>319</v>
      </c>
      <c r="AT36" t="s">
        <v>316</v>
      </c>
      <c r="AU36" t="s">
        <v>311</v>
      </c>
      <c r="AV36">
        <v>7.55</v>
      </c>
    </row>
    <row r="37" spans="1:48" ht="30" customHeight="1" x14ac:dyDescent="0.25">
      <c r="A37" s="2" t="s">
        <v>60</v>
      </c>
      <c r="B37" s="10" t="s">
        <v>243</v>
      </c>
      <c r="C37" s="11">
        <f>AVERAGEIFS(Bydgoszcz_result[AA_Dscore],Bydgoszcz_result[[Category]:[Category]],"senior",Bydgoszcz_result[AA_Dscore],"&lt;&gt;0",Bydgoszcz_result[All Around],"Yes")</f>
        <v>22.3</v>
      </c>
      <c r="D37" s="11" cm="1">
        <f t="array" ref="D37">_xlfn.STDEV.S(_xlfn._xlws.FILTER(Bydgoszcz_result[AA_Dscore],(Bydgoszcz_result[Category]="senior")*(Bydgoszcz_result[All Around]="yes")))</f>
        <v>2.9056595022227105</v>
      </c>
      <c r="E37" s="12">
        <f>AVERAGEIFS(Bydgoszcz_result[AA_Escore],Bydgoszcz_result[[Category]:[Category]],"senior",Bydgoszcz_result[AA_Escore],"&lt;&gt;0",Bydgoszcz_result[All Around],"Yes")</f>
        <v>46.043750000000003</v>
      </c>
      <c r="F37" s="12" cm="1">
        <f t="array" ref="F37">_xlfn.STDEV.S(_xlfn._xlws.FILTER(Bydgoszcz_result[AA_Escore],(Bydgoszcz_result[Category]="senior")*(Bydgoszcz_result[All Around]="yes")))</f>
        <v>3.8497158986086215</v>
      </c>
      <c r="G37" s="12">
        <f>AVERAGEIFS(Bydgoszcz_result[Total_Score],Bydgoszcz_result[[Category]:[Category]],"senior",Bydgoszcz_result[Total_Score],"&lt;&gt;0",Bydgoszcz_result[All Around],"Yes")</f>
        <v>68.34375</v>
      </c>
      <c r="H37" s="12" cm="1">
        <f t="array" ref="H37">_xlfn.STDEV.S(_xlfn._xlws.FILTER(Bydgoszcz_result[Total_Score],(Bydgoszcz_result[Category]="senior")*(Bydgoszcz_result[All Around]="yes")))</f>
        <v>5.9448920151192475</v>
      </c>
      <c r="I37" s="12" cm="1">
        <f t="array" ref="I37">MAX(_xlfn._xlws.FILTER(Bydgoszcz_result[Total_Score],Bydgoszcz_result[Category]="senior"))</f>
        <v>75.600000000000009</v>
      </c>
      <c r="J37" s="10" t="str" cm="1">
        <f t="array" ref="J37">IF(COUNTIFS(Bydgoszcz_result[Total_Score],I37,Bydgoszcz_result[Category],"senior")&gt;1,_xlfn.XLOOKUP(I37,_xlfn._xlws.FILTER(Bydgoszcz_result[Total_Score],Bydgoszcz_result[Category]="senior"),_xlfn._xlws.FILTER(Bydgoszcz_result[Name],Bydgoszcz_result[Category]="senior"),0)&amp;" and "&amp;(COUNTIFS(Bydgoszcz_result[Total_Score],I37,Bydgoszcz_result[Category],"senior")-1)&amp;" more",_xlfn.XLOOKUP(I37,_xlfn._xlws.FILTER(Bydgoszcz_result[Total_Score],Bydgoszcz_result[Category]="senior"),_xlfn._xlws.FILTER(Bydgoszcz_result[Name],Bydgoszcz_result[Category]="senior"),0))</f>
        <v>SASNAL Filip</v>
      </c>
      <c r="O37"/>
      <c r="P37"/>
      <c r="Q37"/>
      <c r="AN37" t="s">
        <v>141</v>
      </c>
      <c r="AO37" t="s">
        <v>60</v>
      </c>
      <c r="AP37">
        <v>2000</v>
      </c>
      <c r="AQ37" t="s">
        <v>72</v>
      </c>
      <c r="AR37" t="s">
        <v>306</v>
      </c>
      <c r="AS37" t="s">
        <v>319</v>
      </c>
      <c r="AT37" t="s">
        <v>316</v>
      </c>
      <c r="AU37" t="s">
        <v>268</v>
      </c>
      <c r="AV37">
        <v>11.35</v>
      </c>
    </row>
    <row r="38" spans="1:48" ht="30" customHeight="1" x14ac:dyDescent="0.25">
      <c r="A38" s="10" t="s">
        <v>26</v>
      </c>
      <c r="B38" s="10" t="s">
        <v>243</v>
      </c>
      <c r="C38" s="11">
        <f>AVERAGEIFS(Bydgoszcz_result[AA_Dscore],Bydgoszcz_result[[Category]:[Category]],"junior",Bydgoszcz_result[AA_Dscore],"&lt;&gt;0",Bydgoszcz_result[All Around],"Yes")</f>
        <v>16.841666666666665</v>
      </c>
      <c r="D38" s="11" cm="1">
        <f t="array" ref="D38">_xlfn.STDEV.S(_xlfn._xlws.FILTER(Bydgoszcz_result[AA_Dscore],(Bydgoszcz_result[Category]="junior")*(Bydgoszcz_result[All Around]="yes")))</f>
        <v>3.8053690140817351</v>
      </c>
      <c r="E38" s="12">
        <f>AVERAGEIFS(Bydgoszcz_result[AA_Escore],Bydgoszcz_result[[Category]:[Category]],"junior",Bydgoszcz_result[AA_Escore],"&lt;&gt;0",Bydgoszcz_result[All Around],"Yes")</f>
        <v>44.1875</v>
      </c>
      <c r="F38" s="12" cm="1">
        <f t="array" ref="F38">_xlfn.STDEV.S(_xlfn._xlws.FILTER(Bydgoszcz_result[AA_Escore],(Bydgoszcz_result[Category]="junior")*(Bydgoszcz_result[All Around]="yes")))</f>
        <v>9.0092156100900951</v>
      </c>
      <c r="G38" s="12">
        <f>AVERAGEIFS(Bydgoszcz_result[Total_Score],Bydgoszcz_result[[Category]:[Category]],"junior",Bydgoszcz_result[Total_Score],"&lt;&gt;0",Bydgoszcz_result[All Around],"Yes")</f>
        <v>61.029166666666669</v>
      </c>
      <c r="H38" s="12" cm="1">
        <f t="array" ref="H38">_xlfn.STDEV.S(_xlfn._xlws.FILTER(Bydgoszcz_result[Total_Score],(Bydgoszcz_result[Category]="junior")*(Bydgoszcz_result[All Around]="yes")))</f>
        <v>12.546739133288284</v>
      </c>
      <c r="I38" s="12" cm="1">
        <f t="array" ref="I38">MAX(_xlfn._xlws.FILTER(Bydgoszcz_result[Total_Score],Bydgoszcz_result[Category]="junior"))</f>
        <v>73.2</v>
      </c>
      <c r="J38" s="10" t="str" cm="1">
        <f t="array" ref="J38">IF(COUNTIFS(Bydgoszcz_result[Total_Score],I38,Bydgoszcz_result[Category],"junior")&gt;1,_xlfn.XLOOKUP(I38,_xlfn._xlws.FILTER(Bydgoszcz_result[Total_Score],Bydgoszcz_result[Category]="junior"),_xlfn._xlws.FILTER(Bydgoszcz_result[Name],Bydgoszcz_result[Category]="junior"),0)&amp;" and "&amp;(COUNTIFS(Bydgoszcz_result[Total_Score],I38,Bydgoszcz_result[Category],"junior")-1)&amp;" more",_xlfn.XLOOKUP(I38,_xlfn._xlws.FILTER(Bydgoszcz_result[Total_Score],Bydgoszcz_result[Category]="junior"),_xlfn._xlws.FILTER(Bydgoszcz_result[Name],Bydgoszcz_result[Category]="junior"),0))</f>
        <v>LEKHAC Tomasz</v>
      </c>
      <c r="O38"/>
      <c r="P38"/>
      <c r="Q38"/>
      <c r="AN38" t="s">
        <v>141</v>
      </c>
      <c r="AO38" t="s">
        <v>60</v>
      </c>
      <c r="AP38">
        <v>2000</v>
      </c>
      <c r="AQ38" t="s">
        <v>72</v>
      </c>
      <c r="AR38" t="s">
        <v>306</v>
      </c>
      <c r="AS38" t="s">
        <v>319</v>
      </c>
      <c r="AT38" t="s">
        <v>242</v>
      </c>
      <c r="AU38" t="s">
        <v>310</v>
      </c>
      <c r="AV38">
        <v>4.0999999999999996</v>
      </c>
    </row>
    <row r="39" spans="1:48" ht="30" customHeight="1" x14ac:dyDescent="0.25">
      <c r="A39" s="2" t="s">
        <v>60</v>
      </c>
      <c r="B39" s="10" t="s">
        <v>218</v>
      </c>
      <c r="C39" s="11">
        <f>AVERAGEIFS(Bydgoszcz_result[FX_Dscore],Bydgoszcz_result[[Category]:[Category]],"senior",Bydgoszcz_result[FX_Dscore],"&lt;&gt;0")</f>
        <v>4.3818181818181818</v>
      </c>
      <c r="D39" s="11" cm="1">
        <f t="array" ref="D39">_xlfn.STDEV.S(_xlfn._xlws.FILTER(Bydgoszcz_result[FX_Dscore],(Bydgoszcz_result[Category]="senior")*(Bydgoszcz_result[FX_Dscore]&gt;0)))</f>
        <v>0.56003246659132411</v>
      </c>
      <c r="E39" s="12">
        <f>AVERAGEIFS(Bydgoszcz_result[FX_Escore],Bydgoszcz_result[[Category]:[Category]],"senior",Bydgoszcz_result[FX_Escore],"&lt;&gt;0")</f>
        <v>7.995454545454546</v>
      </c>
      <c r="F39" s="12" cm="1">
        <f t="array" ref="F39">_xlfn.STDEV.S(_xlfn._xlws.FILTER(Bydgoszcz_result[FX_Escore],(Bydgoszcz_result[Category]="senior")*(Bydgoszcz_result[FX_Escore]&gt;0)))</f>
        <v>0.79889127716308961</v>
      </c>
      <c r="G39" s="12">
        <f>AVERAGEIFS(Bydgoszcz_result[FX_Total_Score],Bydgoszcz_result[[Category]:[Category]],"senior",Bydgoszcz_result[FX_Total_Score],"&lt;&gt;0")</f>
        <v>12.377272727272727</v>
      </c>
      <c r="H39" s="12" cm="1">
        <f t="array" ref="H39">_xlfn.STDEV.S(_xlfn._xlws.FILTER(Bydgoszcz_result[FX_Total_Score],(Bydgoszcz_result[Category]="senior")*(Bydgoszcz_result[FX_Total_Score]&gt;0)))</f>
        <v>0.88469306439115836</v>
      </c>
      <c r="I39" s="12" cm="1">
        <f t="array" ref="I39">MAX(_xlfn._xlws.FILTER(Bydgoszcz_result[FX_Total_Score],Bydgoszcz_result[Category]="senior"))</f>
        <v>13.6</v>
      </c>
      <c r="J39" s="10" t="str" cm="1">
        <f t="array" ref="J39">IF(COUNTIFS(Bydgoszcz_result[FX_Total_Score],I39,Bydgoszcz_result[Category],"senior")&gt;1,_xlfn.XLOOKUP(I39,_xlfn._xlws.FILTER(Bydgoszcz_result[FX_Total_Score],Bydgoszcz_result[Category]="senior"),_xlfn._xlws.FILTER(Bydgoszcz_result[Name],Bydgoszcz_result[Category]="senior"),0)&amp;" and "&amp;(COUNTIFS(Bydgoszcz_result[FX_Total_Score],I39,Bydgoszcz_result[Category],"senior")-1)&amp;" more",_xlfn.XLOOKUP(I39,_xlfn._xlws.FILTER(Bydgoszcz_result[FX_Total_Score],Bydgoszcz_result[Category]="senior"),_xlfn._xlws.FILTER(Bydgoszcz_result[Name],Bydgoszcz_result[Category]="senior"),0))</f>
        <v>SASNAL Filip</v>
      </c>
      <c r="O39"/>
      <c r="P39"/>
      <c r="Q39"/>
      <c r="AN39" t="s">
        <v>141</v>
      </c>
      <c r="AO39" t="s">
        <v>60</v>
      </c>
      <c r="AP39">
        <v>2000</v>
      </c>
      <c r="AQ39" t="s">
        <v>72</v>
      </c>
      <c r="AR39" t="s">
        <v>306</v>
      </c>
      <c r="AS39" t="s">
        <v>319</v>
      </c>
      <c r="AT39" t="s">
        <v>242</v>
      </c>
      <c r="AU39" t="s">
        <v>311</v>
      </c>
      <c r="AV39">
        <v>8.4</v>
      </c>
    </row>
    <row r="40" spans="1:48" ht="30" customHeight="1" x14ac:dyDescent="0.25">
      <c r="A40" s="10" t="s">
        <v>26</v>
      </c>
      <c r="B40" s="10" t="s">
        <v>218</v>
      </c>
      <c r="C40" s="11">
        <f>AVERAGEIFS(Bydgoszcz_result[FX_Dscore],Bydgoszcz_result[[Category]:[Category]],"junior",Bydgoszcz_result[FX_Dscore],"&lt;&gt;0")</f>
        <v>3.5200000000000005</v>
      </c>
      <c r="D40" s="11" cm="1">
        <f t="array" ref="D40">_xlfn.STDEV.S(_xlfn._xlws.FILTER(Bydgoszcz_result[FX_Dscore],(Bydgoszcz_result[Category]="junior")*(Bydgoszcz_result[FX_Dscore]&gt;0)))</f>
        <v>0.51436507324217207</v>
      </c>
      <c r="E40" s="12">
        <f>AVERAGEIFS(Bydgoszcz_result[FX_Escore],Bydgoszcz_result[[Category]:[Category]],"junior",Bydgoszcz_result[FX_Escore],"&lt;&gt;0")</f>
        <v>8.1999999999999993</v>
      </c>
      <c r="F40" s="12" cm="1">
        <f t="array" ref="F40">_xlfn.STDEV.S(_xlfn._xlws.FILTER(Bydgoszcz_result[FX_Escore],(Bydgoszcz_result[Category]="junior")*(Bydgoszcz_result[FX_Escore]&gt;0)))</f>
        <v>0.50249378105604436</v>
      </c>
      <c r="G40" s="12">
        <f>AVERAGEIFS(Bydgoszcz_result[FX_Total_Score],Bydgoszcz_result[[Category]:[Category]],"junior",Bydgoszcz_result[FX_Total_Score],"&lt;&gt;0")</f>
        <v>11.719999999999999</v>
      </c>
      <c r="H40" s="12" cm="1">
        <f t="array" ref="H40">_xlfn.STDEV.S(_xlfn._xlws.FILTER(Bydgoszcz_result[FX_Total_Score],(Bydgoszcz_result[Category]="junior")*(Bydgoszcz_result[FX_Total_Score]&gt;0)))</f>
        <v>0.81411652377636601</v>
      </c>
      <c r="I40" s="12" cm="1">
        <f t="array" ref="I40">MAX(_xlfn._xlws.FILTER(Bydgoszcz_result[FX_Total_Score],Bydgoszcz_result[Category]="junior"))</f>
        <v>12.95</v>
      </c>
      <c r="J40" s="10" t="str" cm="1">
        <f t="array" ref="J40">IF(COUNTIFS(Bydgoszcz_result[FX_Total_Score],I40,Bydgoszcz_result[Category],"junior")&gt;1,_xlfn.XLOOKUP(I40,_xlfn._xlws.FILTER(Bydgoszcz_result[FX_Total_Score],Bydgoszcz_result[Category]="junior"),_xlfn._xlws.FILTER(Bydgoszcz_result[Name],Bydgoszcz_result[Category]="junior"),0)&amp;" and "&amp;(COUNTIFS(Bydgoszcz_result[FX_Total_Score],I40,Bydgoszcz_result[Category],"junior")-1)&amp;" more",_xlfn.XLOOKUP(I40,_xlfn._xlws.FILTER(Bydgoszcz_result[FX_Total_Score],Bydgoszcz_result[Category]="junior"),_xlfn._xlws.FILTER(Bydgoszcz_result[Name],Bydgoszcz_result[Category]="junior"),0))</f>
        <v>LEKHAC Tomasz and 1 more</v>
      </c>
      <c r="O40"/>
      <c r="P40"/>
      <c r="Q40"/>
      <c r="AN40" t="s">
        <v>141</v>
      </c>
      <c r="AO40" t="s">
        <v>60</v>
      </c>
      <c r="AP40">
        <v>2000</v>
      </c>
      <c r="AQ40" t="s">
        <v>72</v>
      </c>
      <c r="AR40" t="s">
        <v>306</v>
      </c>
      <c r="AS40" t="s">
        <v>319</v>
      </c>
      <c r="AT40" t="s">
        <v>242</v>
      </c>
      <c r="AU40" t="s">
        <v>268</v>
      </c>
      <c r="AV40">
        <v>12.5</v>
      </c>
    </row>
    <row r="41" spans="1:48" ht="30" customHeight="1" x14ac:dyDescent="0.25">
      <c r="A41" s="2" t="s">
        <v>60</v>
      </c>
      <c r="B41" s="10" t="s">
        <v>242</v>
      </c>
      <c r="C41" s="11">
        <f>AVERAGEIFS(Bydgoszcz_result[HB_Dscore],Bydgoszcz_result[[Category]:[Category]],"senior",Bydgoszcz_result[HB_Dscore],"&lt;&gt;0")</f>
        <v>3.2727272727272729</v>
      </c>
      <c r="D41" s="11" cm="1">
        <f t="array" ref="D41">_xlfn.STDEV.S(_xlfn._xlws.FILTER(Bydgoszcz_result[HB_Dscore],(Bydgoszcz_result[Category]="senior")*(Bydgoszcz_result[HB_Dscore]&gt;0)))</f>
        <v>0.65588247284236656</v>
      </c>
      <c r="E41" s="12">
        <f>AVERAGEIFS(Bydgoszcz_result[HB_Escore],Bydgoszcz_result[[Category]:[Category]],"senior",Bydgoszcz_result[HB_Escore],"&lt;&gt;0")</f>
        <v>7.6636363636363649</v>
      </c>
      <c r="F41" s="12" cm="1">
        <f t="array" ref="F41">_xlfn.STDEV.S(_xlfn._xlws.FILTER(Bydgoszcz_result[HB_Escore],(Bydgoszcz_result[Category]="senior")*(Bydgoszcz_result[HB_Escore]&gt;0)))</f>
        <v>0.60045437340855023</v>
      </c>
      <c r="G41" s="12">
        <f>AVERAGEIFS(Bydgoszcz_result[HB_total_score],Bydgoszcz_result[[Category]:[Category]],"senior",Bydgoszcz_result[HB_total_score],"&lt;&gt;0")</f>
        <v>10.936363636363637</v>
      </c>
      <c r="H41" s="12" cm="1">
        <f t="array" ref="H41">_xlfn.STDEV.S(_xlfn._xlws.FILTER(Bydgoszcz_result[HB_total_score],(Bydgoszcz_result[Category]="senior")*(Bydgoszcz_result[HB_total_score]&gt;0)))</f>
        <v>1.0481151914486568</v>
      </c>
      <c r="I41" s="12" cm="1">
        <f t="array" ref="I41">MAX(_xlfn._xlws.FILTER(Bydgoszcz_result[HB_total_score],Bydgoszcz_result[Category]="senior"))</f>
        <v>12.5</v>
      </c>
      <c r="J41" s="10" t="str" cm="1">
        <f t="array" ref="J41">IF(COUNTIFS(Bydgoszcz_result[HB_total_score],I41,Bydgoszcz_result[Category],"senior")&gt;1,_xlfn.XLOOKUP(I41,_xlfn._xlws.FILTER(Bydgoszcz_result[HB_total_score],Bydgoszcz_result[Category]="senior"),_xlfn._xlws.FILTER(Bydgoszcz_result[Name],Bydgoszcz_result[Category]="senior"),0)&amp;" and "&amp;(COUNTIFS(Bydgoszcz_result[HB_total_score],I41,Bydgoszcz_result[Category],"senior")-1)&amp;" more",_xlfn.XLOOKUP(I41,_xlfn._xlws.FILTER(Bydgoszcz_result[HB_total_score],Bydgoszcz_result[Category]="senior"),_xlfn._xlws.FILTER(Bydgoszcz_result[Name],Bydgoszcz_result[Category]="senior"),0))</f>
        <v>KAŚKOW Paweł</v>
      </c>
      <c r="O41"/>
      <c r="P41"/>
      <c r="Q41"/>
      <c r="AN41" t="s">
        <v>141</v>
      </c>
      <c r="AO41" t="s">
        <v>60</v>
      </c>
      <c r="AP41">
        <v>2000</v>
      </c>
      <c r="AQ41" t="s">
        <v>72</v>
      </c>
      <c r="AR41" t="s">
        <v>306</v>
      </c>
      <c r="AS41" t="s">
        <v>319</v>
      </c>
      <c r="AT41" t="s">
        <v>243</v>
      </c>
      <c r="AU41" t="s">
        <v>247</v>
      </c>
      <c r="AV41">
        <v>24.300000000000004</v>
      </c>
    </row>
    <row r="42" spans="1:48" ht="30" customHeight="1" x14ac:dyDescent="0.25">
      <c r="A42" s="10" t="s">
        <v>26</v>
      </c>
      <c r="B42" s="10" t="s">
        <v>242</v>
      </c>
      <c r="C42" s="11">
        <f>AVERAGEIFS(Bydgoszcz_result[HB_Dscore],Bydgoszcz_result[[Category]:[Category]],"junior",Bydgoszcz_result[HB_Dscore],"&lt;&gt;0")</f>
        <v>2.2071428571428569</v>
      </c>
      <c r="D42" s="11" cm="1">
        <f t="array" ref="D42">_xlfn.STDEV.S(_xlfn._xlws.FILTER(Bydgoszcz_result[HB_Dscore],(Bydgoszcz_result[Category]="junior")*(Bydgoszcz_result[HB_Dscore]&gt;0)))</f>
        <v>0.93188335826249957</v>
      </c>
      <c r="E42" s="12">
        <f>AVERAGEIFS(Bydgoszcz_result[HB_Escore],Bydgoszcz_result[[Category]:[Category]],"junior",Bydgoszcz_result[HB_Escore],"&lt;&gt;0")</f>
        <v>6.9785714285714278</v>
      </c>
      <c r="F42" s="12" cm="1">
        <f t="array" ref="F42">_xlfn.STDEV.S(_xlfn._xlws.FILTER(Bydgoszcz_result[HB_Escore],(Bydgoszcz_result[Category]="junior")*(Bydgoszcz_result[HB_Escore]&gt;0)))</f>
        <v>2.3238491184400809</v>
      </c>
      <c r="G42" s="12">
        <f>AVERAGEIFS(Bydgoszcz_result[HB_total_score],Bydgoszcz_result[[Category]:[Category]],"junior",Bydgoszcz_result[HB_total_score],"&lt;&gt;0")</f>
        <v>9.1857142857142851</v>
      </c>
      <c r="H42" s="12" cm="1">
        <f t="array" ref="H42">_xlfn.STDEV.S(_xlfn._xlws.FILTER(Bydgoszcz_result[HB_total_score],(Bydgoszcz_result[Category]="junior")*(Bydgoszcz_result[HB_total_score]&gt;0)))</f>
        <v>3.1050472913175873</v>
      </c>
      <c r="I42" s="12" cm="1">
        <f t="array" ref="I42">MAX(_xlfn._xlws.FILTER(Bydgoszcz_result[HB_total_score],Bydgoszcz_result[Category]="junior"))</f>
        <v>11.6</v>
      </c>
      <c r="J42" s="10" t="str" cm="1">
        <f t="array" ref="J42">IF(COUNTIFS(Bydgoszcz_result[HB_total_score],I42,Bydgoszcz_result[Category],"junior")&gt;1,_xlfn.XLOOKUP(I42,_xlfn._xlws.FILTER(Bydgoszcz_result[HB_total_score],Bydgoszcz_result[Category]="junior"),_xlfn._xlws.FILTER(Bydgoszcz_result[Name],Bydgoszcz_result[Category]="junior"),0)&amp;" and "&amp;(COUNTIFS(Bydgoszcz_result[HB_total_score],I42,Bydgoszcz_result[Category],"junior")-1)&amp;" more",_xlfn.XLOOKUP(I42,_xlfn._xlws.FILTER(Bydgoszcz_result[HB_total_score],Bydgoszcz_result[Category]="junior"),_xlfn._xlws.FILTER(Bydgoszcz_result[Name],Bydgoszcz_result[Category]="junior"),0))</f>
        <v>LEKHAC Tomasz</v>
      </c>
      <c r="O42"/>
      <c r="P42"/>
      <c r="Q42"/>
      <c r="AN42" t="s">
        <v>141</v>
      </c>
      <c r="AO42" t="s">
        <v>60</v>
      </c>
      <c r="AP42">
        <v>2000</v>
      </c>
      <c r="AQ42" t="s">
        <v>72</v>
      </c>
      <c r="AR42" t="s">
        <v>306</v>
      </c>
      <c r="AS42" t="s">
        <v>319</v>
      </c>
      <c r="AT42" t="s">
        <v>243</v>
      </c>
      <c r="AU42" t="s">
        <v>248</v>
      </c>
      <c r="AV42">
        <v>49.849999999999994</v>
      </c>
    </row>
    <row r="43" spans="1:48" ht="30" customHeight="1" x14ac:dyDescent="0.25">
      <c r="A43" s="2" t="s">
        <v>60</v>
      </c>
      <c r="B43" s="10" t="s">
        <v>241</v>
      </c>
      <c r="C43" s="11">
        <f>AVERAGEIFS(Bydgoszcz_result[PB_Dscore],Bydgoszcz_result[[Category]:[Category]],"senior",Bydgoszcz_result[PB_Dscore],"&lt;&gt;0")</f>
        <v>3.2461538461538462</v>
      </c>
      <c r="D43" s="11" cm="1">
        <f t="array" ref="D43">_xlfn.STDEV.S(_xlfn._xlws.FILTER(Bydgoszcz_result[PB_Dscore],(Bydgoszcz_result[Category]="senior")*(Bydgoszcz_result[PB_Dscore]&gt;0)))</f>
        <v>0.61456676422688761</v>
      </c>
      <c r="E43" s="12">
        <f>AVERAGEIFS(Bydgoszcz_result[PB_Escore],Bydgoszcz_result[[Category]:[Category]],"senior",Bydgoszcz_result[PB_Escore],"&lt;&gt;0")</f>
        <v>7.8192307692307699</v>
      </c>
      <c r="F43" s="12" cm="1">
        <f t="array" ref="F43">_xlfn.STDEV.S(_xlfn._xlws.FILTER(Bydgoszcz_result[PB_Escore],(Bydgoszcz_result[Category]="senior")*(Bydgoszcz_result[PB_Escore]&gt;0)))</f>
        <v>0.84988687029962395</v>
      </c>
      <c r="G43" s="12">
        <f>AVERAGEIFS(Bydgoszcz_result[PB_total_score],Bydgoszcz_result[[Category]:[Category]],"senior",Bydgoszcz_result[PB_total_score],"&lt;&gt;0")</f>
        <v>11.065384615384614</v>
      </c>
      <c r="H43" s="12" cm="1">
        <f t="array" ref="H43">_xlfn.STDEV.S(_xlfn._xlws.FILTER(Bydgoszcz_result[PB_total_score],(Bydgoszcz_result[Category]="senior")*(Bydgoszcz_result[PB_total_score]&gt;0)))</f>
        <v>1.2143902131290503</v>
      </c>
      <c r="I43" s="12" cm="1">
        <f t="array" ref="I43">MAX(_xlfn._xlws.FILTER(Bydgoszcz_result[PB_total_score],Bydgoszcz_result[Category]="senior"))</f>
        <v>12.8</v>
      </c>
      <c r="J43" s="10" t="str" cm="1">
        <f t="array" ref="J43">IF(COUNTIFS(Bydgoszcz_result[PB_total_score],I43,Bydgoszcz_result[Category],"senior")&gt;1,_xlfn.XLOOKUP(I43,_xlfn._xlws.FILTER(Bydgoszcz_result[PB_total_score],Bydgoszcz_result[Category]="senior"),_xlfn._xlws.FILTER(Bydgoszcz_result[Name],Bydgoszcz_result[Category]="senior"),0)&amp;" and "&amp;(COUNTIFS(Bydgoszcz_result[PB_total_score],I43,Bydgoszcz_result[Category],"senior")-1)&amp;" more",_xlfn.XLOOKUP(I43,_xlfn._xlws.FILTER(Bydgoszcz_result[PB_total_score],Bydgoszcz_result[Category]="senior"),_xlfn._xlws.FILTER(Bydgoszcz_result[Name],Bydgoszcz_result[Category]="senior"),0))</f>
        <v>SASNAL Filip</v>
      </c>
      <c r="O43"/>
      <c r="P43"/>
      <c r="Q43"/>
      <c r="AN43" t="s">
        <v>141</v>
      </c>
      <c r="AO43" t="s">
        <v>60</v>
      </c>
      <c r="AP43">
        <v>2000</v>
      </c>
      <c r="AQ43" t="s">
        <v>72</v>
      </c>
      <c r="AR43" t="s">
        <v>306</v>
      </c>
      <c r="AS43" t="s">
        <v>319</v>
      </c>
      <c r="AT43" t="s">
        <v>243</v>
      </c>
      <c r="AU43" t="s">
        <v>314</v>
      </c>
      <c r="AV43">
        <v>74.150000000000006</v>
      </c>
    </row>
    <row r="44" spans="1:48" ht="30" customHeight="1" x14ac:dyDescent="0.25">
      <c r="A44" s="10" t="s">
        <v>26</v>
      </c>
      <c r="B44" s="10" t="s">
        <v>241</v>
      </c>
      <c r="C44" s="11">
        <f>AVERAGEIFS(Bydgoszcz_result[PB_Dscore],Bydgoszcz_result[[Category]:[Category]],"junior",Bydgoszcz_result[PB_Dscore],"&lt;&gt;0")</f>
        <v>2.8624999999999998</v>
      </c>
      <c r="D44" s="11" cm="1">
        <f t="array" ref="D44">_xlfn.STDEV.S(_xlfn._xlws.FILTER(Bydgoszcz_result[PB_Dscore],(Bydgoszcz_result[Category]="junior")*(Bydgoszcz_result[PB_Dscore]&gt;0)))</f>
        <v>0.66720811345986275</v>
      </c>
      <c r="E44" s="12">
        <f>AVERAGEIFS(Bydgoszcz_result[PB_Escore],Bydgoszcz_result[[Category]:[Category]],"junior",Bydgoszcz_result[PB_Escore],"&lt;&gt;0")</f>
        <v>7.09375</v>
      </c>
      <c r="F44" s="12" cm="1">
        <f t="array" ref="F44">_xlfn.STDEV.S(_xlfn._xlws.FILTER(Bydgoszcz_result[PB_Escore],(Bydgoszcz_result[Category]="junior")*(Bydgoszcz_result[PB_Escore]&gt;0)))</f>
        <v>2.3377250337311559</v>
      </c>
      <c r="G44" s="12">
        <f>AVERAGEIFS(Bydgoszcz_result[PB_total_score],Bydgoszcz_result[[Category]:[Category]],"junior",Bydgoszcz_result[PB_total_score],"&lt;&gt;0")</f>
        <v>9.9562500000000007</v>
      </c>
      <c r="H44" s="12" cm="1">
        <f t="array" ref="H44">_xlfn.STDEV.S(_xlfn._xlws.FILTER(Bydgoszcz_result[PB_total_score],(Bydgoszcz_result[Category]="junior")*(Bydgoszcz_result[PB_total_score]&gt;0)))</f>
        <v>2.9375088652348449</v>
      </c>
      <c r="I44" s="12" cm="1">
        <f t="array" ref="I44">MAX(_xlfn._xlws.FILTER(Bydgoszcz_result[PB_total_score],Bydgoszcz_result[Category]="junior"))</f>
        <v>12.65</v>
      </c>
      <c r="J44" s="10" t="str" cm="1">
        <f t="array" ref="J44">IF(COUNTIFS(Bydgoszcz_result[PB_total_score],I44,Bydgoszcz_result[Category],"junior")&gt;1,_xlfn.XLOOKUP(I44,_xlfn._xlws.FILTER(Bydgoszcz_result[PB_total_score],Bydgoszcz_result[Category]="junior"),_xlfn._xlws.FILTER(Bydgoszcz_result[Name],Bydgoszcz_result[Category]="junior"),0)&amp;" and "&amp;(COUNTIFS(Bydgoszcz_result[PB_total_score],I44,Bydgoszcz_result[Category],"junior")-1)&amp;" more",_xlfn.XLOOKUP(I44,_xlfn._xlws.FILTER(Bydgoszcz_result[PB_total_score],Bydgoszcz_result[Category]="junior"),_xlfn._xlws.FILTER(Bydgoszcz_result[Name],Bydgoszcz_result[Category]="junior"),0))</f>
        <v>LEKHAC Tomasz</v>
      </c>
      <c r="O44"/>
      <c r="P44"/>
      <c r="Q44"/>
      <c r="AN44" t="s">
        <v>142</v>
      </c>
      <c r="AO44" t="s">
        <v>60</v>
      </c>
      <c r="AP44">
        <v>2001</v>
      </c>
      <c r="AQ44" t="s">
        <v>62</v>
      </c>
      <c r="AR44" t="s">
        <v>306</v>
      </c>
      <c r="AS44" t="s">
        <v>319</v>
      </c>
      <c r="AT44" t="s">
        <v>218</v>
      </c>
      <c r="AU44" t="s">
        <v>310</v>
      </c>
      <c r="AV44">
        <v>4.5</v>
      </c>
    </row>
    <row r="45" spans="1:48" ht="30" customHeight="1" x14ac:dyDescent="0.25">
      <c r="A45" s="2" t="s">
        <v>60</v>
      </c>
      <c r="B45" s="10" t="s">
        <v>238</v>
      </c>
      <c r="C45" s="11">
        <f>AVERAGEIFS(Bydgoszcz_result[PH_Dscore],Bydgoszcz_result[[Category]:[Category]],"senior",Bydgoszcz_result[PH_Dscore],"&lt;&gt;0")</f>
        <v>3.5153846153846144</v>
      </c>
      <c r="D45" s="11" cm="1">
        <f t="array" ref="D45">_xlfn.STDEV.S(_xlfn._xlws.FILTER(Bydgoszcz_result[PH_Dscore],(Bydgoszcz_result[Category]="senior")*(Bydgoszcz_result[PH_Dscore]&gt;0)))</f>
        <v>0.6465886815255345</v>
      </c>
      <c r="E45" s="12">
        <f>AVERAGEIFS(Bydgoszcz_result[PH_Escore],Bydgoszcz_result[[Category]:[Category]],"senior",Bydgoszcz_result[PH_Escore],"&lt;&gt;0")</f>
        <v>5.9884615384615394</v>
      </c>
      <c r="F45" s="12" cm="1">
        <f t="array" ref="F45">_xlfn.STDEV.S(_xlfn._xlws.FILTER(Bydgoszcz_result[PH_Escore],(Bydgoszcz_result[Category]="senior")*(Bydgoszcz_result[PH_Escore]&gt;0)))</f>
        <v>2.4123945439951191</v>
      </c>
      <c r="G45" s="12">
        <f>AVERAGEIFS(Bydgoszcz_result[PH_Total_Score],Bydgoszcz_result[[Category]:[Category]],"senior",Bydgoszcz_result[PH_Total_Score],"&lt;&gt;0")</f>
        <v>9.5038461538461547</v>
      </c>
      <c r="H45" s="12" cm="1">
        <f t="array" ref="H45">_xlfn.STDEV.S(_xlfn._xlws.FILTER(Bydgoszcz_result[PH_Total_Score],(Bydgoszcz_result[Category]="senior")*(Bydgoszcz_result[PH_Total_Score]&gt;0)))</f>
        <v>2.9651771685728394</v>
      </c>
      <c r="I45" s="12" cm="1">
        <f t="array" ref="I45">MAX(_xlfn._xlws.FILTER(Bydgoszcz_result[PH_Total_Score],Bydgoszcz_result[Category]="senior"))</f>
        <v>12.65</v>
      </c>
      <c r="J45" s="10" t="str" cm="1">
        <f t="array" ref="J45">IF(COUNTIFS(Bydgoszcz_result[PH_Total_Score],I45,Bydgoszcz_result[Category],"senior")&gt;1,_xlfn.XLOOKUP(I45,_xlfn._xlws.FILTER(Bydgoszcz_result[PH_Total_Score],Bydgoszcz_result[Category]="senior"),_xlfn._xlws.FILTER(Bydgoszcz_result[Name],Bydgoszcz_result[Category]="senior"),0)&amp;" and "&amp;(COUNTIFS(Bydgoszcz_result[PH_Total_Score],I45,Bydgoszcz_result[Category],"senior")-1)&amp;" more",_xlfn.XLOOKUP(I45,_xlfn._xlws.FILTER(Bydgoszcz_result[PH_Total_Score],Bydgoszcz_result[Category]="senior"),_xlfn._xlws.FILTER(Bydgoszcz_result[Name],Bydgoszcz_result[Category]="senior"),0))</f>
        <v>SZYMCZYK Radosław</v>
      </c>
      <c r="O45"/>
      <c r="P45"/>
      <c r="Q45"/>
      <c r="AN45" t="s">
        <v>142</v>
      </c>
      <c r="AO45" t="s">
        <v>60</v>
      </c>
      <c r="AP45">
        <v>2001</v>
      </c>
      <c r="AQ45" t="s">
        <v>62</v>
      </c>
      <c r="AR45" t="s">
        <v>306</v>
      </c>
      <c r="AS45" t="s">
        <v>319</v>
      </c>
      <c r="AT45" t="s">
        <v>218</v>
      </c>
      <c r="AU45" t="s">
        <v>311</v>
      </c>
      <c r="AV45">
        <v>8.6999999999999993</v>
      </c>
    </row>
    <row r="46" spans="1:48" ht="30" customHeight="1" x14ac:dyDescent="0.25">
      <c r="A46" s="10" t="s">
        <v>26</v>
      </c>
      <c r="B46" s="10" t="s">
        <v>238</v>
      </c>
      <c r="C46" s="11">
        <f>AVERAGEIFS(Bydgoszcz_result[PH_Dscore],Bydgoszcz_result[[Category]:[Category]],"junior",Bydgoszcz_result[FX_Dscore],"&lt;&gt;0")</f>
        <v>2.8400000000000003</v>
      </c>
      <c r="D46" s="11" cm="1">
        <f t="array" ref="D46">_xlfn.STDEV.S(_xlfn._xlws.FILTER(Bydgoszcz_result[PH_Dscore],(Bydgoszcz_result[Category]="junior")*(Bydgoszcz_result[PH_Dscore]&gt;0)))</f>
        <v>1.0187218058170042</v>
      </c>
      <c r="E46" s="12">
        <f>AVERAGEIFS(Bydgoszcz_result[PH_Escore],Bydgoszcz_result[[Category]:[Category]],"junior",Bydgoszcz_result[FX_Escore],"&lt;&gt;0")</f>
        <v>5.5600000000000014</v>
      </c>
      <c r="F46" s="12" cm="1">
        <f t="array" ref="F46">_xlfn.STDEV.S(_xlfn._xlws.FILTER(Bydgoszcz_result[PH_Escore],(Bydgoszcz_result[Category]="junior")*(Bydgoszcz_result[PH_Escore]&gt;0)))</f>
        <v>1.6164674549668501</v>
      </c>
      <c r="G46" s="12">
        <f>AVERAGEIFS(Bydgoszcz_result[PH_Total_Score],Bydgoszcz_result[[Category]:[Category]],"junior",Bydgoszcz_result[FX_Total_Score],"&lt;&gt;0")</f>
        <v>8.3999999999999986</v>
      </c>
      <c r="H46" s="12" cm="1">
        <f t="array" ref="H46">_xlfn.STDEV.S(_xlfn._xlws.FILTER(Bydgoszcz_result[PH_Total_Score],(Bydgoszcz_result[Category]="junior")*(Bydgoszcz_result[PH_Total_Score]&gt;0)))</f>
        <v>3.882985131237537</v>
      </c>
      <c r="I46" s="12" cm="1">
        <f t="array" ref="I46">MAX(_xlfn._xlws.FILTER(Bydgoszcz_result[PH_Total_Score],Bydgoszcz_result[Category]="junior"))</f>
        <v>12.75</v>
      </c>
      <c r="J46" s="10" t="str" cm="1">
        <f t="array" ref="J46">IF(COUNTIFS(Bydgoszcz_result[PH_Total_Score],I46,Bydgoszcz_result[Category],"junior")&gt;1,_xlfn.XLOOKUP(I46,_xlfn._xlws.FILTER(Bydgoszcz_result[PH_Total_Score],Bydgoszcz_result[Category]="junior"),_xlfn._xlws.FILTER(Bydgoszcz_result[Name],Bydgoszcz_result[Category]="junior"),0)&amp;" and "&amp;(COUNTIFS(Bydgoszcz_result[PH_Total_Score],I46,Bydgoszcz_result[Category],"junior")-1)&amp;" more",_xlfn.XLOOKUP(I46,_xlfn._xlws.FILTER(Bydgoszcz_result[PH_Total_Score],Bydgoszcz_result[Category]="junior"),_xlfn._xlws.FILTER(Bydgoszcz_result[Name],Bydgoszcz_result[Category]="junior"),0))</f>
        <v>LEKHAC Tomasz</v>
      </c>
      <c r="O46"/>
      <c r="P46"/>
      <c r="Q46"/>
      <c r="AN46" t="s">
        <v>142</v>
      </c>
      <c r="AO46" t="s">
        <v>60</v>
      </c>
      <c r="AP46">
        <v>2001</v>
      </c>
      <c r="AQ46" t="s">
        <v>62</v>
      </c>
      <c r="AR46" t="s">
        <v>306</v>
      </c>
      <c r="AS46" t="s">
        <v>319</v>
      </c>
      <c r="AT46" t="s">
        <v>218</v>
      </c>
      <c r="AU46" t="s">
        <v>268</v>
      </c>
      <c r="AV46">
        <v>13.2</v>
      </c>
    </row>
    <row r="47" spans="1:48" ht="30" customHeight="1" x14ac:dyDescent="0.25">
      <c r="A47" s="2" t="s">
        <v>60</v>
      </c>
      <c r="B47" s="10" t="s">
        <v>239</v>
      </c>
      <c r="C47" s="11">
        <f>AVERAGEIFS(Bydgoszcz_result[SR_Dscore],Bydgoszcz_result[[Category]:[Category]],"senior",Bydgoszcz_result[SR_Dscore],"&lt;&gt;0")</f>
        <v>3.5166666666666671</v>
      </c>
      <c r="D47" s="11" cm="1">
        <f t="array" ref="D47">_xlfn.STDEV.S(_xlfn._xlws.FILTER(Bydgoszcz_result[SR_Dscore],(Bydgoszcz_result[Category]="senior")*(Bydgoszcz_result[SR_Dscore]&gt;0)))</f>
        <v>0.59518268140330244</v>
      </c>
      <c r="E47" s="12">
        <f>AVERAGEIFS(Bydgoszcz_result[SR_Escore],Bydgoszcz_result[[Category]:[Category]],"senior",Bydgoszcz_result[SR_Escore],"&lt;&gt;0")</f>
        <v>7.4541666666666684</v>
      </c>
      <c r="F47" s="12" cm="1">
        <f t="array" ref="F47">_xlfn.STDEV.S(_xlfn._xlws.FILTER(Bydgoszcz_result[SR_Escore],(Bydgoszcz_result[Category]="senior")*(Bydgoszcz_result[SR_Escore]&gt;0)))</f>
        <v>0.58986066664985037</v>
      </c>
      <c r="G47" s="12">
        <f>AVERAGEIFS(Bydgoszcz_result[SR_Total_Score],Bydgoszcz_result[[Category]:[Category]],"senior",Bydgoszcz_result[SR_Total_Score],"&lt;&gt;0")</f>
        <v>10.970833333333333</v>
      </c>
      <c r="H47" s="12" cm="1">
        <f t="array" ref="H47">_xlfn.STDEV.S(_xlfn._xlws.FILTER(Bydgoszcz_result[SR_Total_Score],(Bydgoszcz_result[Category]="senior")*(Bydgoszcz_result[SR_Total_Score]&gt;0)))</f>
        <v>0.79500095292491013</v>
      </c>
      <c r="I47" s="12" cm="1">
        <f t="array" ref="I47">MAX(_xlfn._xlws.FILTER(Bydgoszcz_result[SR_Total_Score],Bydgoszcz_result[Category]="senior"))</f>
        <v>12.5</v>
      </c>
      <c r="J47" s="10" t="str" cm="1">
        <f t="array" ref="J47">IF(COUNTIFS(Bydgoszcz_result[SR_Total_Score],I47,Bydgoszcz_result[Category],"senior")&gt;1,_xlfn.XLOOKUP(I47,_xlfn._xlws.FILTER(Bydgoszcz_result[SR_Total_Score],Bydgoszcz_result[Category]="senior"),_xlfn._xlws.FILTER(Bydgoszcz_result[Name],Bydgoszcz_result[Category]="senior"),0)&amp;" and "&amp;(COUNTIFS(Bydgoszcz_result[SR_Total_Score],I47,Bydgoszcz_result[Category],"senior")-1)&amp;" more",_xlfn.XLOOKUP(I47,_xlfn._xlws.FILTER(Bydgoszcz_result[SR_Total_Score],Bydgoszcz_result[Category]="senior"),_xlfn._xlws.FILTER(Bydgoszcz_result[Name],Bydgoszcz_result[Category]="senior"),0))</f>
        <v>YAREMCHUK Vladyslav</v>
      </c>
      <c r="O47"/>
      <c r="P47"/>
      <c r="Q47"/>
      <c r="AN47" t="s">
        <v>142</v>
      </c>
      <c r="AO47" t="s">
        <v>60</v>
      </c>
      <c r="AP47">
        <v>2001</v>
      </c>
      <c r="AQ47" t="s">
        <v>62</v>
      </c>
      <c r="AR47" t="s">
        <v>306</v>
      </c>
      <c r="AS47" t="s">
        <v>319</v>
      </c>
      <c r="AT47" t="s">
        <v>238</v>
      </c>
      <c r="AU47" t="s">
        <v>310</v>
      </c>
      <c r="AV47">
        <v>3.8</v>
      </c>
    </row>
    <row r="48" spans="1:48" ht="30" customHeight="1" x14ac:dyDescent="0.25">
      <c r="A48" s="10" t="s">
        <v>26</v>
      </c>
      <c r="B48" s="10" t="s">
        <v>239</v>
      </c>
      <c r="C48" s="11">
        <f>AVERAGEIFS(Bydgoszcz_result[SR_Dscore],Bydgoszcz_result[[Category]:[Category]],"junior",Bydgoszcz_result[SR_Dscore],"&lt;&gt;0")</f>
        <v>2.5533333333333337</v>
      </c>
      <c r="D48" s="11" cm="1">
        <f t="array" ref="D48">_xlfn.STDEV.S(_xlfn._xlws.FILTER(Bydgoszcz_result[SR_Dscore],(Bydgoszcz_result[Category]="junior")*(Bydgoszcz_result[SR_Dscore]&gt;0)))</f>
        <v>0.5194319241339731</v>
      </c>
      <c r="E48" s="12">
        <f>AVERAGEIFS(Bydgoszcz_result[SR_Escore],Bydgoszcz_result[[Category]:[Category]],"junior",Bydgoszcz_result[SR_Escore],"&lt;&gt;0")</f>
        <v>7.0366666666666653</v>
      </c>
      <c r="F48" s="12" cm="1">
        <f t="array" ref="F48">_xlfn.STDEV.S(_xlfn._xlws.FILTER(Bydgoszcz_result[SR_Escore],(Bydgoszcz_result[Category]="junior")*(Bydgoszcz_result[SR_Escore]&gt;0)))</f>
        <v>1.3279235491476813</v>
      </c>
      <c r="G48" s="12">
        <f>AVERAGEIFS(Bydgoszcz_result[SR_Total_Score],Bydgoszcz_result[[Category]:[Category]],"junior",Bydgoszcz_result[SR_Total_Score],"&lt;&gt;0")</f>
        <v>9.5900000000000016</v>
      </c>
      <c r="H48" s="12" cm="1">
        <f t="array" ref="H48">_xlfn.STDEV.S(_xlfn._xlws.FILTER(Bydgoszcz_result[SR_Total_Score],(Bydgoszcz_result[Category]="junior")*(Bydgoszcz_result[SR_Total_Score]&gt;0)))</f>
        <v>1.7176811611671539</v>
      </c>
      <c r="I48" s="12" cm="1">
        <f t="array" ref="I48">MAX(_xlfn._xlws.FILTER(Bydgoszcz_result[SR_Total_Score],Bydgoszcz_result[Category]="junior"))</f>
        <v>11.65</v>
      </c>
      <c r="J48" s="10" t="str" cm="1">
        <f t="array" ref="J48">IF(COUNTIFS(Bydgoszcz_result[SR_Total_Score],I48,Bydgoszcz_result[Category],"junior")&gt;1,_xlfn.XLOOKUP(I48,_xlfn._xlws.FILTER(Bydgoszcz_result[SR_Total_Score],Bydgoszcz_result[Category]="junior"),_xlfn._xlws.FILTER(Bydgoszcz_result[Name],Bydgoszcz_result[Category]="junior"),0)&amp;" and "&amp;(COUNTIFS(Bydgoszcz_result[SR_Total_Score],I48,Bydgoszcz_result[Category],"junior")-1)&amp;" more",_xlfn.XLOOKUP(I48,_xlfn._xlws.FILTER(Bydgoszcz_result[SR_Total_Score],Bydgoszcz_result[Category]="junior"),_xlfn._xlws.FILTER(Bydgoszcz_result[Name],Bydgoszcz_result[Category]="junior"),0))</f>
        <v>LEKHAC Tomasz</v>
      </c>
      <c r="O48"/>
      <c r="P48"/>
      <c r="Q48"/>
      <c r="AN48" t="s">
        <v>142</v>
      </c>
      <c r="AO48" t="s">
        <v>60</v>
      </c>
      <c r="AP48">
        <v>2001</v>
      </c>
      <c r="AQ48" t="s">
        <v>62</v>
      </c>
      <c r="AR48" t="s">
        <v>306</v>
      </c>
      <c r="AS48" t="s">
        <v>319</v>
      </c>
      <c r="AT48" t="s">
        <v>238</v>
      </c>
      <c r="AU48" t="s">
        <v>311</v>
      </c>
      <c r="AV48">
        <v>7.9</v>
      </c>
    </row>
    <row r="49" spans="1:48" ht="30" customHeight="1" x14ac:dyDescent="0.25">
      <c r="A49" s="2" t="s">
        <v>60</v>
      </c>
      <c r="B49" s="10" t="s">
        <v>240</v>
      </c>
      <c r="C49" s="11">
        <f>AVERAGEIFS(Bydgoszcz_result[VT_Dscore],Bydgoszcz_result[[Category]:[Category]],"senior",Bydgoszcz_result[VT_Dscore],"&lt;&gt;0")</f>
        <v>3.6199999999999997</v>
      </c>
      <c r="D49" s="11" cm="1">
        <f t="array" ref="D49">_xlfn.STDEV.S(_xlfn._xlws.FILTER(Bydgoszcz_result[VT_Dscore],(Bydgoszcz_result[Category]="senior")*(Bydgoszcz_result[VT_Dscore]&gt;0)))</f>
        <v>0.59962951524717389</v>
      </c>
      <c r="E49" s="12">
        <f>AVERAGEIFS(Bydgoszcz_result[VT_Escore],Bydgoszcz_result[[Category]:[Category]],"senior",Bydgoszcz_result[VT_Escore],"&lt;&gt;0")</f>
        <v>8.754999999999999</v>
      </c>
      <c r="F49" s="12" cm="1">
        <f t="array" ref="F49">_xlfn.STDEV.S(_xlfn._xlws.FILTER(Bydgoszcz_result[VT_Escore],(Bydgoszcz_result[Category]="senior")*(Bydgoszcz_result[VT_Escore]&gt;0)))</f>
        <v>0.60848171706305199</v>
      </c>
      <c r="G49" s="12">
        <f>AVERAGEIFS(Bydgoszcz_result[VT_total_score],Bydgoszcz_result[[Category]:[Category]],"senior",Bydgoszcz_result[VT_total_score],"&lt;&gt;0")</f>
        <v>12.375</v>
      </c>
      <c r="H49" s="12" cm="1">
        <f t="array" ref="H49">_xlfn.STDEV.S(_xlfn._xlws.FILTER(Bydgoszcz_result[VT_total_score],(Bydgoszcz_result[Category]="senior")*(Bydgoszcz_result[VT_total_score]&gt;0)))</f>
        <v>0.7962586123727502</v>
      </c>
      <c r="I49" s="12" cm="1">
        <f t="array" ref="I49">MAX(_xlfn._xlws.FILTER(Bydgoszcz_result[VT_total_score],Bydgoszcz_result[Category]="senior"))</f>
        <v>13.5</v>
      </c>
      <c r="J49" s="10" t="str" cm="1">
        <f t="array" ref="J49">IF(COUNTIFS(Bydgoszcz_result[VT_total_score],I49,Bydgoszcz_result[Category],"senior")&gt;1,_xlfn.XLOOKUP(I49,_xlfn._xlws.FILTER(Bydgoszcz_result[VT_total_score],Bydgoszcz_result[Category]="senior"),_xlfn._xlws.FILTER(Bydgoszcz_result[Name],Bydgoszcz_result[Category]="senior"),0)&amp;" and "&amp;(COUNTIFS(Bydgoszcz_result[VT_total_score],I49,Bydgoszcz_result[Category],"senior")-1)&amp;" more",_xlfn.XLOOKUP(I49,_xlfn._xlws.FILTER(Bydgoszcz_result[VT_total_score],Bydgoszcz_result[Category]="senior"),_xlfn._xlws.FILTER(Bydgoszcz_result[Name],Bydgoszcz_result[Category]="senior"),0))</f>
        <v>SASNAL Filip</v>
      </c>
      <c r="O49"/>
      <c r="P49"/>
      <c r="Q49"/>
      <c r="AN49" t="s">
        <v>142</v>
      </c>
      <c r="AO49" t="s">
        <v>60</v>
      </c>
      <c r="AP49">
        <v>2001</v>
      </c>
      <c r="AQ49" t="s">
        <v>62</v>
      </c>
      <c r="AR49" t="s">
        <v>306</v>
      </c>
      <c r="AS49" t="s">
        <v>319</v>
      </c>
      <c r="AT49" t="s">
        <v>238</v>
      </c>
      <c r="AU49" t="s">
        <v>268</v>
      </c>
      <c r="AV49">
        <v>11.7</v>
      </c>
    </row>
    <row r="50" spans="1:48" ht="30" customHeight="1" x14ac:dyDescent="0.25">
      <c r="A50" s="10" t="s">
        <v>26</v>
      </c>
      <c r="B50" s="10" t="s">
        <v>240</v>
      </c>
      <c r="C50" s="11">
        <f>AVERAGEIFS(Bydgoszcz_result[VT_Dscore],Bydgoszcz_result[[Category]:[Category]],"junior",Bydgoszcz_result[VT_Dscore],"&lt;&gt;0")</f>
        <v>2.5749999999999997</v>
      </c>
      <c r="D50" s="11" cm="1">
        <f t="array" ref="D50">_xlfn.STDEV.S(_xlfn._xlws.FILTER(Bydgoszcz_result[VT_Dscore],(Bydgoszcz_result[Category]="junior")*(Bydgoszcz_result[VT_Dscore]&gt;0)))</f>
        <v>0.74072037009027158</v>
      </c>
      <c r="E50" s="12">
        <f>AVERAGEIFS(Bydgoszcz_result[VT_Escore],Bydgoszcz_result[[Category]:[Category]],"junior",Bydgoszcz_result[VT_Escore],"&lt;&gt;0")</f>
        <v>8.5718749999999986</v>
      </c>
      <c r="F50" s="12" cm="1">
        <f t="array" ref="F50">_xlfn.STDEV.S(_xlfn._xlws.FILTER(Bydgoszcz_result[VT_Escore],(Bydgoszcz_result[Category]="junior")*(Bydgoszcz_result[VT_Escore]&gt;0)))</f>
        <v>0.55856027726050594</v>
      </c>
      <c r="G50" s="12">
        <f>AVERAGEIFS(Bydgoszcz_result[VT_total_score],Bydgoszcz_result[[Category]:[Category]],"junior",Bydgoszcz_result[VT_total_score],"&lt;&gt;0")</f>
        <v>11.146875</v>
      </c>
      <c r="H50" s="12" cm="1">
        <f t="array" ref="H50">_xlfn.STDEV.S(_xlfn._xlws.FILTER(Bydgoszcz_result[VT_total_score],(Bydgoszcz_result[Category]="junior")*(Bydgoszcz_result[VT_total_score]&gt;0)))</f>
        <v>0.81924126482984228</v>
      </c>
      <c r="I50" s="12" cm="1">
        <f t="array" ref="I50">MAX(_xlfn._xlws.FILTER(Bydgoszcz_result[VT_total_score],Bydgoszcz_result[Category]="junior"))</f>
        <v>12.5</v>
      </c>
      <c r="J50" s="10" t="str" cm="1">
        <f t="array" ref="J50">IF(COUNTIFS(Bydgoszcz_result[VT_total_score],I50,Bydgoszcz_result[Category],"junior")&gt;1,_xlfn.XLOOKUP(I50,_xlfn._xlws.FILTER(Bydgoszcz_result[VT_total_score],Bydgoszcz_result[Category]="junior"),_xlfn._xlws.FILTER(Bydgoszcz_result[Name],Bydgoszcz_result[Category]="junior"),0)&amp;" and "&amp;(COUNTIFS(Bydgoszcz_result[VT_total_score],I50,Bydgoszcz_result[Category],"junior")-1)&amp;" more",_xlfn.XLOOKUP(I50,_xlfn._xlws.FILTER(Bydgoszcz_result[VT_total_score],Bydgoszcz_result[Category]="junior"),_xlfn._xlws.FILTER(Bydgoszcz_result[Name],Bydgoszcz_result[Category]="junior"),0))</f>
        <v>MISHCHENKO Oleksandr</v>
      </c>
      <c r="O50"/>
      <c r="P50"/>
      <c r="Q50"/>
      <c r="AN50" t="s">
        <v>142</v>
      </c>
      <c r="AO50" t="s">
        <v>60</v>
      </c>
      <c r="AP50">
        <v>2001</v>
      </c>
      <c r="AQ50" t="s">
        <v>62</v>
      </c>
      <c r="AR50" t="s">
        <v>306</v>
      </c>
      <c r="AS50" t="s">
        <v>319</v>
      </c>
      <c r="AT50" t="s">
        <v>239</v>
      </c>
      <c r="AU50" t="s">
        <v>310</v>
      </c>
      <c r="AV50">
        <v>2.7</v>
      </c>
    </row>
    <row r="51" spans="1:48" ht="32.25" customHeight="1" x14ac:dyDescent="0.25">
      <c r="O51"/>
      <c r="P51"/>
      <c r="Q51"/>
      <c r="AN51" t="s">
        <v>142</v>
      </c>
      <c r="AO51" t="s">
        <v>60</v>
      </c>
      <c r="AP51">
        <v>2001</v>
      </c>
      <c r="AQ51" t="s">
        <v>62</v>
      </c>
      <c r="AR51" t="s">
        <v>306</v>
      </c>
      <c r="AS51" t="s">
        <v>319</v>
      </c>
      <c r="AT51" t="s">
        <v>239</v>
      </c>
      <c r="AU51" t="s">
        <v>311</v>
      </c>
      <c r="AV51">
        <v>8</v>
      </c>
    </row>
    <row r="52" spans="1:48" ht="32.25" customHeight="1" x14ac:dyDescent="0.25">
      <c r="O52"/>
      <c r="P52"/>
      <c r="Q52"/>
      <c r="AN52" t="s">
        <v>142</v>
      </c>
      <c r="AO52" t="s">
        <v>60</v>
      </c>
      <c r="AP52">
        <v>2001</v>
      </c>
      <c r="AQ52" t="s">
        <v>62</v>
      </c>
      <c r="AR52" t="s">
        <v>306</v>
      </c>
      <c r="AS52" t="s">
        <v>319</v>
      </c>
      <c r="AT52" t="s">
        <v>239</v>
      </c>
      <c r="AU52" t="s">
        <v>268</v>
      </c>
      <c r="AV52">
        <v>10.7</v>
      </c>
    </row>
    <row r="53" spans="1:48" ht="32.25" customHeight="1" x14ac:dyDescent="0.25">
      <c r="O53"/>
      <c r="P53"/>
      <c r="Q53"/>
      <c r="AN53" t="s">
        <v>142</v>
      </c>
      <c r="AO53" t="s">
        <v>60</v>
      </c>
      <c r="AP53">
        <v>2001</v>
      </c>
      <c r="AQ53" t="s">
        <v>62</v>
      </c>
      <c r="AR53" t="s">
        <v>306</v>
      </c>
      <c r="AS53" t="s">
        <v>319</v>
      </c>
      <c r="AT53" t="s">
        <v>240</v>
      </c>
      <c r="AU53" t="s">
        <v>310</v>
      </c>
      <c r="AV53">
        <v>3.2</v>
      </c>
    </row>
    <row r="54" spans="1:48" x14ac:dyDescent="0.25">
      <c r="O54"/>
      <c r="P54"/>
      <c r="Q54"/>
      <c r="AN54" t="s">
        <v>142</v>
      </c>
      <c r="AO54" t="s">
        <v>60</v>
      </c>
      <c r="AP54">
        <v>2001</v>
      </c>
      <c r="AQ54" t="s">
        <v>62</v>
      </c>
      <c r="AR54" t="s">
        <v>306</v>
      </c>
      <c r="AS54" t="s">
        <v>319</v>
      </c>
      <c r="AT54" t="s">
        <v>240</v>
      </c>
      <c r="AU54" t="s">
        <v>311</v>
      </c>
      <c r="AV54">
        <v>9.5</v>
      </c>
    </row>
    <row r="55" spans="1:48" x14ac:dyDescent="0.25">
      <c r="O55"/>
      <c r="P55"/>
      <c r="Q55"/>
      <c r="AN55" t="s">
        <v>142</v>
      </c>
      <c r="AO55" t="s">
        <v>60</v>
      </c>
      <c r="AP55">
        <v>2001</v>
      </c>
      <c r="AQ55" t="s">
        <v>62</v>
      </c>
      <c r="AR55" t="s">
        <v>306</v>
      </c>
      <c r="AS55" t="s">
        <v>319</v>
      </c>
      <c r="AT55" t="s">
        <v>240</v>
      </c>
      <c r="AU55" t="s">
        <v>268</v>
      </c>
      <c r="AV55">
        <v>12.7</v>
      </c>
    </row>
    <row r="56" spans="1:48" x14ac:dyDescent="0.25">
      <c r="O56"/>
      <c r="P56"/>
      <c r="Q56"/>
      <c r="AN56" t="s">
        <v>142</v>
      </c>
      <c r="AO56" t="s">
        <v>60</v>
      </c>
      <c r="AP56">
        <v>2001</v>
      </c>
      <c r="AQ56" t="s">
        <v>62</v>
      </c>
      <c r="AR56" t="s">
        <v>306</v>
      </c>
      <c r="AS56" t="s">
        <v>319</v>
      </c>
      <c r="AT56" t="s">
        <v>316</v>
      </c>
      <c r="AU56" t="s">
        <v>310</v>
      </c>
      <c r="AV56">
        <v>3.4</v>
      </c>
    </row>
    <row r="57" spans="1:48" x14ac:dyDescent="0.25">
      <c r="O57"/>
      <c r="P57"/>
      <c r="Q57"/>
      <c r="AN57" t="s">
        <v>142</v>
      </c>
      <c r="AO57" t="s">
        <v>60</v>
      </c>
      <c r="AP57">
        <v>2001</v>
      </c>
      <c r="AQ57" t="s">
        <v>62</v>
      </c>
      <c r="AR57" t="s">
        <v>306</v>
      </c>
      <c r="AS57" t="s">
        <v>319</v>
      </c>
      <c r="AT57" t="s">
        <v>316</v>
      </c>
      <c r="AU57" t="s">
        <v>311</v>
      </c>
      <c r="AV57">
        <v>7.9</v>
      </c>
    </row>
    <row r="58" spans="1:48" x14ac:dyDescent="0.25">
      <c r="O58"/>
      <c r="P58"/>
      <c r="Q58"/>
      <c r="AN58" t="s">
        <v>142</v>
      </c>
      <c r="AO58" t="s">
        <v>60</v>
      </c>
      <c r="AP58">
        <v>2001</v>
      </c>
      <c r="AQ58" t="s">
        <v>62</v>
      </c>
      <c r="AR58" t="s">
        <v>306</v>
      </c>
      <c r="AS58" t="s">
        <v>319</v>
      </c>
      <c r="AT58" t="s">
        <v>316</v>
      </c>
      <c r="AU58" t="s">
        <v>268</v>
      </c>
      <c r="AV58">
        <v>11.3</v>
      </c>
    </row>
    <row r="59" spans="1:48" x14ac:dyDescent="0.25">
      <c r="O59"/>
      <c r="P59"/>
      <c r="Q59"/>
      <c r="AN59" t="s">
        <v>142</v>
      </c>
      <c r="AO59" t="s">
        <v>60</v>
      </c>
      <c r="AP59">
        <v>2001</v>
      </c>
      <c r="AQ59" t="s">
        <v>62</v>
      </c>
      <c r="AR59" t="s">
        <v>306</v>
      </c>
      <c r="AS59" t="s">
        <v>319</v>
      </c>
      <c r="AT59" t="s">
        <v>242</v>
      </c>
      <c r="AU59" t="s">
        <v>310</v>
      </c>
      <c r="AV59">
        <v>3.6</v>
      </c>
    </row>
    <row r="60" spans="1:48" x14ac:dyDescent="0.25">
      <c r="O60"/>
      <c r="P60"/>
      <c r="Q60"/>
      <c r="AN60" t="s">
        <v>142</v>
      </c>
      <c r="AO60" t="s">
        <v>60</v>
      </c>
      <c r="AP60">
        <v>2001</v>
      </c>
      <c r="AQ60" t="s">
        <v>62</v>
      </c>
      <c r="AR60" t="s">
        <v>306</v>
      </c>
      <c r="AS60" t="s">
        <v>319</v>
      </c>
      <c r="AT60" t="s">
        <v>242</v>
      </c>
      <c r="AU60" t="s">
        <v>311</v>
      </c>
      <c r="AV60">
        <v>8</v>
      </c>
    </row>
    <row r="61" spans="1:48" x14ac:dyDescent="0.25">
      <c r="O61"/>
      <c r="P61"/>
      <c r="Q61"/>
      <c r="AN61" t="s">
        <v>142</v>
      </c>
      <c r="AO61" t="s">
        <v>60</v>
      </c>
      <c r="AP61">
        <v>2001</v>
      </c>
      <c r="AQ61" t="s">
        <v>62</v>
      </c>
      <c r="AR61" t="s">
        <v>306</v>
      </c>
      <c r="AS61" t="s">
        <v>319</v>
      </c>
      <c r="AT61" t="s">
        <v>242</v>
      </c>
      <c r="AU61" t="s">
        <v>268</v>
      </c>
      <c r="AV61">
        <v>11.6</v>
      </c>
    </row>
    <row r="62" spans="1:48" x14ac:dyDescent="0.25">
      <c r="O62"/>
      <c r="P62"/>
      <c r="Q62"/>
      <c r="AN62" t="s">
        <v>142</v>
      </c>
      <c r="AO62" t="s">
        <v>60</v>
      </c>
      <c r="AP62">
        <v>2001</v>
      </c>
      <c r="AQ62" t="s">
        <v>62</v>
      </c>
      <c r="AR62" t="s">
        <v>306</v>
      </c>
      <c r="AS62" t="s">
        <v>319</v>
      </c>
      <c r="AT62" t="s">
        <v>243</v>
      </c>
      <c r="AU62" t="s">
        <v>247</v>
      </c>
      <c r="AV62">
        <v>21.2</v>
      </c>
    </row>
    <row r="63" spans="1:48" x14ac:dyDescent="0.25">
      <c r="O63"/>
      <c r="P63"/>
      <c r="Q63"/>
      <c r="AN63" t="s">
        <v>142</v>
      </c>
      <c r="AO63" t="s">
        <v>60</v>
      </c>
      <c r="AP63">
        <v>2001</v>
      </c>
      <c r="AQ63" t="s">
        <v>62</v>
      </c>
      <c r="AR63" t="s">
        <v>306</v>
      </c>
      <c r="AS63" t="s">
        <v>319</v>
      </c>
      <c r="AT63" t="s">
        <v>243</v>
      </c>
      <c r="AU63" t="s">
        <v>248</v>
      </c>
      <c r="AV63">
        <v>50</v>
      </c>
    </row>
    <row r="64" spans="1:48" x14ac:dyDescent="0.25">
      <c r="O64"/>
      <c r="P64"/>
      <c r="Q64"/>
      <c r="AN64" t="s">
        <v>142</v>
      </c>
      <c r="AO64" t="s">
        <v>60</v>
      </c>
      <c r="AP64">
        <v>2001</v>
      </c>
      <c r="AQ64" t="s">
        <v>62</v>
      </c>
      <c r="AR64" t="s">
        <v>306</v>
      </c>
      <c r="AS64" t="s">
        <v>319</v>
      </c>
      <c r="AT64" t="s">
        <v>243</v>
      </c>
      <c r="AU64" t="s">
        <v>314</v>
      </c>
      <c r="AV64">
        <v>71.199999999999989</v>
      </c>
    </row>
    <row r="65" spans="15:48" x14ac:dyDescent="0.25">
      <c r="O65"/>
      <c r="P65"/>
      <c r="Q65"/>
      <c r="AN65" t="s">
        <v>80</v>
      </c>
      <c r="AO65" t="s">
        <v>60</v>
      </c>
      <c r="AP65">
        <v>2004</v>
      </c>
      <c r="AQ65" t="s">
        <v>62</v>
      </c>
      <c r="AR65" t="s">
        <v>306</v>
      </c>
      <c r="AS65" t="s">
        <v>319</v>
      </c>
      <c r="AT65" t="s">
        <v>218</v>
      </c>
      <c r="AU65" t="s">
        <v>310</v>
      </c>
      <c r="AV65">
        <v>3.6</v>
      </c>
    </row>
    <row r="66" spans="15:48" x14ac:dyDescent="0.25">
      <c r="O66"/>
      <c r="P66"/>
      <c r="Q66"/>
      <c r="AN66" t="s">
        <v>80</v>
      </c>
      <c r="AO66" t="s">
        <v>60</v>
      </c>
      <c r="AP66">
        <v>2004</v>
      </c>
      <c r="AQ66" t="s">
        <v>62</v>
      </c>
      <c r="AR66" t="s">
        <v>306</v>
      </c>
      <c r="AS66" t="s">
        <v>319</v>
      </c>
      <c r="AT66" t="s">
        <v>218</v>
      </c>
      <c r="AU66" t="s">
        <v>311</v>
      </c>
      <c r="AV66">
        <v>9</v>
      </c>
    </row>
    <row r="67" spans="15:48" x14ac:dyDescent="0.25">
      <c r="O67"/>
      <c r="P67"/>
      <c r="Q67"/>
      <c r="AN67" t="s">
        <v>80</v>
      </c>
      <c r="AO67" t="s">
        <v>60</v>
      </c>
      <c r="AP67">
        <v>2004</v>
      </c>
      <c r="AQ67" t="s">
        <v>62</v>
      </c>
      <c r="AR67" t="s">
        <v>306</v>
      </c>
      <c r="AS67" t="s">
        <v>319</v>
      </c>
      <c r="AT67" t="s">
        <v>218</v>
      </c>
      <c r="AU67" t="s">
        <v>268</v>
      </c>
      <c r="AV67">
        <v>12.6</v>
      </c>
    </row>
    <row r="68" spans="15:48" x14ac:dyDescent="0.25">
      <c r="O68"/>
      <c r="P68"/>
      <c r="Q68"/>
      <c r="AN68" t="s">
        <v>80</v>
      </c>
      <c r="AO68" t="s">
        <v>60</v>
      </c>
      <c r="AP68">
        <v>2004</v>
      </c>
      <c r="AQ68" t="s">
        <v>62</v>
      </c>
      <c r="AR68" t="s">
        <v>306</v>
      </c>
      <c r="AS68" t="s">
        <v>319</v>
      </c>
      <c r="AT68" t="s">
        <v>238</v>
      </c>
      <c r="AU68" t="s">
        <v>310</v>
      </c>
      <c r="AV68">
        <v>3.6</v>
      </c>
    </row>
    <row r="69" spans="15:48" x14ac:dyDescent="0.25">
      <c r="O69"/>
      <c r="P69"/>
      <c r="Q69"/>
      <c r="AN69" t="s">
        <v>80</v>
      </c>
      <c r="AO69" t="s">
        <v>60</v>
      </c>
      <c r="AP69">
        <v>2004</v>
      </c>
      <c r="AQ69" t="s">
        <v>62</v>
      </c>
      <c r="AR69" t="s">
        <v>306</v>
      </c>
      <c r="AS69" t="s">
        <v>319</v>
      </c>
      <c r="AT69" t="s">
        <v>238</v>
      </c>
      <c r="AU69" t="s">
        <v>311</v>
      </c>
      <c r="AV69">
        <v>7.55</v>
      </c>
    </row>
    <row r="70" spans="15:48" x14ac:dyDescent="0.25">
      <c r="O70"/>
      <c r="P70"/>
      <c r="Q70"/>
      <c r="AN70" t="s">
        <v>80</v>
      </c>
      <c r="AO70" t="s">
        <v>60</v>
      </c>
      <c r="AP70">
        <v>2004</v>
      </c>
      <c r="AQ70" t="s">
        <v>62</v>
      </c>
      <c r="AR70" t="s">
        <v>306</v>
      </c>
      <c r="AS70" t="s">
        <v>319</v>
      </c>
      <c r="AT70" t="s">
        <v>238</v>
      </c>
      <c r="AU70" t="s">
        <v>268</v>
      </c>
      <c r="AV70">
        <v>11.15</v>
      </c>
    </row>
    <row r="71" spans="15:48" x14ac:dyDescent="0.25">
      <c r="AN71" t="s">
        <v>80</v>
      </c>
      <c r="AO71" t="s">
        <v>60</v>
      </c>
      <c r="AP71">
        <v>2004</v>
      </c>
      <c r="AQ71" t="s">
        <v>62</v>
      </c>
      <c r="AR71" t="s">
        <v>306</v>
      </c>
      <c r="AS71" t="s">
        <v>319</v>
      </c>
      <c r="AT71" t="s">
        <v>239</v>
      </c>
      <c r="AU71" t="s">
        <v>310</v>
      </c>
      <c r="AV71">
        <v>3.9</v>
      </c>
    </row>
    <row r="72" spans="15:48" x14ac:dyDescent="0.25">
      <c r="AN72" t="s">
        <v>80</v>
      </c>
      <c r="AO72" t="s">
        <v>60</v>
      </c>
      <c r="AP72">
        <v>2004</v>
      </c>
      <c r="AQ72" t="s">
        <v>62</v>
      </c>
      <c r="AR72" t="s">
        <v>306</v>
      </c>
      <c r="AS72" t="s">
        <v>319</v>
      </c>
      <c r="AT72" t="s">
        <v>239</v>
      </c>
      <c r="AU72" t="s">
        <v>311</v>
      </c>
      <c r="AV72">
        <v>6.4</v>
      </c>
    </row>
    <row r="73" spans="15:48" x14ac:dyDescent="0.25">
      <c r="AN73" t="s">
        <v>80</v>
      </c>
      <c r="AO73" t="s">
        <v>60</v>
      </c>
      <c r="AP73">
        <v>2004</v>
      </c>
      <c r="AQ73" t="s">
        <v>62</v>
      </c>
      <c r="AR73" t="s">
        <v>306</v>
      </c>
      <c r="AS73" t="s">
        <v>319</v>
      </c>
      <c r="AT73" t="s">
        <v>239</v>
      </c>
      <c r="AU73" t="s">
        <v>268</v>
      </c>
      <c r="AV73">
        <v>10.3</v>
      </c>
    </row>
    <row r="74" spans="15:48" x14ac:dyDescent="0.25">
      <c r="AN74" t="s">
        <v>80</v>
      </c>
      <c r="AO74" t="s">
        <v>60</v>
      </c>
      <c r="AP74">
        <v>2004</v>
      </c>
      <c r="AQ74" t="s">
        <v>62</v>
      </c>
      <c r="AR74" t="s">
        <v>306</v>
      </c>
      <c r="AS74" t="s">
        <v>319</v>
      </c>
      <c r="AT74" t="s">
        <v>240</v>
      </c>
      <c r="AU74" t="s">
        <v>310</v>
      </c>
      <c r="AV74">
        <v>3.6</v>
      </c>
    </row>
    <row r="75" spans="15:48" x14ac:dyDescent="0.25">
      <c r="AN75" t="s">
        <v>80</v>
      </c>
      <c r="AO75" t="s">
        <v>60</v>
      </c>
      <c r="AP75">
        <v>2004</v>
      </c>
      <c r="AQ75" t="s">
        <v>62</v>
      </c>
      <c r="AR75" t="s">
        <v>306</v>
      </c>
      <c r="AS75" t="s">
        <v>319</v>
      </c>
      <c r="AT75" t="s">
        <v>240</v>
      </c>
      <c r="AU75" t="s">
        <v>311</v>
      </c>
      <c r="AV75">
        <v>8.4</v>
      </c>
    </row>
    <row r="76" spans="15:48" x14ac:dyDescent="0.25">
      <c r="AN76" t="s">
        <v>80</v>
      </c>
      <c r="AO76" t="s">
        <v>60</v>
      </c>
      <c r="AP76">
        <v>2004</v>
      </c>
      <c r="AQ76" t="s">
        <v>62</v>
      </c>
      <c r="AR76" t="s">
        <v>306</v>
      </c>
      <c r="AS76" t="s">
        <v>319</v>
      </c>
      <c r="AT76" t="s">
        <v>240</v>
      </c>
      <c r="AU76" t="s">
        <v>268</v>
      </c>
      <c r="AV76">
        <v>12</v>
      </c>
    </row>
    <row r="77" spans="15:48" x14ac:dyDescent="0.25">
      <c r="AN77" t="s">
        <v>80</v>
      </c>
      <c r="AO77" t="s">
        <v>60</v>
      </c>
      <c r="AP77">
        <v>2004</v>
      </c>
      <c r="AQ77" t="s">
        <v>62</v>
      </c>
      <c r="AR77" t="s">
        <v>306</v>
      </c>
      <c r="AS77" t="s">
        <v>319</v>
      </c>
      <c r="AT77" t="s">
        <v>316</v>
      </c>
      <c r="AU77" t="s">
        <v>310</v>
      </c>
      <c r="AV77">
        <v>3.7</v>
      </c>
    </row>
    <row r="78" spans="15:48" x14ac:dyDescent="0.25">
      <c r="AN78" t="s">
        <v>80</v>
      </c>
      <c r="AO78" t="s">
        <v>60</v>
      </c>
      <c r="AP78">
        <v>2004</v>
      </c>
      <c r="AQ78" t="s">
        <v>62</v>
      </c>
      <c r="AR78" t="s">
        <v>306</v>
      </c>
      <c r="AS78" t="s">
        <v>319</v>
      </c>
      <c r="AT78" t="s">
        <v>316</v>
      </c>
      <c r="AU78" t="s">
        <v>311</v>
      </c>
      <c r="AV78">
        <v>8.4499999999999993</v>
      </c>
    </row>
    <row r="79" spans="15:48" x14ac:dyDescent="0.25">
      <c r="AN79" t="s">
        <v>80</v>
      </c>
      <c r="AO79" t="s">
        <v>60</v>
      </c>
      <c r="AP79">
        <v>2004</v>
      </c>
      <c r="AQ79" t="s">
        <v>62</v>
      </c>
      <c r="AR79" t="s">
        <v>306</v>
      </c>
      <c r="AS79" t="s">
        <v>319</v>
      </c>
      <c r="AT79" t="s">
        <v>316</v>
      </c>
      <c r="AU79" t="s">
        <v>268</v>
      </c>
      <c r="AV79">
        <v>12.15</v>
      </c>
    </row>
    <row r="80" spans="15:48" x14ac:dyDescent="0.25">
      <c r="AN80" t="s">
        <v>80</v>
      </c>
      <c r="AO80" t="s">
        <v>60</v>
      </c>
      <c r="AP80">
        <v>2004</v>
      </c>
      <c r="AQ80" t="s">
        <v>62</v>
      </c>
      <c r="AR80" t="s">
        <v>306</v>
      </c>
      <c r="AS80" t="s">
        <v>319</v>
      </c>
      <c r="AT80" t="s">
        <v>242</v>
      </c>
      <c r="AU80" t="s">
        <v>310</v>
      </c>
      <c r="AV80">
        <v>3</v>
      </c>
    </row>
    <row r="81" spans="40:48" x14ac:dyDescent="0.25">
      <c r="AN81" t="s">
        <v>80</v>
      </c>
      <c r="AO81" t="s">
        <v>60</v>
      </c>
      <c r="AP81">
        <v>2004</v>
      </c>
      <c r="AQ81" t="s">
        <v>62</v>
      </c>
      <c r="AR81" t="s">
        <v>306</v>
      </c>
      <c r="AS81" t="s">
        <v>319</v>
      </c>
      <c r="AT81" t="s">
        <v>242</v>
      </c>
      <c r="AU81" t="s">
        <v>311</v>
      </c>
      <c r="AV81">
        <v>7.6</v>
      </c>
    </row>
    <row r="82" spans="40:48" x14ac:dyDescent="0.25">
      <c r="AN82" t="s">
        <v>80</v>
      </c>
      <c r="AO82" t="s">
        <v>60</v>
      </c>
      <c r="AP82">
        <v>2004</v>
      </c>
      <c r="AQ82" t="s">
        <v>62</v>
      </c>
      <c r="AR82" t="s">
        <v>306</v>
      </c>
      <c r="AS82" t="s">
        <v>319</v>
      </c>
      <c r="AT82" t="s">
        <v>242</v>
      </c>
      <c r="AU82" t="s">
        <v>268</v>
      </c>
      <c r="AV82">
        <v>10.6</v>
      </c>
    </row>
    <row r="83" spans="40:48" x14ac:dyDescent="0.25">
      <c r="AN83" t="s">
        <v>80</v>
      </c>
      <c r="AO83" t="s">
        <v>60</v>
      </c>
      <c r="AP83">
        <v>2004</v>
      </c>
      <c r="AQ83" t="s">
        <v>62</v>
      </c>
      <c r="AR83" t="s">
        <v>306</v>
      </c>
      <c r="AS83" t="s">
        <v>319</v>
      </c>
      <c r="AT83" t="s">
        <v>243</v>
      </c>
      <c r="AU83" t="s">
        <v>247</v>
      </c>
      <c r="AV83">
        <v>21.4</v>
      </c>
    </row>
    <row r="84" spans="40:48" x14ac:dyDescent="0.25">
      <c r="AN84" t="s">
        <v>80</v>
      </c>
      <c r="AO84" t="s">
        <v>60</v>
      </c>
      <c r="AP84">
        <v>2004</v>
      </c>
      <c r="AQ84" t="s">
        <v>62</v>
      </c>
      <c r="AR84" t="s">
        <v>306</v>
      </c>
      <c r="AS84" t="s">
        <v>319</v>
      </c>
      <c r="AT84" t="s">
        <v>243</v>
      </c>
      <c r="AU84" t="s">
        <v>248</v>
      </c>
      <c r="AV84">
        <v>47.4</v>
      </c>
    </row>
    <row r="85" spans="40:48" x14ac:dyDescent="0.25">
      <c r="AN85" t="s">
        <v>80</v>
      </c>
      <c r="AO85" t="s">
        <v>60</v>
      </c>
      <c r="AP85">
        <v>2004</v>
      </c>
      <c r="AQ85" t="s">
        <v>62</v>
      </c>
      <c r="AR85" t="s">
        <v>306</v>
      </c>
      <c r="AS85" t="s">
        <v>319</v>
      </c>
      <c r="AT85" t="s">
        <v>243</v>
      </c>
      <c r="AU85" t="s">
        <v>314</v>
      </c>
      <c r="AV85">
        <v>68.8</v>
      </c>
    </row>
    <row r="86" spans="40:48" x14ac:dyDescent="0.25">
      <c r="AN86" t="s">
        <v>77</v>
      </c>
      <c r="AO86" t="s">
        <v>60</v>
      </c>
      <c r="AP86">
        <v>2002</v>
      </c>
      <c r="AQ86" t="s">
        <v>79</v>
      </c>
      <c r="AR86" t="s">
        <v>306</v>
      </c>
      <c r="AS86" t="s">
        <v>319</v>
      </c>
      <c r="AT86" t="s">
        <v>218</v>
      </c>
      <c r="AU86" t="s">
        <v>310</v>
      </c>
      <c r="AV86">
        <v>4.2</v>
      </c>
    </row>
    <row r="87" spans="40:48" x14ac:dyDescent="0.25">
      <c r="AN87" t="s">
        <v>77</v>
      </c>
      <c r="AO87" t="s">
        <v>60</v>
      </c>
      <c r="AP87">
        <v>2002</v>
      </c>
      <c r="AQ87" t="s">
        <v>79</v>
      </c>
      <c r="AR87" t="s">
        <v>306</v>
      </c>
      <c r="AS87" t="s">
        <v>319</v>
      </c>
      <c r="AT87" t="s">
        <v>218</v>
      </c>
      <c r="AU87" t="s">
        <v>311</v>
      </c>
      <c r="AV87">
        <v>6.3</v>
      </c>
    </row>
    <row r="88" spans="40:48" x14ac:dyDescent="0.25">
      <c r="AN88" t="s">
        <v>77</v>
      </c>
      <c r="AO88" t="s">
        <v>60</v>
      </c>
      <c r="AP88">
        <v>2002</v>
      </c>
      <c r="AQ88" t="s">
        <v>79</v>
      </c>
      <c r="AR88" t="s">
        <v>306</v>
      </c>
      <c r="AS88" t="s">
        <v>319</v>
      </c>
      <c r="AT88" t="s">
        <v>218</v>
      </c>
      <c r="AU88" t="s">
        <v>268</v>
      </c>
      <c r="AV88">
        <v>10.5</v>
      </c>
    </row>
    <row r="89" spans="40:48" x14ac:dyDescent="0.25">
      <c r="AN89" t="s">
        <v>77</v>
      </c>
      <c r="AO89" t="s">
        <v>60</v>
      </c>
      <c r="AP89">
        <v>2002</v>
      </c>
      <c r="AQ89" t="s">
        <v>79</v>
      </c>
      <c r="AR89" t="s">
        <v>306</v>
      </c>
      <c r="AS89" t="s">
        <v>319</v>
      </c>
      <c r="AT89" t="s">
        <v>238</v>
      </c>
      <c r="AU89" t="s">
        <v>310</v>
      </c>
      <c r="AV89">
        <v>3.9</v>
      </c>
    </row>
    <row r="90" spans="40:48" x14ac:dyDescent="0.25">
      <c r="AN90" t="s">
        <v>77</v>
      </c>
      <c r="AO90" t="s">
        <v>60</v>
      </c>
      <c r="AP90">
        <v>2002</v>
      </c>
      <c r="AQ90" t="s">
        <v>79</v>
      </c>
      <c r="AR90" t="s">
        <v>306</v>
      </c>
      <c r="AS90" t="s">
        <v>319</v>
      </c>
      <c r="AT90" t="s">
        <v>238</v>
      </c>
      <c r="AU90" t="s">
        <v>311</v>
      </c>
      <c r="AV90">
        <v>7.8</v>
      </c>
    </row>
    <row r="91" spans="40:48" x14ac:dyDescent="0.25">
      <c r="AN91" t="s">
        <v>77</v>
      </c>
      <c r="AO91" t="s">
        <v>60</v>
      </c>
      <c r="AP91">
        <v>2002</v>
      </c>
      <c r="AQ91" t="s">
        <v>79</v>
      </c>
      <c r="AR91" t="s">
        <v>306</v>
      </c>
      <c r="AS91" t="s">
        <v>319</v>
      </c>
      <c r="AT91" t="s">
        <v>238</v>
      </c>
      <c r="AU91" t="s">
        <v>268</v>
      </c>
      <c r="AV91">
        <v>11.7</v>
      </c>
    </row>
    <row r="92" spans="40:48" x14ac:dyDescent="0.25">
      <c r="AN92" t="s">
        <v>77</v>
      </c>
      <c r="AO92" t="s">
        <v>60</v>
      </c>
      <c r="AP92">
        <v>2002</v>
      </c>
      <c r="AQ92" t="s">
        <v>79</v>
      </c>
      <c r="AR92" t="s">
        <v>306</v>
      </c>
      <c r="AS92" t="s">
        <v>319</v>
      </c>
      <c r="AT92" t="s">
        <v>239</v>
      </c>
      <c r="AU92" t="s">
        <v>310</v>
      </c>
      <c r="AV92">
        <v>4</v>
      </c>
    </row>
    <row r="93" spans="40:48" x14ac:dyDescent="0.25">
      <c r="AN93" t="s">
        <v>77</v>
      </c>
      <c r="AO93" t="s">
        <v>60</v>
      </c>
      <c r="AP93">
        <v>2002</v>
      </c>
      <c r="AQ93" t="s">
        <v>79</v>
      </c>
      <c r="AR93" t="s">
        <v>306</v>
      </c>
      <c r="AS93" t="s">
        <v>319</v>
      </c>
      <c r="AT93" t="s">
        <v>239</v>
      </c>
      <c r="AU93" t="s">
        <v>311</v>
      </c>
      <c r="AV93">
        <v>7.3</v>
      </c>
    </row>
    <row r="94" spans="40:48" x14ac:dyDescent="0.25">
      <c r="AN94" t="s">
        <v>77</v>
      </c>
      <c r="AO94" t="s">
        <v>60</v>
      </c>
      <c r="AP94">
        <v>2002</v>
      </c>
      <c r="AQ94" t="s">
        <v>79</v>
      </c>
      <c r="AR94" t="s">
        <v>306</v>
      </c>
      <c r="AS94" t="s">
        <v>319</v>
      </c>
      <c r="AT94" t="s">
        <v>239</v>
      </c>
      <c r="AU94" t="s">
        <v>268</v>
      </c>
      <c r="AV94">
        <v>11.3</v>
      </c>
    </row>
    <row r="95" spans="40:48" x14ac:dyDescent="0.25">
      <c r="AN95" t="s">
        <v>77</v>
      </c>
      <c r="AO95" t="s">
        <v>60</v>
      </c>
      <c r="AP95">
        <v>2002</v>
      </c>
      <c r="AQ95" t="s">
        <v>79</v>
      </c>
      <c r="AR95" t="s">
        <v>306</v>
      </c>
      <c r="AS95" t="s">
        <v>319</v>
      </c>
      <c r="AT95" t="s">
        <v>240</v>
      </c>
      <c r="AU95" t="s">
        <v>310</v>
      </c>
      <c r="AV95">
        <v>3.6</v>
      </c>
    </row>
    <row r="96" spans="40:48" x14ac:dyDescent="0.25">
      <c r="AN96" t="s">
        <v>77</v>
      </c>
      <c r="AO96" t="s">
        <v>60</v>
      </c>
      <c r="AP96">
        <v>2002</v>
      </c>
      <c r="AQ96" t="s">
        <v>79</v>
      </c>
      <c r="AR96" t="s">
        <v>306</v>
      </c>
      <c r="AS96" t="s">
        <v>319</v>
      </c>
      <c r="AT96" t="s">
        <v>240</v>
      </c>
      <c r="AU96" t="s">
        <v>311</v>
      </c>
      <c r="AV96">
        <v>7.8</v>
      </c>
    </row>
    <row r="97" spans="40:48" x14ac:dyDescent="0.25">
      <c r="AN97" t="s">
        <v>77</v>
      </c>
      <c r="AO97" t="s">
        <v>60</v>
      </c>
      <c r="AP97">
        <v>2002</v>
      </c>
      <c r="AQ97" t="s">
        <v>79</v>
      </c>
      <c r="AR97" t="s">
        <v>306</v>
      </c>
      <c r="AS97" t="s">
        <v>319</v>
      </c>
      <c r="AT97" t="s">
        <v>240</v>
      </c>
      <c r="AU97" t="s">
        <v>268</v>
      </c>
      <c r="AV97">
        <v>11.4</v>
      </c>
    </row>
    <row r="98" spans="40:48" x14ac:dyDescent="0.25">
      <c r="AN98" t="s">
        <v>77</v>
      </c>
      <c r="AO98" t="s">
        <v>60</v>
      </c>
      <c r="AP98">
        <v>2002</v>
      </c>
      <c r="AQ98" t="s">
        <v>79</v>
      </c>
      <c r="AR98" t="s">
        <v>306</v>
      </c>
      <c r="AS98" t="s">
        <v>319</v>
      </c>
      <c r="AT98" t="s">
        <v>316</v>
      </c>
      <c r="AU98" t="s">
        <v>310</v>
      </c>
      <c r="AV98">
        <v>4</v>
      </c>
    </row>
    <row r="99" spans="40:48" x14ac:dyDescent="0.25">
      <c r="AN99" t="s">
        <v>77</v>
      </c>
      <c r="AO99" t="s">
        <v>60</v>
      </c>
      <c r="AP99">
        <v>2002</v>
      </c>
      <c r="AQ99" t="s">
        <v>79</v>
      </c>
      <c r="AR99" t="s">
        <v>306</v>
      </c>
      <c r="AS99" t="s">
        <v>319</v>
      </c>
      <c r="AT99" t="s">
        <v>316</v>
      </c>
      <c r="AU99" t="s">
        <v>311</v>
      </c>
      <c r="AV99">
        <v>8.15</v>
      </c>
    </row>
    <row r="100" spans="40:48" x14ac:dyDescent="0.25">
      <c r="AN100" t="s">
        <v>77</v>
      </c>
      <c r="AO100" t="s">
        <v>60</v>
      </c>
      <c r="AP100">
        <v>2002</v>
      </c>
      <c r="AQ100" t="s">
        <v>79</v>
      </c>
      <c r="AR100" t="s">
        <v>306</v>
      </c>
      <c r="AS100" t="s">
        <v>319</v>
      </c>
      <c r="AT100" t="s">
        <v>316</v>
      </c>
      <c r="AU100" t="s">
        <v>268</v>
      </c>
      <c r="AV100">
        <v>12.15</v>
      </c>
    </row>
    <row r="101" spans="40:48" x14ac:dyDescent="0.25">
      <c r="AN101" t="s">
        <v>77</v>
      </c>
      <c r="AO101" t="s">
        <v>60</v>
      </c>
      <c r="AP101">
        <v>2002</v>
      </c>
      <c r="AQ101" t="s">
        <v>79</v>
      </c>
      <c r="AR101" t="s">
        <v>306</v>
      </c>
      <c r="AS101" t="s">
        <v>319</v>
      </c>
      <c r="AT101" t="s">
        <v>242</v>
      </c>
      <c r="AU101" t="s">
        <v>310</v>
      </c>
      <c r="AV101">
        <v>3</v>
      </c>
    </row>
    <row r="102" spans="40:48" x14ac:dyDescent="0.25">
      <c r="AN102" t="s">
        <v>77</v>
      </c>
      <c r="AO102" t="s">
        <v>60</v>
      </c>
      <c r="AP102">
        <v>2002</v>
      </c>
      <c r="AQ102" t="s">
        <v>79</v>
      </c>
      <c r="AR102" t="s">
        <v>306</v>
      </c>
      <c r="AS102" t="s">
        <v>319</v>
      </c>
      <c r="AT102" t="s">
        <v>242</v>
      </c>
      <c r="AU102" t="s">
        <v>311</v>
      </c>
      <c r="AV102">
        <v>7.2</v>
      </c>
    </row>
    <row r="103" spans="40:48" x14ac:dyDescent="0.25">
      <c r="AN103" t="s">
        <v>77</v>
      </c>
      <c r="AO103" t="s">
        <v>60</v>
      </c>
      <c r="AP103">
        <v>2002</v>
      </c>
      <c r="AQ103" t="s">
        <v>79</v>
      </c>
      <c r="AR103" t="s">
        <v>306</v>
      </c>
      <c r="AS103" t="s">
        <v>319</v>
      </c>
      <c r="AT103" t="s">
        <v>242</v>
      </c>
      <c r="AU103" t="s">
        <v>268</v>
      </c>
      <c r="AV103">
        <v>10.199999999999999</v>
      </c>
    </row>
    <row r="104" spans="40:48" x14ac:dyDescent="0.25">
      <c r="AN104" t="s">
        <v>77</v>
      </c>
      <c r="AO104" t="s">
        <v>60</v>
      </c>
      <c r="AP104">
        <v>2002</v>
      </c>
      <c r="AQ104" t="s">
        <v>79</v>
      </c>
      <c r="AR104" t="s">
        <v>306</v>
      </c>
      <c r="AS104" t="s">
        <v>319</v>
      </c>
      <c r="AT104" t="s">
        <v>243</v>
      </c>
      <c r="AU104" t="s">
        <v>247</v>
      </c>
      <c r="AV104">
        <v>22.7</v>
      </c>
    </row>
    <row r="105" spans="40:48" x14ac:dyDescent="0.25">
      <c r="AN105" t="s">
        <v>77</v>
      </c>
      <c r="AO105" t="s">
        <v>60</v>
      </c>
      <c r="AP105">
        <v>2002</v>
      </c>
      <c r="AQ105" t="s">
        <v>79</v>
      </c>
      <c r="AR105" t="s">
        <v>306</v>
      </c>
      <c r="AS105" t="s">
        <v>319</v>
      </c>
      <c r="AT105" t="s">
        <v>243</v>
      </c>
      <c r="AU105" t="s">
        <v>248</v>
      </c>
      <c r="AV105">
        <v>44.550000000000004</v>
      </c>
    </row>
    <row r="106" spans="40:48" x14ac:dyDescent="0.25">
      <c r="AN106" t="s">
        <v>77</v>
      </c>
      <c r="AO106" t="s">
        <v>60</v>
      </c>
      <c r="AP106">
        <v>2002</v>
      </c>
      <c r="AQ106" t="s">
        <v>79</v>
      </c>
      <c r="AR106" t="s">
        <v>306</v>
      </c>
      <c r="AS106" t="s">
        <v>319</v>
      </c>
      <c r="AT106" t="s">
        <v>243</v>
      </c>
      <c r="AU106" t="s">
        <v>314</v>
      </c>
      <c r="AV106">
        <v>67.25</v>
      </c>
    </row>
    <row r="107" spans="40:48" x14ac:dyDescent="0.25">
      <c r="AN107" t="s">
        <v>73</v>
      </c>
      <c r="AO107" t="s">
        <v>60</v>
      </c>
      <c r="AP107">
        <v>2001</v>
      </c>
      <c r="AQ107" t="s">
        <v>62</v>
      </c>
      <c r="AR107" t="s">
        <v>306</v>
      </c>
      <c r="AS107" t="s">
        <v>319</v>
      </c>
      <c r="AT107" t="s">
        <v>218</v>
      </c>
      <c r="AU107" t="s">
        <v>310</v>
      </c>
      <c r="AV107">
        <v>4.7</v>
      </c>
    </row>
    <row r="108" spans="40:48" x14ac:dyDescent="0.25">
      <c r="AN108" t="s">
        <v>73</v>
      </c>
      <c r="AO108" t="s">
        <v>60</v>
      </c>
      <c r="AP108">
        <v>2001</v>
      </c>
      <c r="AQ108" t="s">
        <v>62</v>
      </c>
      <c r="AR108" t="s">
        <v>306</v>
      </c>
      <c r="AS108" t="s">
        <v>319</v>
      </c>
      <c r="AT108" t="s">
        <v>218</v>
      </c>
      <c r="AU108" t="s">
        <v>311</v>
      </c>
      <c r="AV108">
        <v>8.1</v>
      </c>
    </row>
    <row r="109" spans="40:48" x14ac:dyDescent="0.25">
      <c r="AN109" t="s">
        <v>73</v>
      </c>
      <c r="AO109" t="s">
        <v>60</v>
      </c>
      <c r="AP109">
        <v>2001</v>
      </c>
      <c r="AQ109" t="s">
        <v>62</v>
      </c>
      <c r="AR109" t="s">
        <v>306</v>
      </c>
      <c r="AS109" t="s">
        <v>319</v>
      </c>
      <c r="AT109" t="s">
        <v>218</v>
      </c>
      <c r="AU109" t="s">
        <v>268</v>
      </c>
      <c r="AV109">
        <v>12.8</v>
      </c>
    </row>
    <row r="110" spans="40:48" x14ac:dyDescent="0.25">
      <c r="AN110" t="s">
        <v>73</v>
      </c>
      <c r="AO110" t="s">
        <v>60</v>
      </c>
      <c r="AP110">
        <v>2001</v>
      </c>
      <c r="AQ110" t="s">
        <v>62</v>
      </c>
      <c r="AR110" t="s">
        <v>306</v>
      </c>
      <c r="AS110" t="s">
        <v>319</v>
      </c>
      <c r="AT110" t="s">
        <v>238</v>
      </c>
      <c r="AU110" t="s">
        <v>310</v>
      </c>
      <c r="AV110">
        <v>3</v>
      </c>
    </row>
    <row r="111" spans="40:48" x14ac:dyDescent="0.25">
      <c r="AN111" t="s">
        <v>73</v>
      </c>
      <c r="AO111" t="s">
        <v>60</v>
      </c>
      <c r="AP111">
        <v>2001</v>
      </c>
      <c r="AQ111" t="s">
        <v>62</v>
      </c>
      <c r="AR111" t="s">
        <v>306</v>
      </c>
      <c r="AS111" t="s">
        <v>319</v>
      </c>
      <c r="AT111" t="s">
        <v>238</v>
      </c>
      <c r="AU111" t="s">
        <v>311</v>
      </c>
      <c r="AV111">
        <v>6.3</v>
      </c>
    </row>
    <row r="112" spans="40:48" x14ac:dyDescent="0.25">
      <c r="AN112" t="s">
        <v>73</v>
      </c>
      <c r="AO112" t="s">
        <v>60</v>
      </c>
      <c r="AP112">
        <v>2001</v>
      </c>
      <c r="AQ112" t="s">
        <v>62</v>
      </c>
      <c r="AR112" t="s">
        <v>306</v>
      </c>
      <c r="AS112" t="s">
        <v>319</v>
      </c>
      <c r="AT112" t="s">
        <v>238</v>
      </c>
      <c r="AU112" t="s">
        <v>268</v>
      </c>
      <c r="AV112">
        <v>9.3000000000000007</v>
      </c>
    </row>
    <row r="113" spans="40:48" x14ac:dyDescent="0.25">
      <c r="AN113" t="s">
        <v>73</v>
      </c>
      <c r="AO113" t="s">
        <v>60</v>
      </c>
      <c r="AP113">
        <v>2001</v>
      </c>
      <c r="AQ113" t="s">
        <v>62</v>
      </c>
      <c r="AR113" t="s">
        <v>306</v>
      </c>
      <c r="AS113" t="s">
        <v>319</v>
      </c>
      <c r="AT113" t="s">
        <v>239</v>
      </c>
      <c r="AU113" t="s">
        <v>310</v>
      </c>
      <c r="AV113">
        <v>2.7</v>
      </c>
    </row>
    <row r="114" spans="40:48" x14ac:dyDescent="0.25">
      <c r="AN114" t="s">
        <v>73</v>
      </c>
      <c r="AO114" t="s">
        <v>60</v>
      </c>
      <c r="AP114">
        <v>2001</v>
      </c>
      <c r="AQ114" t="s">
        <v>62</v>
      </c>
      <c r="AR114" t="s">
        <v>306</v>
      </c>
      <c r="AS114" t="s">
        <v>319</v>
      </c>
      <c r="AT114" t="s">
        <v>239</v>
      </c>
      <c r="AU114" t="s">
        <v>311</v>
      </c>
      <c r="AV114">
        <v>7.7</v>
      </c>
    </row>
    <row r="115" spans="40:48" x14ac:dyDescent="0.25">
      <c r="AN115" t="s">
        <v>73</v>
      </c>
      <c r="AO115" t="s">
        <v>60</v>
      </c>
      <c r="AP115">
        <v>2001</v>
      </c>
      <c r="AQ115" t="s">
        <v>62</v>
      </c>
      <c r="AR115" t="s">
        <v>306</v>
      </c>
      <c r="AS115" t="s">
        <v>319</v>
      </c>
      <c r="AT115" t="s">
        <v>239</v>
      </c>
      <c r="AU115" t="s">
        <v>268</v>
      </c>
      <c r="AV115">
        <v>10.4</v>
      </c>
    </row>
    <row r="116" spans="40:48" x14ac:dyDescent="0.25">
      <c r="AN116" t="s">
        <v>73</v>
      </c>
      <c r="AO116" t="s">
        <v>60</v>
      </c>
      <c r="AP116">
        <v>2001</v>
      </c>
      <c r="AQ116" t="s">
        <v>62</v>
      </c>
      <c r="AR116" t="s">
        <v>306</v>
      </c>
      <c r="AS116" t="s">
        <v>319</v>
      </c>
      <c r="AT116" t="s">
        <v>240</v>
      </c>
      <c r="AU116" t="s">
        <v>310</v>
      </c>
      <c r="AV116">
        <v>4</v>
      </c>
    </row>
    <row r="117" spans="40:48" x14ac:dyDescent="0.25">
      <c r="AN117" t="s">
        <v>73</v>
      </c>
      <c r="AO117" t="s">
        <v>60</v>
      </c>
      <c r="AP117">
        <v>2001</v>
      </c>
      <c r="AQ117" t="s">
        <v>62</v>
      </c>
      <c r="AR117" t="s">
        <v>306</v>
      </c>
      <c r="AS117" t="s">
        <v>319</v>
      </c>
      <c r="AT117" t="s">
        <v>240</v>
      </c>
      <c r="AU117" t="s">
        <v>311</v>
      </c>
      <c r="AV117">
        <v>8.6</v>
      </c>
    </row>
    <row r="118" spans="40:48" x14ac:dyDescent="0.25">
      <c r="AN118" t="s">
        <v>73</v>
      </c>
      <c r="AO118" t="s">
        <v>60</v>
      </c>
      <c r="AP118">
        <v>2001</v>
      </c>
      <c r="AQ118" t="s">
        <v>62</v>
      </c>
      <c r="AR118" t="s">
        <v>306</v>
      </c>
      <c r="AS118" t="s">
        <v>319</v>
      </c>
      <c r="AT118" t="s">
        <v>240</v>
      </c>
      <c r="AU118" t="s">
        <v>268</v>
      </c>
      <c r="AV118">
        <v>12.6</v>
      </c>
    </row>
    <row r="119" spans="40:48" x14ac:dyDescent="0.25">
      <c r="AN119" t="s">
        <v>73</v>
      </c>
      <c r="AO119" t="s">
        <v>60</v>
      </c>
      <c r="AP119">
        <v>2001</v>
      </c>
      <c r="AQ119" t="s">
        <v>62</v>
      </c>
      <c r="AR119" t="s">
        <v>306</v>
      </c>
      <c r="AS119" t="s">
        <v>319</v>
      </c>
      <c r="AT119" t="s">
        <v>316</v>
      </c>
      <c r="AU119" t="s">
        <v>310</v>
      </c>
      <c r="AV119">
        <v>3.5</v>
      </c>
    </row>
    <row r="120" spans="40:48" x14ac:dyDescent="0.25">
      <c r="AN120" t="s">
        <v>73</v>
      </c>
      <c r="AO120" t="s">
        <v>60</v>
      </c>
      <c r="AP120">
        <v>2001</v>
      </c>
      <c r="AQ120" t="s">
        <v>62</v>
      </c>
      <c r="AR120" t="s">
        <v>306</v>
      </c>
      <c r="AS120" t="s">
        <v>319</v>
      </c>
      <c r="AT120" t="s">
        <v>316</v>
      </c>
      <c r="AU120" t="s">
        <v>311</v>
      </c>
      <c r="AV120">
        <v>8</v>
      </c>
    </row>
    <row r="121" spans="40:48" x14ac:dyDescent="0.25">
      <c r="AN121" t="s">
        <v>73</v>
      </c>
      <c r="AO121" t="s">
        <v>60</v>
      </c>
      <c r="AP121">
        <v>2001</v>
      </c>
      <c r="AQ121" t="s">
        <v>62</v>
      </c>
      <c r="AR121" t="s">
        <v>306</v>
      </c>
      <c r="AS121" t="s">
        <v>319</v>
      </c>
      <c r="AT121" t="s">
        <v>316</v>
      </c>
      <c r="AU121" t="s">
        <v>268</v>
      </c>
      <c r="AV121">
        <v>11.5</v>
      </c>
    </row>
    <row r="122" spans="40:48" x14ac:dyDescent="0.25">
      <c r="AN122" t="s">
        <v>73</v>
      </c>
      <c r="AO122" t="s">
        <v>60</v>
      </c>
      <c r="AP122">
        <v>2001</v>
      </c>
      <c r="AQ122" t="s">
        <v>62</v>
      </c>
      <c r="AR122" t="s">
        <v>306</v>
      </c>
      <c r="AS122" t="s">
        <v>319</v>
      </c>
      <c r="AT122" t="s">
        <v>242</v>
      </c>
      <c r="AU122" t="s">
        <v>310</v>
      </c>
      <c r="AV122">
        <v>3.1</v>
      </c>
    </row>
    <row r="123" spans="40:48" x14ac:dyDescent="0.25">
      <c r="AN123" t="s">
        <v>73</v>
      </c>
      <c r="AO123" t="s">
        <v>60</v>
      </c>
      <c r="AP123">
        <v>2001</v>
      </c>
      <c r="AQ123" t="s">
        <v>62</v>
      </c>
      <c r="AR123" t="s">
        <v>306</v>
      </c>
      <c r="AS123" t="s">
        <v>319</v>
      </c>
      <c r="AT123" t="s">
        <v>242</v>
      </c>
      <c r="AU123" t="s">
        <v>311</v>
      </c>
      <c r="AV123">
        <v>7.3</v>
      </c>
    </row>
    <row r="124" spans="40:48" x14ac:dyDescent="0.25">
      <c r="AN124" t="s">
        <v>73</v>
      </c>
      <c r="AO124" t="s">
        <v>60</v>
      </c>
      <c r="AP124">
        <v>2001</v>
      </c>
      <c r="AQ124" t="s">
        <v>62</v>
      </c>
      <c r="AR124" t="s">
        <v>306</v>
      </c>
      <c r="AS124" t="s">
        <v>319</v>
      </c>
      <c r="AT124" t="s">
        <v>242</v>
      </c>
      <c r="AU124" t="s">
        <v>268</v>
      </c>
      <c r="AV124">
        <v>10.4</v>
      </c>
    </row>
    <row r="125" spans="40:48" x14ac:dyDescent="0.25">
      <c r="AN125" t="s">
        <v>73</v>
      </c>
      <c r="AO125" t="s">
        <v>60</v>
      </c>
      <c r="AP125">
        <v>2001</v>
      </c>
      <c r="AQ125" t="s">
        <v>62</v>
      </c>
      <c r="AR125" t="s">
        <v>306</v>
      </c>
      <c r="AS125" t="s">
        <v>319</v>
      </c>
      <c r="AT125" t="s">
        <v>243</v>
      </c>
      <c r="AU125" t="s">
        <v>247</v>
      </c>
      <c r="AV125">
        <v>21</v>
      </c>
    </row>
    <row r="126" spans="40:48" x14ac:dyDescent="0.25">
      <c r="AN126" t="s">
        <v>73</v>
      </c>
      <c r="AO126" t="s">
        <v>60</v>
      </c>
      <c r="AP126">
        <v>2001</v>
      </c>
      <c r="AQ126" t="s">
        <v>62</v>
      </c>
      <c r="AR126" t="s">
        <v>306</v>
      </c>
      <c r="AS126" t="s">
        <v>319</v>
      </c>
      <c r="AT126" t="s">
        <v>243</v>
      </c>
      <c r="AU126" t="s">
        <v>248</v>
      </c>
      <c r="AV126">
        <v>45.999999999999993</v>
      </c>
    </row>
    <row r="127" spans="40:48" x14ac:dyDescent="0.25">
      <c r="AN127" t="s">
        <v>73</v>
      </c>
      <c r="AO127" t="s">
        <v>60</v>
      </c>
      <c r="AP127">
        <v>2001</v>
      </c>
      <c r="AQ127" t="s">
        <v>62</v>
      </c>
      <c r="AR127" t="s">
        <v>306</v>
      </c>
      <c r="AS127" t="s">
        <v>319</v>
      </c>
      <c r="AT127" t="s">
        <v>243</v>
      </c>
      <c r="AU127" t="s">
        <v>314</v>
      </c>
      <c r="AV127">
        <v>67</v>
      </c>
    </row>
    <row r="128" spans="40:48" x14ac:dyDescent="0.25">
      <c r="AN128" t="s">
        <v>84</v>
      </c>
      <c r="AO128" t="s">
        <v>60</v>
      </c>
      <c r="AP128">
        <v>2004</v>
      </c>
      <c r="AQ128" t="s">
        <v>39</v>
      </c>
      <c r="AR128" t="s">
        <v>306</v>
      </c>
      <c r="AS128" t="s">
        <v>319</v>
      </c>
      <c r="AT128" t="s">
        <v>218</v>
      </c>
      <c r="AU128" t="s">
        <v>310</v>
      </c>
      <c r="AV128">
        <v>4.5</v>
      </c>
    </row>
    <row r="129" spans="40:48" x14ac:dyDescent="0.25">
      <c r="AN129" t="s">
        <v>84</v>
      </c>
      <c r="AO129" t="s">
        <v>60</v>
      </c>
      <c r="AP129">
        <v>2004</v>
      </c>
      <c r="AQ129" t="s">
        <v>39</v>
      </c>
      <c r="AR129" t="s">
        <v>306</v>
      </c>
      <c r="AS129" t="s">
        <v>319</v>
      </c>
      <c r="AT129" t="s">
        <v>218</v>
      </c>
      <c r="AU129" t="s">
        <v>311</v>
      </c>
      <c r="AV129">
        <v>7.35</v>
      </c>
    </row>
    <row r="130" spans="40:48" x14ac:dyDescent="0.25">
      <c r="AN130" t="s">
        <v>84</v>
      </c>
      <c r="AO130" t="s">
        <v>60</v>
      </c>
      <c r="AP130">
        <v>2004</v>
      </c>
      <c r="AQ130" t="s">
        <v>39</v>
      </c>
      <c r="AR130" t="s">
        <v>306</v>
      </c>
      <c r="AS130" t="s">
        <v>319</v>
      </c>
      <c r="AT130" t="s">
        <v>218</v>
      </c>
      <c r="AU130" t="s">
        <v>268</v>
      </c>
      <c r="AV130">
        <v>11.85</v>
      </c>
    </row>
    <row r="131" spans="40:48" x14ac:dyDescent="0.25">
      <c r="AN131" t="s">
        <v>84</v>
      </c>
      <c r="AO131" t="s">
        <v>60</v>
      </c>
      <c r="AP131">
        <v>2004</v>
      </c>
      <c r="AQ131" t="s">
        <v>39</v>
      </c>
      <c r="AR131" t="s">
        <v>306</v>
      </c>
      <c r="AS131" t="s">
        <v>319</v>
      </c>
      <c r="AT131" t="s">
        <v>238</v>
      </c>
      <c r="AU131" t="s">
        <v>310</v>
      </c>
      <c r="AV131">
        <v>3.2</v>
      </c>
    </row>
    <row r="132" spans="40:48" x14ac:dyDescent="0.25">
      <c r="AN132" t="s">
        <v>84</v>
      </c>
      <c r="AO132" t="s">
        <v>60</v>
      </c>
      <c r="AP132">
        <v>2004</v>
      </c>
      <c r="AQ132" t="s">
        <v>39</v>
      </c>
      <c r="AR132" t="s">
        <v>306</v>
      </c>
      <c r="AS132" t="s">
        <v>319</v>
      </c>
      <c r="AT132" t="s">
        <v>238</v>
      </c>
      <c r="AU132" t="s">
        <v>311</v>
      </c>
      <c r="AV132">
        <v>6.1</v>
      </c>
    </row>
    <row r="133" spans="40:48" x14ac:dyDescent="0.25">
      <c r="AN133" t="s">
        <v>84</v>
      </c>
      <c r="AO133" t="s">
        <v>60</v>
      </c>
      <c r="AP133">
        <v>2004</v>
      </c>
      <c r="AQ133" t="s">
        <v>39</v>
      </c>
      <c r="AR133" t="s">
        <v>306</v>
      </c>
      <c r="AS133" t="s">
        <v>319</v>
      </c>
      <c r="AT133" t="s">
        <v>238</v>
      </c>
      <c r="AU133" t="s">
        <v>268</v>
      </c>
      <c r="AV133">
        <v>9.3000000000000007</v>
      </c>
    </row>
    <row r="134" spans="40:48" x14ac:dyDescent="0.25">
      <c r="AN134" t="s">
        <v>84</v>
      </c>
      <c r="AO134" t="s">
        <v>60</v>
      </c>
      <c r="AP134">
        <v>2004</v>
      </c>
      <c r="AQ134" t="s">
        <v>39</v>
      </c>
      <c r="AR134" t="s">
        <v>306</v>
      </c>
      <c r="AS134" t="s">
        <v>319</v>
      </c>
      <c r="AT134" t="s">
        <v>239</v>
      </c>
      <c r="AU134" t="s">
        <v>310</v>
      </c>
      <c r="AV134">
        <v>3.6</v>
      </c>
    </row>
    <row r="135" spans="40:48" x14ac:dyDescent="0.25">
      <c r="AN135" t="s">
        <v>84</v>
      </c>
      <c r="AO135" t="s">
        <v>60</v>
      </c>
      <c r="AP135">
        <v>2004</v>
      </c>
      <c r="AQ135" t="s">
        <v>39</v>
      </c>
      <c r="AR135" t="s">
        <v>306</v>
      </c>
      <c r="AS135" t="s">
        <v>319</v>
      </c>
      <c r="AT135" t="s">
        <v>239</v>
      </c>
      <c r="AU135" t="s">
        <v>311</v>
      </c>
      <c r="AV135">
        <v>7.5</v>
      </c>
    </row>
    <row r="136" spans="40:48" x14ac:dyDescent="0.25">
      <c r="AN136" t="s">
        <v>84</v>
      </c>
      <c r="AO136" t="s">
        <v>60</v>
      </c>
      <c r="AP136">
        <v>2004</v>
      </c>
      <c r="AQ136" t="s">
        <v>39</v>
      </c>
      <c r="AR136" t="s">
        <v>306</v>
      </c>
      <c r="AS136" t="s">
        <v>319</v>
      </c>
      <c r="AT136" t="s">
        <v>239</v>
      </c>
      <c r="AU136" t="s">
        <v>268</v>
      </c>
      <c r="AV136">
        <v>11.1</v>
      </c>
    </row>
    <row r="137" spans="40:48" x14ac:dyDescent="0.25">
      <c r="AN137" t="s">
        <v>84</v>
      </c>
      <c r="AO137" t="s">
        <v>60</v>
      </c>
      <c r="AP137">
        <v>2004</v>
      </c>
      <c r="AQ137" t="s">
        <v>39</v>
      </c>
      <c r="AR137" t="s">
        <v>306</v>
      </c>
      <c r="AS137" t="s">
        <v>319</v>
      </c>
      <c r="AT137" t="s">
        <v>240</v>
      </c>
      <c r="AU137" t="s">
        <v>310</v>
      </c>
      <c r="AV137">
        <v>3</v>
      </c>
    </row>
    <row r="138" spans="40:48" x14ac:dyDescent="0.25">
      <c r="AN138" t="s">
        <v>84</v>
      </c>
      <c r="AO138" t="s">
        <v>60</v>
      </c>
      <c r="AP138">
        <v>2004</v>
      </c>
      <c r="AQ138" t="s">
        <v>39</v>
      </c>
      <c r="AR138" t="s">
        <v>306</v>
      </c>
      <c r="AS138" t="s">
        <v>319</v>
      </c>
      <c r="AT138" t="s">
        <v>240</v>
      </c>
      <c r="AU138" t="s">
        <v>311</v>
      </c>
      <c r="AV138">
        <v>9.3000000000000007</v>
      </c>
    </row>
    <row r="139" spans="40:48" x14ac:dyDescent="0.25">
      <c r="AN139" t="s">
        <v>84</v>
      </c>
      <c r="AO139" t="s">
        <v>60</v>
      </c>
      <c r="AP139">
        <v>2004</v>
      </c>
      <c r="AQ139" t="s">
        <v>39</v>
      </c>
      <c r="AR139" t="s">
        <v>306</v>
      </c>
      <c r="AS139" t="s">
        <v>319</v>
      </c>
      <c r="AT139" t="s">
        <v>240</v>
      </c>
      <c r="AU139" t="s">
        <v>268</v>
      </c>
      <c r="AV139">
        <v>12.3</v>
      </c>
    </row>
    <row r="140" spans="40:48" x14ac:dyDescent="0.25">
      <c r="AN140" t="s">
        <v>84</v>
      </c>
      <c r="AO140" t="s">
        <v>60</v>
      </c>
      <c r="AP140">
        <v>2004</v>
      </c>
      <c r="AQ140" t="s">
        <v>39</v>
      </c>
      <c r="AR140" t="s">
        <v>306</v>
      </c>
      <c r="AS140" t="s">
        <v>319</v>
      </c>
      <c r="AT140" t="s">
        <v>316</v>
      </c>
      <c r="AU140" t="s">
        <v>310</v>
      </c>
      <c r="AV140">
        <v>3.7</v>
      </c>
    </row>
    <row r="141" spans="40:48" x14ac:dyDescent="0.25">
      <c r="AN141" t="s">
        <v>84</v>
      </c>
      <c r="AO141" t="s">
        <v>60</v>
      </c>
      <c r="AP141">
        <v>2004</v>
      </c>
      <c r="AQ141" t="s">
        <v>39</v>
      </c>
      <c r="AR141" t="s">
        <v>306</v>
      </c>
      <c r="AS141" t="s">
        <v>319</v>
      </c>
      <c r="AT141" t="s">
        <v>316</v>
      </c>
      <c r="AU141" t="s">
        <v>311</v>
      </c>
      <c r="AV141">
        <v>7.85</v>
      </c>
    </row>
    <row r="142" spans="40:48" x14ac:dyDescent="0.25">
      <c r="AN142" t="s">
        <v>84</v>
      </c>
      <c r="AO142" t="s">
        <v>60</v>
      </c>
      <c r="AP142">
        <v>2004</v>
      </c>
      <c r="AQ142" t="s">
        <v>39</v>
      </c>
      <c r="AR142" t="s">
        <v>306</v>
      </c>
      <c r="AS142" t="s">
        <v>319</v>
      </c>
      <c r="AT142" t="s">
        <v>316</v>
      </c>
      <c r="AU142" t="s">
        <v>268</v>
      </c>
      <c r="AV142">
        <v>11.55</v>
      </c>
    </row>
    <row r="143" spans="40:48" x14ac:dyDescent="0.25">
      <c r="AN143" t="s">
        <v>84</v>
      </c>
      <c r="AO143" t="s">
        <v>60</v>
      </c>
      <c r="AP143">
        <v>2004</v>
      </c>
      <c r="AQ143" t="s">
        <v>39</v>
      </c>
      <c r="AR143" t="s">
        <v>306</v>
      </c>
      <c r="AS143" t="s">
        <v>319</v>
      </c>
      <c r="AT143" t="s">
        <v>242</v>
      </c>
      <c r="AU143" t="s">
        <v>310</v>
      </c>
      <c r="AV143">
        <v>3.2</v>
      </c>
    </row>
    <row r="144" spans="40:48" x14ac:dyDescent="0.25">
      <c r="AN144" t="s">
        <v>84</v>
      </c>
      <c r="AO144" t="s">
        <v>60</v>
      </c>
      <c r="AP144">
        <v>2004</v>
      </c>
      <c r="AQ144" t="s">
        <v>39</v>
      </c>
      <c r="AR144" t="s">
        <v>306</v>
      </c>
      <c r="AS144" t="s">
        <v>319</v>
      </c>
      <c r="AT144" t="s">
        <v>242</v>
      </c>
      <c r="AU144" t="s">
        <v>311</v>
      </c>
      <c r="AV144">
        <v>7.2</v>
      </c>
    </row>
    <row r="145" spans="40:48" x14ac:dyDescent="0.25">
      <c r="AN145" t="s">
        <v>84</v>
      </c>
      <c r="AO145" t="s">
        <v>60</v>
      </c>
      <c r="AP145">
        <v>2004</v>
      </c>
      <c r="AQ145" t="s">
        <v>39</v>
      </c>
      <c r="AR145" t="s">
        <v>306</v>
      </c>
      <c r="AS145" t="s">
        <v>319</v>
      </c>
      <c r="AT145" t="s">
        <v>242</v>
      </c>
      <c r="AU145" t="s">
        <v>268</v>
      </c>
      <c r="AV145">
        <v>10.4</v>
      </c>
    </row>
    <row r="146" spans="40:48" x14ac:dyDescent="0.25">
      <c r="AN146" t="s">
        <v>84</v>
      </c>
      <c r="AO146" t="s">
        <v>60</v>
      </c>
      <c r="AP146">
        <v>2004</v>
      </c>
      <c r="AQ146" t="s">
        <v>39</v>
      </c>
      <c r="AR146" t="s">
        <v>306</v>
      </c>
      <c r="AS146" t="s">
        <v>319</v>
      </c>
      <c r="AT146" t="s">
        <v>243</v>
      </c>
      <c r="AU146" t="s">
        <v>247</v>
      </c>
      <c r="AV146">
        <v>21.2</v>
      </c>
    </row>
    <row r="147" spans="40:48" x14ac:dyDescent="0.25">
      <c r="AN147" t="s">
        <v>84</v>
      </c>
      <c r="AO147" t="s">
        <v>60</v>
      </c>
      <c r="AP147">
        <v>2004</v>
      </c>
      <c r="AQ147" t="s">
        <v>39</v>
      </c>
      <c r="AR147" t="s">
        <v>306</v>
      </c>
      <c r="AS147" t="s">
        <v>319</v>
      </c>
      <c r="AT147" t="s">
        <v>243</v>
      </c>
      <c r="AU147" t="s">
        <v>248</v>
      </c>
      <c r="AV147">
        <v>45.300000000000004</v>
      </c>
    </row>
    <row r="148" spans="40:48" x14ac:dyDescent="0.25">
      <c r="AN148" t="s">
        <v>84</v>
      </c>
      <c r="AO148" t="s">
        <v>60</v>
      </c>
      <c r="AP148">
        <v>2004</v>
      </c>
      <c r="AQ148" t="s">
        <v>39</v>
      </c>
      <c r="AR148" t="s">
        <v>306</v>
      </c>
      <c r="AS148" t="s">
        <v>319</v>
      </c>
      <c r="AT148" t="s">
        <v>243</v>
      </c>
      <c r="AU148" t="s">
        <v>314</v>
      </c>
      <c r="AV148">
        <v>66.5</v>
      </c>
    </row>
    <row r="149" spans="40:48" x14ac:dyDescent="0.25">
      <c r="AN149" t="s">
        <v>100</v>
      </c>
      <c r="AO149" t="s">
        <v>60</v>
      </c>
      <c r="AP149">
        <v>2004</v>
      </c>
      <c r="AQ149" t="s">
        <v>31</v>
      </c>
      <c r="AR149" t="s">
        <v>306</v>
      </c>
      <c r="AS149" t="s">
        <v>319</v>
      </c>
      <c r="AT149" t="s">
        <v>218</v>
      </c>
      <c r="AU149" t="s">
        <v>310</v>
      </c>
      <c r="AV149">
        <v>4.3</v>
      </c>
    </row>
    <row r="150" spans="40:48" x14ac:dyDescent="0.25">
      <c r="AN150" t="s">
        <v>100</v>
      </c>
      <c r="AO150" t="s">
        <v>60</v>
      </c>
      <c r="AP150">
        <v>2004</v>
      </c>
      <c r="AQ150" t="s">
        <v>31</v>
      </c>
      <c r="AR150" t="s">
        <v>306</v>
      </c>
      <c r="AS150" t="s">
        <v>319</v>
      </c>
      <c r="AT150" t="s">
        <v>218</v>
      </c>
      <c r="AU150" t="s">
        <v>311</v>
      </c>
      <c r="AV150">
        <v>7.4</v>
      </c>
    </row>
    <row r="151" spans="40:48" x14ac:dyDescent="0.25">
      <c r="AN151" t="s">
        <v>100</v>
      </c>
      <c r="AO151" t="s">
        <v>60</v>
      </c>
      <c r="AP151">
        <v>2004</v>
      </c>
      <c r="AQ151" t="s">
        <v>31</v>
      </c>
      <c r="AR151" t="s">
        <v>306</v>
      </c>
      <c r="AS151" t="s">
        <v>319</v>
      </c>
      <c r="AT151" t="s">
        <v>218</v>
      </c>
      <c r="AU151" t="s">
        <v>268</v>
      </c>
      <c r="AV151">
        <v>11.7</v>
      </c>
    </row>
    <row r="152" spans="40:48" x14ac:dyDescent="0.25">
      <c r="AN152" t="s">
        <v>100</v>
      </c>
      <c r="AO152" t="s">
        <v>60</v>
      </c>
      <c r="AP152">
        <v>2004</v>
      </c>
      <c r="AQ152" t="s">
        <v>31</v>
      </c>
      <c r="AR152" t="s">
        <v>306</v>
      </c>
      <c r="AS152" t="s">
        <v>319</v>
      </c>
      <c r="AT152" t="s">
        <v>238</v>
      </c>
      <c r="AU152" t="s">
        <v>310</v>
      </c>
      <c r="AV152">
        <v>2.4</v>
      </c>
    </row>
    <row r="153" spans="40:48" x14ac:dyDescent="0.25">
      <c r="AN153" t="s">
        <v>100</v>
      </c>
      <c r="AO153" t="s">
        <v>60</v>
      </c>
      <c r="AP153">
        <v>2004</v>
      </c>
      <c r="AQ153" t="s">
        <v>31</v>
      </c>
      <c r="AR153" t="s">
        <v>306</v>
      </c>
      <c r="AS153" t="s">
        <v>319</v>
      </c>
      <c r="AT153" t="s">
        <v>238</v>
      </c>
      <c r="AU153" t="s">
        <v>311</v>
      </c>
      <c r="AV153">
        <v>1.1000000000000001</v>
      </c>
    </row>
    <row r="154" spans="40:48" x14ac:dyDescent="0.25">
      <c r="AN154" t="s">
        <v>100</v>
      </c>
      <c r="AO154" t="s">
        <v>60</v>
      </c>
      <c r="AP154">
        <v>2004</v>
      </c>
      <c r="AQ154" t="s">
        <v>31</v>
      </c>
      <c r="AR154" t="s">
        <v>306</v>
      </c>
      <c r="AS154" t="s">
        <v>319</v>
      </c>
      <c r="AT154" t="s">
        <v>238</v>
      </c>
      <c r="AU154" t="s">
        <v>268</v>
      </c>
      <c r="AV154">
        <v>3.5</v>
      </c>
    </row>
    <row r="155" spans="40:48" x14ac:dyDescent="0.25">
      <c r="AN155" t="s">
        <v>100</v>
      </c>
      <c r="AO155" t="s">
        <v>60</v>
      </c>
      <c r="AP155">
        <v>2004</v>
      </c>
      <c r="AQ155" t="s">
        <v>31</v>
      </c>
      <c r="AR155" t="s">
        <v>306</v>
      </c>
      <c r="AS155" t="s">
        <v>319</v>
      </c>
      <c r="AT155" t="s">
        <v>239</v>
      </c>
      <c r="AU155" t="s">
        <v>310</v>
      </c>
      <c r="AV155">
        <v>2.9</v>
      </c>
    </row>
    <row r="156" spans="40:48" x14ac:dyDescent="0.25">
      <c r="AN156" t="s">
        <v>100</v>
      </c>
      <c r="AO156" t="s">
        <v>60</v>
      </c>
      <c r="AP156">
        <v>2004</v>
      </c>
      <c r="AQ156" t="s">
        <v>31</v>
      </c>
      <c r="AR156" t="s">
        <v>306</v>
      </c>
      <c r="AS156" t="s">
        <v>319</v>
      </c>
      <c r="AT156" t="s">
        <v>239</v>
      </c>
      <c r="AU156" t="s">
        <v>311</v>
      </c>
      <c r="AV156">
        <v>7</v>
      </c>
    </row>
    <row r="157" spans="40:48" x14ac:dyDescent="0.25">
      <c r="AN157" t="s">
        <v>100</v>
      </c>
      <c r="AO157" t="s">
        <v>60</v>
      </c>
      <c r="AP157">
        <v>2004</v>
      </c>
      <c r="AQ157" t="s">
        <v>31</v>
      </c>
      <c r="AR157" t="s">
        <v>306</v>
      </c>
      <c r="AS157" t="s">
        <v>319</v>
      </c>
      <c r="AT157" t="s">
        <v>239</v>
      </c>
      <c r="AU157" t="s">
        <v>268</v>
      </c>
      <c r="AV157">
        <v>9.9</v>
      </c>
    </row>
    <row r="158" spans="40:48" x14ac:dyDescent="0.25">
      <c r="AN158" t="s">
        <v>100</v>
      </c>
      <c r="AO158" t="s">
        <v>60</v>
      </c>
      <c r="AP158">
        <v>2004</v>
      </c>
      <c r="AQ158" t="s">
        <v>31</v>
      </c>
      <c r="AR158" t="s">
        <v>306</v>
      </c>
      <c r="AS158" t="s">
        <v>319</v>
      </c>
      <c r="AT158" t="s">
        <v>240</v>
      </c>
      <c r="AU158" t="s">
        <v>310</v>
      </c>
      <c r="AV158">
        <v>3.2</v>
      </c>
    </row>
    <row r="159" spans="40:48" x14ac:dyDescent="0.25">
      <c r="AN159" t="s">
        <v>100</v>
      </c>
      <c r="AO159" t="s">
        <v>60</v>
      </c>
      <c r="AP159">
        <v>2004</v>
      </c>
      <c r="AQ159" t="s">
        <v>31</v>
      </c>
      <c r="AR159" t="s">
        <v>306</v>
      </c>
      <c r="AS159" t="s">
        <v>319</v>
      </c>
      <c r="AT159" t="s">
        <v>240</v>
      </c>
      <c r="AU159" t="s">
        <v>311</v>
      </c>
      <c r="AV159">
        <v>7.8</v>
      </c>
    </row>
    <row r="160" spans="40:48" x14ac:dyDescent="0.25">
      <c r="AN160" t="s">
        <v>100</v>
      </c>
      <c r="AO160" t="s">
        <v>60</v>
      </c>
      <c r="AP160">
        <v>2004</v>
      </c>
      <c r="AQ160" t="s">
        <v>31</v>
      </c>
      <c r="AR160" t="s">
        <v>306</v>
      </c>
      <c r="AS160" t="s">
        <v>319</v>
      </c>
      <c r="AT160" t="s">
        <v>240</v>
      </c>
      <c r="AU160" t="s">
        <v>268</v>
      </c>
      <c r="AV160">
        <v>11</v>
      </c>
    </row>
    <row r="161" spans="40:48" x14ac:dyDescent="0.25">
      <c r="AN161" t="s">
        <v>100</v>
      </c>
      <c r="AO161" t="s">
        <v>60</v>
      </c>
      <c r="AP161">
        <v>2004</v>
      </c>
      <c r="AQ161" t="s">
        <v>31</v>
      </c>
      <c r="AR161" t="s">
        <v>306</v>
      </c>
      <c r="AS161" t="s">
        <v>319</v>
      </c>
      <c r="AT161" t="s">
        <v>316</v>
      </c>
      <c r="AU161" t="s">
        <v>310</v>
      </c>
      <c r="AV161">
        <v>2.9</v>
      </c>
    </row>
    <row r="162" spans="40:48" x14ac:dyDescent="0.25">
      <c r="AN162" t="s">
        <v>100</v>
      </c>
      <c r="AO162" t="s">
        <v>60</v>
      </c>
      <c r="AP162">
        <v>2004</v>
      </c>
      <c r="AQ162" t="s">
        <v>31</v>
      </c>
      <c r="AR162" t="s">
        <v>306</v>
      </c>
      <c r="AS162" t="s">
        <v>319</v>
      </c>
      <c r="AT162" t="s">
        <v>316</v>
      </c>
      <c r="AU162" t="s">
        <v>311</v>
      </c>
      <c r="AV162">
        <v>7.75</v>
      </c>
    </row>
    <row r="163" spans="40:48" x14ac:dyDescent="0.25">
      <c r="AN163" t="s">
        <v>100</v>
      </c>
      <c r="AO163" t="s">
        <v>60</v>
      </c>
      <c r="AP163">
        <v>2004</v>
      </c>
      <c r="AQ163" t="s">
        <v>31</v>
      </c>
      <c r="AR163" t="s">
        <v>306</v>
      </c>
      <c r="AS163" t="s">
        <v>319</v>
      </c>
      <c r="AT163" t="s">
        <v>316</v>
      </c>
      <c r="AU163" t="s">
        <v>268</v>
      </c>
      <c r="AV163">
        <v>10.65</v>
      </c>
    </row>
    <row r="164" spans="40:48" x14ac:dyDescent="0.25">
      <c r="AN164" t="s">
        <v>100</v>
      </c>
      <c r="AO164" t="s">
        <v>60</v>
      </c>
      <c r="AP164">
        <v>2004</v>
      </c>
      <c r="AQ164" t="s">
        <v>31</v>
      </c>
      <c r="AR164" t="s">
        <v>306</v>
      </c>
      <c r="AS164" t="s">
        <v>319</v>
      </c>
      <c r="AT164" t="s">
        <v>242</v>
      </c>
      <c r="AU164" t="s">
        <v>310</v>
      </c>
      <c r="AV164">
        <v>2.7</v>
      </c>
    </row>
    <row r="165" spans="40:48" x14ac:dyDescent="0.25">
      <c r="AN165" t="s">
        <v>100</v>
      </c>
      <c r="AO165" t="s">
        <v>60</v>
      </c>
      <c r="AP165">
        <v>2004</v>
      </c>
      <c r="AQ165" t="s">
        <v>31</v>
      </c>
      <c r="AR165" t="s">
        <v>306</v>
      </c>
      <c r="AS165" t="s">
        <v>319</v>
      </c>
      <c r="AT165" t="s">
        <v>242</v>
      </c>
      <c r="AU165" t="s">
        <v>311</v>
      </c>
      <c r="AV165">
        <v>6.8</v>
      </c>
    </row>
    <row r="166" spans="40:48" x14ac:dyDescent="0.25">
      <c r="AN166" t="s">
        <v>100</v>
      </c>
      <c r="AO166" t="s">
        <v>60</v>
      </c>
      <c r="AP166">
        <v>2004</v>
      </c>
      <c r="AQ166" t="s">
        <v>31</v>
      </c>
      <c r="AR166" t="s">
        <v>306</v>
      </c>
      <c r="AS166" t="s">
        <v>319</v>
      </c>
      <c r="AT166" t="s">
        <v>242</v>
      </c>
      <c r="AU166" t="s">
        <v>268</v>
      </c>
      <c r="AV166">
        <v>9.5</v>
      </c>
    </row>
    <row r="167" spans="40:48" x14ac:dyDescent="0.25">
      <c r="AN167" t="s">
        <v>100</v>
      </c>
      <c r="AO167" t="s">
        <v>60</v>
      </c>
      <c r="AP167">
        <v>2004</v>
      </c>
      <c r="AQ167" t="s">
        <v>31</v>
      </c>
      <c r="AR167" t="s">
        <v>306</v>
      </c>
      <c r="AS167" t="s">
        <v>319</v>
      </c>
      <c r="AT167" t="s">
        <v>243</v>
      </c>
      <c r="AU167" t="s">
        <v>247</v>
      </c>
      <c r="AV167">
        <v>18.400000000000002</v>
      </c>
    </row>
    <row r="168" spans="40:48" x14ac:dyDescent="0.25">
      <c r="AN168" t="s">
        <v>100</v>
      </c>
      <c r="AO168" t="s">
        <v>60</v>
      </c>
      <c r="AP168">
        <v>2004</v>
      </c>
      <c r="AQ168" t="s">
        <v>31</v>
      </c>
      <c r="AR168" t="s">
        <v>306</v>
      </c>
      <c r="AS168" t="s">
        <v>319</v>
      </c>
      <c r="AT168" t="s">
        <v>243</v>
      </c>
      <c r="AU168" t="s">
        <v>248</v>
      </c>
      <c r="AV168">
        <v>37.85</v>
      </c>
    </row>
    <row r="169" spans="40:48" x14ac:dyDescent="0.25">
      <c r="AN169" t="s">
        <v>100</v>
      </c>
      <c r="AO169" t="s">
        <v>60</v>
      </c>
      <c r="AP169">
        <v>2004</v>
      </c>
      <c r="AQ169" t="s">
        <v>31</v>
      </c>
      <c r="AR169" t="s">
        <v>306</v>
      </c>
      <c r="AS169" t="s">
        <v>319</v>
      </c>
      <c r="AT169" t="s">
        <v>243</v>
      </c>
      <c r="AU169" t="s">
        <v>314</v>
      </c>
      <c r="AV169">
        <v>56.25</v>
      </c>
    </row>
    <row r="170" spans="40:48" x14ac:dyDescent="0.25">
      <c r="AN170" t="s">
        <v>86</v>
      </c>
      <c r="AO170" t="s">
        <v>60</v>
      </c>
      <c r="AP170">
        <v>2003</v>
      </c>
      <c r="AQ170" t="s">
        <v>72</v>
      </c>
      <c r="AR170" t="s">
        <v>307</v>
      </c>
      <c r="AS170" t="s">
        <v>319</v>
      </c>
      <c r="AT170" t="s">
        <v>218</v>
      </c>
      <c r="AU170" t="s">
        <v>310</v>
      </c>
      <c r="AV170">
        <v>4.2</v>
      </c>
    </row>
    <row r="171" spans="40:48" x14ac:dyDescent="0.25">
      <c r="AN171" t="s">
        <v>86</v>
      </c>
      <c r="AO171" t="s">
        <v>60</v>
      </c>
      <c r="AP171">
        <v>2003</v>
      </c>
      <c r="AQ171" t="s">
        <v>72</v>
      </c>
      <c r="AR171" t="s">
        <v>307</v>
      </c>
      <c r="AS171" t="s">
        <v>319</v>
      </c>
      <c r="AT171" t="s">
        <v>218</v>
      </c>
      <c r="AU171" t="s">
        <v>311</v>
      </c>
      <c r="AV171">
        <v>8.6</v>
      </c>
    </row>
    <row r="172" spans="40:48" x14ac:dyDescent="0.25">
      <c r="AN172" t="s">
        <v>86</v>
      </c>
      <c r="AO172" t="s">
        <v>60</v>
      </c>
      <c r="AP172">
        <v>2003</v>
      </c>
      <c r="AQ172" t="s">
        <v>72</v>
      </c>
      <c r="AR172" t="s">
        <v>307</v>
      </c>
      <c r="AS172" t="s">
        <v>319</v>
      </c>
      <c r="AT172" t="s">
        <v>218</v>
      </c>
      <c r="AU172" t="s">
        <v>268</v>
      </c>
      <c r="AV172">
        <v>12.8</v>
      </c>
    </row>
    <row r="173" spans="40:48" x14ac:dyDescent="0.25">
      <c r="AN173" t="s">
        <v>86</v>
      </c>
      <c r="AO173" t="s">
        <v>60</v>
      </c>
      <c r="AP173">
        <v>2003</v>
      </c>
      <c r="AQ173" t="s">
        <v>72</v>
      </c>
      <c r="AR173" t="s">
        <v>307</v>
      </c>
      <c r="AS173" t="s">
        <v>319</v>
      </c>
      <c r="AT173" t="s">
        <v>238</v>
      </c>
      <c r="AU173" t="s">
        <v>310</v>
      </c>
      <c r="AV173">
        <v>3.8</v>
      </c>
    </row>
    <row r="174" spans="40:48" x14ac:dyDescent="0.25">
      <c r="AN174" t="s">
        <v>86</v>
      </c>
      <c r="AO174" t="s">
        <v>60</v>
      </c>
      <c r="AP174">
        <v>2003</v>
      </c>
      <c r="AQ174" t="s">
        <v>72</v>
      </c>
      <c r="AR174" t="s">
        <v>307</v>
      </c>
      <c r="AS174" t="s">
        <v>319</v>
      </c>
      <c r="AT174" t="s">
        <v>238</v>
      </c>
      <c r="AU174" t="s">
        <v>311</v>
      </c>
      <c r="AV174">
        <v>7.1</v>
      </c>
    </row>
    <row r="175" spans="40:48" x14ac:dyDescent="0.25">
      <c r="AN175" t="s">
        <v>86</v>
      </c>
      <c r="AO175" t="s">
        <v>60</v>
      </c>
      <c r="AP175">
        <v>2003</v>
      </c>
      <c r="AQ175" t="s">
        <v>72</v>
      </c>
      <c r="AR175" t="s">
        <v>307</v>
      </c>
      <c r="AS175" t="s">
        <v>319</v>
      </c>
      <c r="AT175" t="s">
        <v>238</v>
      </c>
      <c r="AU175" t="s">
        <v>268</v>
      </c>
      <c r="AV175">
        <v>10.9</v>
      </c>
    </row>
    <row r="176" spans="40:48" x14ac:dyDescent="0.25">
      <c r="AN176" t="s">
        <v>86</v>
      </c>
      <c r="AO176" t="s">
        <v>60</v>
      </c>
      <c r="AP176">
        <v>2003</v>
      </c>
      <c r="AQ176" t="s">
        <v>72</v>
      </c>
      <c r="AR176" t="s">
        <v>307</v>
      </c>
      <c r="AS176" t="s">
        <v>319</v>
      </c>
      <c r="AT176" t="s">
        <v>239</v>
      </c>
      <c r="AU176" t="s">
        <v>310</v>
      </c>
      <c r="AV176">
        <v>3.5</v>
      </c>
    </row>
    <row r="177" spans="40:48" x14ac:dyDescent="0.25">
      <c r="AN177" t="s">
        <v>86</v>
      </c>
      <c r="AO177" t="s">
        <v>60</v>
      </c>
      <c r="AP177">
        <v>2003</v>
      </c>
      <c r="AQ177" t="s">
        <v>72</v>
      </c>
      <c r="AR177" t="s">
        <v>307</v>
      </c>
      <c r="AS177" t="s">
        <v>319</v>
      </c>
      <c r="AT177" t="s">
        <v>239</v>
      </c>
      <c r="AU177" t="s">
        <v>311</v>
      </c>
      <c r="AV177">
        <v>6.7</v>
      </c>
    </row>
    <row r="178" spans="40:48" x14ac:dyDescent="0.25">
      <c r="AN178" t="s">
        <v>86</v>
      </c>
      <c r="AO178" t="s">
        <v>60</v>
      </c>
      <c r="AP178">
        <v>2003</v>
      </c>
      <c r="AQ178" t="s">
        <v>72</v>
      </c>
      <c r="AR178" t="s">
        <v>307</v>
      </c>
      <c r="AS178" t="s">
        <v>319</v>
      </c>
      <c r="AT178" t="s">
        <v>239</v>
      </c>
      <c r="AU178" t="s">
        <v>268</v>
      </c>
      <c r="AV178">
        <v>10.199999999999999</v>
      </c>
    </row>
    <row r="179" spans="40:48" x14ac:dyDescent="0.25">
      <c r="AN179" t="s">
        <v>86</v>
      </c>
      <c r="AO179" t="s">
        <v>60</v>
      </c>
      <c r="AP179">
        <v>2003</v>
      </c>
      <c r="AQ179" t="s">
        <v>72</v>
      </c>
      <c r="AR179" t="s">
        <v>307</v>
      </c>
      <c r="AS179" t="s">
        <v>319</v>
      </c>
      <c r="AT179" t="s">
        <v>240</v>
      </c>
      <c r="AU179" t="s">
        <v>310</v>
      </c>
      <c r="AV179">
        <v>2.8</v>
      </c>
    </row>
    <row r="180" spans="40:48" x14ac:dyDescent="0.25">
      <c r="AN180" t="s">
        <v>86</v>
      </c>
      <c r="AO180" t="s">
        <v>60</v>
      </c>
      <c r="AP180">
        <v>2003</v>
      </c>
      <c r="AQ180" t="s">
        <v>72</v>
      </c>
      <c r="AR180" t="s">
        <v>307</v>
      </c>
      <c r="AS180" t="s">
        <v>319</v>
      </c>
      <c r="AT180" t="s">
        <v>240</v>
      </c>
      <c r="AU180" t="s">
        <v>311</v>
      </c>
      <c r="AV180">
        <v>9.1999999999999993</v>
      </c>
    </row>
    <row r="181" spans="40:48" x14ac:dyDescent="0.25">
      <c r="AN181" t="s">
        <v>86</v>
      </c>
      <c r="AO181" t="s">
        <v>60</v>
      </c>
      <c r="AP181">
        <v>2003</v>
      </c>
      <c r="AQ181" t="s">
        <v>72</v>
      </c>
      <c r="AR181" t="s">
        <v>307</v>
      </c>
      <c r="AS181" t="s">
        <v>319</v>
      </c>
      <c r="AT181" t="s">
        <v>240</v>
      </c>
      <c r="AU181" t="s">
        <v>268</v>
      </c>
      <c r="AV181">
        <v>12</v>
      </c>
    </row>
    <row r="182" spans="40:48" x14ac:dyDescent="0.25">
      <c r="AN182" t="s">
        <v>86</v>
      </c>
      <c r="AO182" t="s">
        <v>60</v>
      </c>
      <c r="AP182">
        <v>2003</v>
      </c>
      <c r="AQ182" t="s">
        <v>72</v>
      </c>
      <c r="AR182" t="s">
        <v>307</v>
      </c>
      <c r="AS182" t="s">
        <v>319</v>
      </c>
      <c r="AT182" t="s">
        <v>316</v>
      </c>
      <c r="AU182" t="s">
        <v>310</v>
      </c>
      <c r="AV182">
        <v>2.6</v>
      </c>
    </row>
    <row r="183" spans="40:48" x14ac:dyDescent="0.25">
      <c r="AN183" t="s">
        <v>86</v>
      </c>
      <c r="AO183" t="s">
        <v>60</v>
      </c>
      <c r="AP183">
        <v>2003</v>
      </c>
      <c r="AQ183" t="s">
        <v>72</v>
      </c>
      <c r="AR183" t="s">
        <v>307</v>
      </c>
      <c r="AS183" t="s">
        <v>319</v>
      </c>
      <c r="AT183" t="s">
        <v>316</v>
      </c>
      <c r="AU183" t="s">
        <v>311</v>
      </c>
      <c r="AV183">
        <v>5.65</v>
      </c>
    </row>
    <row r="184" spans="40:48" x14ac:dyDescent="0.25">
      <c r="AN184" t="s">
        <v>86</v>
      </c>
      <c r="AO184" t="s">
        <v>60</v>
      </c>
      <c r="AP184">
        <v>2003</v>
      </c>
      <c r="AQ184" t="s">
        <v>72</v>
      </c>
      <c r="AR184" t="s">
        <v>307</v>
      </c>
      <c r="AS184" t="s">
        <v>319</v>
      </c>
      <c r="AT184" t="s">
        <v>316</v>
      </c>
      <c r="AU184" t="s">
        <v>268</v>
      </c>
      <c r="AV184">
        <v>8.25</v>
      </c>
    </row>
    <row r="185" spans="40:48" x14ac:dyDescent="0.25">
      <c r="AN185" t="s">
        <v>86</v>
      </c>
      <c r="AO185" t="s">
        <v>60</v>
      </c>
      <c r="AP185">
        <v>2003</v>
      </c>
      <c r="AQ185" t="s">
        <v>72</v>
      </c>
      <c r="AR185" t="s">
        <v>307</v>
      </c>
      <c r="AS185" t="s">
        <v>319</v>
      </c>
      <c r="AT185" t="s">
        <v>242</v>
      </c>
      <c r="AU185" t="s">
        <v>310</v>
      </c>
      <c r="AV185">
        <v>0</v>
      </c>
    </row>
    <row r="186" spans="40:48" x14ac:dyDescent="0.25">
      <c r="AN186" t="s">
        <v>86</v>
      </c>
      <c r="AO186" t="s">
        <v>60</v>
      </c>
      <c r="AP186">
        <v>2003</v>
      </c>
      <c r="AQ186" t="s">
        <v>72</v>
      </c>
      <c r="AR186" t="s">
        <v>307</v>
      </c>
      <c r="AS186" t="s">
        <v>319</v>
      </c>
      <c r="AT186" t="s">
        <v>242</v>
      </c>
      <c r="AU186" t="s">
        <v>311</v>
      </c>
      <c r="AV186">
        <v>0</v>
      </c>
    </row>
    <row r="187" spans="40:48" x14ac:dyDescent="0.25">
      <c r="AN187" t="s">
        <v>86</v>
      </c>
      <c r="AO187" t="s">
        <v>60</v>
      </c>
      <c r="AP187">
        <v>2003</v>
      </c>
      <c r="AQ187" t="s">
        <v>72</v>
      </c>
      <c r="AR187" t="s">
        <v>307</v>
      </c>
      <c r="AS187" t="s">
        <v>319</v>
      </c>
      <c r="AT187" t="s">
        <v>242</v>
      </c>
      <c r="AU187" t="s">
        <v>268</v>
      </c>
      <c r="AV187">
        <v>0</v>
      </c>
    </row>
    <row r="188" spans="40:48" x14ac:dyDescent="0.25">
      <c r="AN188" t="s">
        <v>86</v>
      </c>
      <c r="AO188" t="s">
        <v>60</v>
      </c>
      <c r="AP188">
        <v>2003</v>
      </c>
      <c r="AQ188" t="s">
        <v>72</v>
      </c>
      <c r="AR188" t="s">
        <v>307</v>
      </c>
      <c r="AS188" t="s">
        <v>319</v>
      </c>
      <c r="AT188" t="s">
        <v>243</v>
      </c>
      <c r="AU188" t="s">
        <v>247</v>
      </c>
      <c r="AV188">
        <v>0</v>
      </c>
    </row>
    <row r="189" spans="40:48" x14ac:dyDescent="0.25">
      <c r="AN189" t="s">
        <v>86</v>
      </c>
      <c r="AO189" t="s">
        <v>60</v>
      </c>
      <c r="AP189">
        <v>2003</v>
      </c>
      <c r="AQ189" t="s">
        <v>72</v>
      </c>
      <c r="AR189" t="s">
        <v>307</v>
      </c>
      <c r="AS189" t="s">
        <v>319</v>
      </c>
      <c r="AT189" t="s">
        <v>243</v>
      </c>
      <c r="AU189" t="s">
        <v>248</v>
      </c>
      <c r="AV189">
        <v>0</v>
      </c>
    </row>
    <row r="190" spans="40:48" x14ac:dyDescent="0.25">
      <c r="AN190" t="s">
        <v>86</v>
      </c>
      <c r="AO190" t="s">
        <v>60</v>
      </c>
      <c r="AP190">
        <v>2003</v>
      </c>
      <c r="AQ190" t="s">
        <v>72</v>
      </c>
      <c r="AR190" t="s">
        <v>307</v>
      </c>
      <c r="AS190" t="s">
        <v>319</v>
      </c>
      <c r="AT190" t="s">
        <v>243</v>
      </c>
      <c r="AU190" t="s">
        <v>314</v>
      </c>
      <c r="AV190">
        <v>54.150000000000006</v>
      </c>
    </row>
    <row r="191" spans="40:48" x14ac:dyDescent="0.25">
      <c r="AN191" t="s">
        <v>98</v>
      </c>
      <c r="AO191" t="s">
        <v>60</v>
      </c>
      <c r="AP191">
        <v>1999</v>
      </c>
      <c r="AQ191" t="s">
        <v>72</v>
      </c>
      <c r="AR191" t="s">
        <v>307</v>
      </c>
      <c r="AS191" t="s">
        <v>319</v>
      </c>
      <c r="AT191" t="s">
        <v>218</v>
      </c>
      <c r="AU191" t="s">
        <v>310</v>
      </c>
      <c r="AV191">
        <v>0</v>
      </c>
    </row>
    <row r="192" spans="40:48" x14ac:dyDescent="0.25">
      <c r="AN192" t="s">
        <v>98</v>
      </c>
      <c r="AO192" t="s">
        <v>60</v>
      </c>
      <c r="AP192">
        <v>1999</v>
      </c>
      <c r="AQ192" t="s">
        <v>72</v>
      </c>
      <c r="AR192" t="s">
        <v>307</v>
      </c>
      <c r="AS192" t="s">
        <v>319</v>
      </c>
      <c r="AT192" t="s">
        <v>218</v>
      </c>
      <c r="AU192" t="s">
        <v>311</v>
      </c>
      <c r="AV192">
        <v>0</v>
      </c>
    </row>
    <row r="193" spans="40:48" x14ac:dyDescent="0.25">
      <c r="AN193" t="s">
        <v>98</v>
      </c>
      <c r="AO193" t="s">
        <v>60</v>
      </c>
      <c r="AP193">
        <v>1999</v>
      </c>
      <c r="AQ193" t="s">
        <v>72</v>
      </c>
      <c r="AR193" t="s">
        <v>307</v>
      </c>
      <c r="AS193" t="s">
        <v>319</v>
      </c>
      <c r="AT193" t="s">
        <v>218</v>
      </c>
      <c r="AU193" t="s">
        <v>268</v>
      </c>
      <c r="AV193">
        <v>0</v>
      </c>
    </row>
    <row r="194" spans="40:48" x14ac:dyDescent="0.25">
      <c r="AN194" t="s">
        <v>98</v>
      </c>
      <c r="AO194" t="s">
        <v>60</v>
      </c>
      <c r="AP194">
        <v>1999</v>
      </c>
      <c r="AQ194" t="s">
        <v>72</v>
      </c>
      <c r="AR194" t="s">
        <v>307</v>
      </c>
      <c r="AS194" t="s">
        <v>319</v>
      </c>
      <c r="AT194" t="s">
        <v>238</v>
      </c>
      <c r="AU194" t="s">
        <v>310</v>
      </c>
      <c r="AV194">
        <v>3.3</v>
      </c>
    </row>
    <row r="195" spans="40:48" x14ac:dyDescent="0.25">
      <c r="AN195" t="s">
        <v>98</v>
      </c>
      <c r="AO195" t="s">
        <v>60</v>
      </c>
      <c r="AP195">
        <v>1999</v>
      </c>
      <c r="AQ195" t="s">
        <v>72</v>
      </c>
      <c r="AR195" t="s">
        <v>307</v>
      </c>
      <c r="AS195" t="s">
        <v>319</v>
      </c>
      <c r="AT195" t="s">
        <v>238</v>
      </c>
      <c r="AU195" t="s">
        <v>311</v>
      </c>
      <c r="AV195">
        <v>4.0999999999999996</v>
      </c>
    </row>
    <row r="196" spans="40:48" x14ac:dyDescent="0.25">
      <c r="AN196" t="s">
        <v>98</v>
      </c>
      <c r="AO196" t="s">
        <v>60</v>
      </c>
      <c r="AP196">
        <v>1999</v>
      </c>
      <c r="AQ196" t="s">
        <v>72</v>
      </c>
      <c r="AR196" t="s">
        <v>307</v>
      </c>
      <c r="AS196" t="s">
        <v>319</v>
      </c>
      <c r="AT196" t="s">
        <v>238</v>
      </c>
      <c r="AU196" t="s">
        <v>268</v>
      </c>
      <c r="AV196">
        <v>7.4</v>
      </c>
    </row>
    <row r="197" spans="40:48" x14ac:dyDescent="0.25">
      <c r="AN197" t="s">
        <v>98</v>
      </c>
      <c r="AO197" t="s">
        <v>60</v>
      </c>
      <c r="AP197">
        <v>1999</v>
      </c>
      <c r="AQ197" t="s">
        <v>72</v>
      </c>
      <c r="AR197" t="s">
        <v>307</v>
      </c>
      <c r="AS197" t="s">
        <v>319</v>
      </c>
      <c r="AT197" t="s">
        <v>239</v>
      </c>
      <c r="AU197" t="s">
        <v>310</v>
      </c>
      <c r="AV197">
        <v>3.2</v>
      </c>
    </row>
    <row r="198" spans="40:48" x14ac:dyDescent="0.25">
      <c r="AN198" t="s">
        <v>98</v>
      </c>
      <c r="AO198" t="s">
        <v>60</v>
      </c>
      <c r="AP198">
        <v>1999</v>
      </c>
      <c r="AQ198" t="s">
        <v>72</v>
      </c>
      <c r="AR198" t="s">
        <v>307</v>
      </c>
      <c r="AS198" t="s">
        <v>319</v>
      </c>
      <c r="AT198" t="s">
        <v>239</v>
      </c>
      <c r="AU198" t="s">
        <v>311</v>
      </c>
      <c r="AV198">
        <v>7.65</v>
      </c>
    </row>
    <row r="199" spans="40:48" x14ac:dyDescent="0.25">
      <c r="AN199" t="s">
        <v>98</v>
      </c>
      <c r="AO199" t="s">
        <v>60</v>
      </c>
      <c r="AP199">
        <v>1999</v>
      </c>
      <c r="AQ199" t="s">
        <v>72</v>
      </c>
      <c r="AR199" t="s">
        <v>307</v>
      </c>
      <c r="AS199" t="s">
        <v>319</v>
      </c>
      <c r="AT199" t="s">
        <v>239</v>
      </c>
      <c r="AU199" t="s">
        <v>268</v>
      </c>
      <c r="AV199">
        <v>10.85</v>
      </c>
    </row>
    <row r="200" spans="40:48" x14ac:dyDescent="0.25">
      <c r="AN200" t="s">
        <v>98</v>
      </c>
      <c r="AO200" t="s">
        <v>60</v>
      </c>
      <c r="AP200">
        <v>1999</v>
      </c>
      <c r="AQ200" t="s">
        <v>72</v>
      </c>
      <c r="AR200" t="s">
        <v>307</v>
      </c>
      <c r="AS200" t="s">
        <v>319</v>
      </c>
      <c r="AT200" t="s">
        <v>240</v>
      </c>
      <c r="AU200" t="s">
        <v>310</v>
      </c>
      <c r="AV200">
        <v>0</v>
      </c>
    </row>
    <row r="201" spans="40:48" x14ac:dyDescent="0.25">
      <c r="AN201" t="s">
        <v>98</v>
      </c>
      <c r="AO201" t="s">
        <v>60</v>
      </c>
      <c r="AP201">
        <v>1999</v>
      </c>
      <c r="AQ201" t="s">
        <v>72</v>
      </c>
      <c r="AR201" t="s">
        <v>307</v>
      </c>
      <c r="AS201" t="s">
        <v>319</v>
      </c>
      <c r="AT201" t="s">
        <v>240</v>
      </c>
      <c r="AU201" t="s">
        <v>311</v>
      </c>
      <c r="AV201">
        <v>0</v>
      </c>
    </row>
    <row r="202" spans="40:48" x14ac:dyDescent="0.25">
      <c r="AN202" t="s">
        <v>98</v>
      </c>
      <c r="AO202" t="s">
        <v>60</v>
      </c>
      <c r="AP202">
        <v>1999</v>
      </c>
      <c r="AQ202" t="s">
        <v>72</v>
      </c>
      <c r="AR202" t="s">
        <v>307</v>
      </c>
      <c r="AS202" t="s">
        <v>319</v>
      </c>
      <c r="AT202" t="s">
        <v>240</v>
      </c>
      <c r="AU202" t="s">
        <v>268</v>
      </c>
      <c r="AV202">
        <v>0</v>
      </c>
    </row>
    <row r="203" spans="40:48" x14ac:dyDescent="0.25">
      <c r="AN203" t="s">
        <v>98</v>
      </c>
      <c r="AO203" t="s">
        <v>60</v>
      </c>
      <c r="AP203">
        <v>1999</v>
      </c>
      <c r="AQ203" t="s">
        <v>72</v>
      </c>
      <c r="AR203" t="s">
        <v>307</v>
      </c>
      <c r="AS203" t="s">
        <v>319</v>
      </c>
      <c r="AT203" t="s">
        <v>316</v>
      </c>
      <c r="AU203" t="s">
        <v>310</v>
      </c>
      <c r="AV203">
        <v>2.5</v>
      </c>
    </row>
    <row r="204" spans="40:48" x14ac:dyDescent="0.25">
      <c r="AN204" t="s">
        <v>98</v>
      </c>
      <c r="AO204" t="s">
        <v>60</v>
      </c>
      <c r="AP204">
        <v>1999</v>
      </c>
      <c r="AQ204" t="s">
        <v>72</v>
      </c>
      <c r="AR204" t="s">
        <v>307</v>
      </c>
      <c r="AS204" t="s">
        <v>319</v>
      </c>
      <c r="AT204" t="s">
        <v>316</v>
      </c>
      <c r="AU204" t="s">
        <v>311</v>
      </c>
      <c r="AV204">
        <v>8.8000000000000007</v>
      </c>
    </row>
    <row r="205" spans="40:48" x14ac:dyDescent="0.25">
      <c r="AN205" t="s">
        <v>98</v>
      </c>
      <c r="AO205" t="s">
        <v>60</v>
      </c>
      <c r="AP205">
        <v>1999</v>
      </c>
      <c r="AQ205" t="s">
        <v>72</v>
      </c>
      <c r="AR205" t="s">
        <v>307</v>
      </c>
      <c r="AS205" t="s">
        <v>319</v>
      </c>
      <c r="AT205" t="s">
        <v>316</v>
      </c>
      <c r="AU205" t="s">
        <v>268</v>
      </c>
      <c r="AV205">
        <v>11.3</v>
      </c>
    </row>
    <row r="206" spans="40:48" x14ac:dyDescent="0.25">
      <c r="AN206" t="s">
        <v>98</v>
      </c>
      <c r="AO206" t="s">
        <v>60</v>
      </c>
      <c r="AP206">
        <v>1999</v>
      </c>
      <c r="AQ206" t="s">
        <v>72</v>
      </c>
      <c r="AR206" t="s">
        <v>307</v>
      </c>
      <c r="AS206" t="s">
        <v>319</v>
      </c>
      <c r="AT206" t="s">
        <v>242</v>
      </c>
      <c r="AU206" t="s">
        <v>310</v>
      </c>
      <c r="AV206">
        <v>3</v>
      </c>
    </row>
    <row r="207" spans="40:48" x14ac:dyDescent="0.25">
      <c r="AN207" t="s">
        <v>98</v>
      </c>
      <c r="AO207" t="s">
        <v>60</v>
      </c>
      <c r="AP207">
        <v>1999</v>
      </c>
      <c r="AQ207" t="s">
        <v>72</v>
      </c>
      <c r="AR207" t="s">
        <v>307</v>
      </c>
      <c r="AS207" t="s">
        <v>319</v>
      </c>
      <c r="AT207" t="s">
        <v>242</v>
      </c>
      <c r="AU207" t="s">
        <v>311</v>
      </c>
      <c r="AV207">
        <v>7</v>
      </c>
    </row>
    <row r="208" spans="40:48" x14ac:dyDescent="0.25">
      <c r="AN208" t="s">
        <v>98</v>
      </c>
      <c r="AO208" t="s">
        <v>60</v>
      </c>
      <c r="AP208">
        <v>1999</v>
      </c>
      <c r="AQ208" t="s">
        <v>72</v>
      </c>
      <c r="AR208" t="s">
        <v>307</v>
      </c>
      <c r="AS208" t="s">
        <v>319</v>
      </c>
      <c r="AT208" t="s">
        <v>242</v>
      </c>
      <c r="AU208" t="s">
        <v>268</v>
      </c>
      <c r="AV208">
        <v>10</v>
      </c>
    </row>
    <row r="209" spans="40:48" x14ac:dyDescent="0.25">
      <c r="AN209" t="s">
        <v>98</v>
      </c>
      <c r="AO209" t="s">
        <v>60</v>
      </c>
      <c r="AP209">
        <v>1999</v>
      </c>
      <c r="AQ209" t="s">
        <v>72</v>
      </c>
      <c r="AR209" t="s">
        <v>307</v>
      </c>
      <c r="AS209" t="s">
        <v>319</v>
      </c>
      <c r="AT209" t="s">
        <v>243</v>
      </c>
      <c r="AU209" t="s">
        <v>247</v>
      </c>
      <c r="AV209">
        <v>0</v>
      </c>
    </row>
    <row r="210" spans="40:48" x14ac:dyDescent="0.25">
      <c r="AN210" t="s">
        <v>98</v>
      </c>
      <c r="AO210" t="s">
        <v>60</v>
      </c>
      <c r="AP210">
        <v>1999</v>
      </c>
      <c r="AQ210" t="s">
        <v>72</v>
      </c>
      <c r="AR210" t="s">
        <v>307</v>
      </c>
      <c r="AS210" t="s">
        <v>319</v>
      </c>
      <c r="AT210" t="s">
        <v>243</v>
      </c>
      <c r="AU210" t="s">
        <v>248</v>
      </c>
      <c r="AV210">
        <v>0</v>
      </c>
    </row>
    <row r="211" spans="40:48" x14ac:dyDescent="0.25">
      <c r="AN211" t="s">
        <v>98</v>
      </c>
      <c r="AO211" t="s">
        <v>60</v>
      </c>
      <c r="AP211">
        <v>1999</v>
      </c>
      <c r="AQ211" t="s">
        <v>72</v>
      </c>
      <c r="AR211" t="s">
        <v>307</v>
      </c>
      <c r="AS211" t="s">
        <v>319</v>
      </c>
      <c r="AT211" t="s">
        <v>243</v>
      </c>
      <c r="AU211" t="s">
        <v>314</v>
      </c>
      <c r="AV211">
        <v>39.549999999999997</v>
      </c>
    </row>
    <row r="212" spans="40:48" x14ac:dyDescent="0.25">
      <c r="AN212" t="s">
        <v>129</v>
      </c>
      <c r="AO212" t="s">
        <v>60</v>
      </c>
      <c r="AP212">
        <v>2000</v>
      </c>
      <c r="AQ212" t="s">
        <v>72</v>
      </c>
      <c r="AR212" t="s">
        <v>307</v>
      </c>
      <c r="AS212" t="s">
        <v>319</v>
      </c>
      <c r="AT212" t="s">
        <v>218</v>
      </c>
      <c r="AU212" t="s">
        <v>310</v>
      </c>
      <c r="AV212">
        <v>4.0999999999999996</v>
      </c>
    </row>
    <row r="213" spans="40:48" x14ac:dyDescent="0.25">
      <c r="AN213" t="s">
        <v>129</v>
      </c>
      <c r="AO213" t="s">
        <v>60</v>
      </c>
      <c r="AP213">
        <v>2000</v>
      </c>
      <c r="AQ213" t="s">
        <v>72</v>
      </c>
      <c r="AR213" t="s">
        <v>307</v>
      </c>
      <c r="AS213" t="s">
        <v>319</v>
      </c>
      <c r="AT213" t="s">
        <v>218</v>
      </c>
      <c r="AU213" t="s">
        <v>311</v>
      </c>
      <c r="AV213">
        <v>7.6</v>
      </c>
    </row>
    <row r="214" spans="40:48" x14ac:dyDescent="0.25">
      <c r="AN214" t="s">
        <v>129</v>
      </c>
      <c r="AO214" t="s">
        <v>60</v>
      </c>
      <c r="AP214">
        <v>2000</v>
      </c>
      <c r="AQ214" t="s">
        <v>72</v>
      </c>
      <c r="AR214" t="s">
        <v>307</v>
      </c>
      <c r="AS214" t="s">
        <v>319</v>
      </c>
      <c r="AT214" t="s">
        <v>218</v>
      </c>
      <c r="AU214" t="s">
        <v>268</v>
      </c>
      <c r="AV214">
        <v>11.7</v>
      </c>
    </row>
    <row r="215" spans="40:48" x14ac:dyDescent="0.25">
      <c r="AN215" t="s">
        <v>129</v>
      </c>
      <c r="AO215" t="s">
        <v>60</v>
      </c>
      <c r="AP215">
        <v>2000</v>
      </c>
      <c r="AQ215" t="s">
        <v>72</v>
      </c>
      <c r="AR215" t="s">
        <v>307</v>
      </c>
      <c r="AS215" t="s">
        <v>319</v>
      </c>
      <c r="AT215" t="s">
        <v>238</v>
      </c>
      <c r="AU215" t="s">
        <v>310</v>
      </c>
      <c r="AV215">
        <v>0</v>
      </c>
    </row>
    <row r="216" spans="40:48" x14ac:dyDescent="0.25">
      <c r="AN216" t="s">
        <v>129</v>
      </c>
      <c r="AO216" t="s">
        <v>60</v>
      </c>
      <c r="AP216">
        <v>2000</v>
      </c>
      <c r="AQ216" t="s">
        <v>72</v>
      </c>
      <c r="AR216" t="s">
        <v>307</v>
      </c>
      <c r="AS216" t="s">
        <v>319</v>
      </c>
      <c r="AT216" t="s">
        <v>238</v>
      </c>
      <c r="AU216" t="s">
        <v>311</v>
      </c>
      <c r="AV216">
        <v>0</v>
      </c>
    </row>
    <row r="217" spans="40:48" x14ac:dyDescent="0.25">
      <c r="AN217" t="s">
        <v>129</v>
      </c>
      <c r="AO217" t="s">
        <v>60</v>
      </c>
      <c r="AP217">
        <v>2000</v>
      </c>
      <c r="AQ217" t="s">
        <v>72</v>
      </c>
      <c r="AR217" t="s">
        <v>307</v>
      </c>
      <c r="AS217" t="s">
        <v>319</v>
      </c>
      <c r="AT217" t="s">
        <v>238</v>
      </c>
      <c r="AU217" t="s">
        <v>268</v>
      </c>
      <c r="AV217">
        <v>0</v>
      </c>
    </row>
    <row r="218" spans="40:48" x14ac:dyDescent="0.25">
      <c r="AN218" t="s">
        <v>129</v>
      </c>
      <c r="AO218" t="s">
        <v>60</v>
      </c>
      <c r="AP218">
        <v>2000</v>
      </c>
      <c r="AQ218" t="s">
        <v>72</v>
      </c>
      <c r="AR218" t="s">
        <v>307</v>
      </c>
      <c r="AS218" t="s">
        <v>319</v>
      </c>
      <c r="AT218" t="s">
        <v>239</v>
      </c>
      <c r="AU218" t="s">
        <v>310</v>
      </c>
      <c r="AV218">
        <v>0</v>
      </c>
    </row>
    <row r="219" spans="40:48" x14ac:dyDescent="0.25">
      <c r="AN219" t="s">
        <v>129</v>
      </c>
      <c r="AO219" t="s">
        <v>60</v>
      </c>
      <c r="AP219">
        <v>2000</v>
      </c>
      <c r="AQ219" t="s">
        <v>72</v>
      </c>
      <c r="AR219" t="s">
        <v>307</v>
      </c>
      <c r="AS219" t="s">
        <v>319</v>
      </c>
      <c r="AT219" t="s">
        <v>239</v>
      </c>
      <c r="AU219" t="s">
        <v>311</v>
      </c>
      <c r="AV219">
        <v>0</v>
      </c>
    </row>
    <row r="220" spans="40:48" x14ac:dyDescent="0.25">
      <c r="AN220" t="s">
        <v>129</v>
      </c>
      <c r="AO220" t="s">
        <v>60</v>
      </c>
      <c r="AP220">
        <v>2000</v>
      </c>
      <c r="AQ220" t="s">
        <v>72</v>
      </c>
      <c r="AR220" t="s">
        <v>307</v>
      </c>
      <c r="AS220" t="s">
        <v>319</v>
      </c>
      <c r="AT220" t="s">
        <v>239</v>
      </c>
      <c r="AU220" t="s">
        <v>268</v>
      </c>
      <c r="AV220">
        <v>0</v>
      </c>
    </row>
    <row r="221" spans="40:48" x14ac:dyDescent="0.25">
      <c r="AN221" t="s">
        <v>129</v>
      </c>
      <c r="AO221" t="s">
        <v>60</v>
      </c>
      <c r="AP221">
        <v>2000</v>
      </c>
      <c r="AQ221" t="s">
        <v>72</v>
      </c>
      <c r="AR221" t="s">
        <v>307</v>
      </c>
      <c r="AS221" t="s">
        <v>319</v>
      </c>
      <c r="AT221" t="s">
        <v>240</v>
      </c>
      <c r="AU221" t="s">
        <v>310</v>
      </c>
      <c r="AV221">
        <v>4</v>
      </c>
    </row>
    <row r="222" spans="40:48" x14ac:dyDescent="0.25">
      <c r="AN222" t="s">
        <v>129</v>
      </c>
      <c r="AO222" t="s">
        <v>60</v>
      </c>
      <c r="AP222">
        <v>2000</v>
      </c>
      <c r="AQ222" t="s">
        <v>72</v>
      </c>
      <c r="AR222" t="s">
        <v>307</v>
      </c>
      <c r="AS222" t="s">
        <v>319</v>
      </c>
      <c r="AT222" t="s">
        <v>240</v>
      </c>
      <c r="AU222" t="s">
        <v>311</v>
      </c>
      <c r="AV222">
        <v>9.25</v>
      </c>
    </row>
    <row r="223" spans="40:48" x14ac:dyDescent="0.25">
      <c r="AN223" t="s">
        <v>129</v>
      </c>
      <c r="AO223" t="s">
        <v>60</v>
      </c>
      <c r="AP223">
        <v>2000</v>
      </c>
      <c r="AQ223" t="s">
        <v>72</v>
      </c>
      <c r="AR223" t="s">
        <v>307</v>
      </c>
      <c r="AS223" t="s">
        <v>319</v>
      </c>
      <c r="AT223" t="s">
        <v>240</v>
      </c>
      <c r="AU223" t="s">
        <v>268</v>
      </c>
      <c r="AV223">
        <v>13.25</v>
      </c>
    </row>
    <row r="224" spans="40:48" x14ac:dyDescent="0.25">
      <c r="AN224" t="s">
        <v>129</v>
      </c>
      <c r="AO224" t="s">
        <v>60</v>
      </c>
      <c r="AP224">
        <v>2000</v>
      </c>
      <c r="AQ224" t="s">
        <v>72</v>
      </c>
      <c r="AR224" t="s">
        <v>307</v>
      </c>
      <c r="AS224" t="s">
        <v>319</v>
      </c>
      <c r="AT224" t="s">
        <v>316</v>
      </c>
      <c r="AU224" t="s">
        <v>310</v>
      </c>
      <c r="AV224">
        <v>2.7</v>
      </c>
    </row>
    <row r="225" spans="40:48" x14ac:dyDescent="0.25">
      <c r="AN225" t="s">
        <v>129</v>
      </c>
      <c r="AO225" t="s">
        <v>60</v>
      </c>
      <c r="AP225">
        <v>2000</v>
      </c>
      <c r="AQ225" t="s">
        <v>72</v>
      </c>
      <c r="AR225" t="s">
        <v>307</v>
      </c>
      <c r="AS225" t="s">
        <v>319</v>
      </c>
      <c r="AT225" t="s">
        <v>316</v>
      </c>
      <c r="AU225" t="s">
        <v>311</v>
      </c>
      <c r="AV225">
        <v>8.65</v>
      </c>
    </row>
    <row r="226" spans="40:48" x14ac:dyDescent="0.25">
      <c r="AN226" t="s">
        <v>129</v>
      </c>
      <c r="AO226" t="s">
        <v>60</v>
      </c>
      <c r="AP226">
        <v>2000</v>
      </c>
      <c r="AQ226" t="s">
        <v>72</v>
      </c>
      <c r="AR226" t="s">
        <v>307</v>
      </c>
      <c r="AS226" t="s">
        <v>319</v>
      </c>
      <c r="AT226" t="s">
        <v>316</v>
      </c>
      <c r="AU226" t="s">
        <v>268</v>
      </c>
      <c r="AV226">
        <v>11.35</v>
      </c>
    </row>
    <row r="227" spans="40:48" x14ac:dyDescent="0.25">
      <c r="AN227" t="s">
        <v>129</v>
      </c>
      <c r="AO227" t="s">
        <v>60</v>
      </c>
      <c r="AP227">
        <v>2000</v>
      </c>
      <c r="AQ227" t="s">
        <v>72</v>
      </c>
      <c r="AR227" t="s">
        <v>307</v>
      </c>
      <c r="AS227" t="s">
        <v>319</v>
      </c>
      <c r="AT227" t="s">
        <v>242</v>
      </c>
      <c r="AU227" t="s">
        <v>310</v>
      </c>
      <c r="AV227">
        <v>0</v>
      </c>
    </row>
    <row r="228" spans="40:48" x14ac:dyDescent="0.25">
      <c r="AN228" t="s">
        <v>129</v>
      </c>
      <c r="AO228" t="s">
        <v>60</v>
      </c>
      <c r="AP228">
        <v>2000</v>
      </c>
      <c r="AQ228" t="s">
        <v>72</v>
      </c>
      <c r="AR228" t="s">
        <v>307</v>
      </c>
      <c r="AS228" t="s">
        <v>319</v>
      </c>
      <c r="AT228" t="s">
        <v>242</v>
      </c>
      <c r="AU228" t="s">
        <v>311</v>
      </c>
      <c r="AV228">
        <v>0</v>
      </c>
    </row>
    <row r="229" spans="40:48" x14ac:dyDescent="0.25">
      <c r="AN229" t="s">
        <v>129</v>
      </c>
      <c r="AO229" t="s">
        <v>60</v>
      </c>
      <c r="AP229">
        <v>2000</v>
      </c>
      <c r="AQ229" t="s">
        <v>72</v>
      </c>
      <c r="AR229" t="s">
        <v>307</v>
      </c>
      <c r="AS229" t="s">
        <v>319</v>
      </c>
      <c r="AT229" t="s">
        <v>242</v>
      </c>
      <c r="AU229" t="s">
        <v>268</v>
      </c>
      <c r="AV229">
        <v>0</v>
      </c>
    </row>
    <row r="230" spans="40:48" x14ac:dyDescent="0.25">
      <c r="AN230" t="s">
        <v>129</v>
      </c>
      <c r="AO230" t="s">
        <v>60</v>
      </c>
      <c r="AP230">
        <v>2000</v>
      </c>
      <c r="AQ230" t="s">
        <v>72</v>
      </c>
      <c r="AR230" t="s">
        <v>307</v>
      </c>
      <c r="AS230" t="s">
        <v>319</v>
      </c>
      <c r="AT230" t="s">
        <v>243</v>
      </c>
      <c r="AU230" t="s">
        <v>247</v>
      </c>
      <c r="AV230">
        <v>0</v>
      </c>
    </row>
    <row r="231" spans="40:48" x14ac:dyDescent="0.25">
      <c r="AN231" t="s">
        <v>129</v>
      </c>
      <c r="AO231" t="s">
        <v>60</v>
      </c>
      <c r="AP231">
        <v>2000</v>
      </c>
      <c r="AQ231" t="s">
        <v>72</v>
      </c>
      <c r="AR231" t="s">
        <v>307</v>
      </c>
      <c r="AS231" t="s">
        <v>319</v>
      </c>
      <c r="AT231" t="s">
        <v>243</v>
      </c>
      <c r="AU231" t="s">
        <v>248</v>
      </c>
      <c r="AV231">
        <v>0</v>
      </c>
    </row>
    <row r="232" spans="40:48" x14ac:dyDescent="0.25">
      <c r="AN232" t="s">
        <v>129</v>
      </c>
      <c r="AO232" t="s">
        <v>60</v>
      </c>
      <c r="AP232">
        <v>2000</v>
      </c>
      <c r="AQ232" t="s">
        <v>72</v>
      </c>
      <c r="AR232" t="s">
        <v>307</v>
      </c>
      <c r="AS232" t="s">
        <v>319</v>
      </c>
      <c r="AT232" t="s">
        <v>243</v>
      </c>
      <c r="AU232" t="s">
        <v>314</v>
      </c>
      <c r="AV232">
        <v>36.299999999999997</v>
      </c>
    </row>
    <row r="233" spans="40:48" x14ac:dyDescent="0.25">
      <c r="AN233" t="s">
        <v>144</v>
      </c>
      <c r="AO233" t="s">
        <v>60</v>
      </c>
      <c r="AP233">
        <v>2002</v>
      </c>
      <c r="AQ233" t="s">
        <v>62</v>
      </c>
      <c r="AR233" t="s">
        <v>307</v>
      </c>
      <c r="AS233" t="s">
        <v>319</v>
      </c>
      <c r="AT233" t="s">
        <v>218</v>
      </c>
      <c r="AU233" t="s">
        <v>310</v>
      </c>
      <c r="AV233">
        <v>0</v>
      </c>
    </row>
    <row r="234" spans="40:48" x14ac:dyDescent="0.25">
      <c r="AN234" t="s">
        <v>144</v>
      </c>
      <c r="AO234" t="s">
        <v>60</v>
      </c>
      <c r="AP234">
        <v>2002</v>
      </c>
      <c r="AQ234" t="s">
        <v>62</v>
      </c>
      <c r="AR234" t="s">
        <v>307</v>
      </c>
      <c r="AS234" t="s">
        <v>319</v>
      </c>
      <c r="AT234" t="s">
        <v>218</v>
      </c>
      <c r="AU234" t="s">
        <v>311</v>
      </c>
      <c r="AV234">
        <v>0</v>
      </c>
    </row>
    <row r="235" spans="40:48" x14ac:dyDescent="0.25">
      <c r="AN235" t="s">
        <v>144</v>
      </c>
      <c r="AO235" t="s">
        <v>60</v>
      </c>
      <c r="AP235">
        <v>2002</v>
      </c>
      <c r="AQ235" t="s">
        <v>62</v>
      </c>
      <c r="AR235" t="s">
        <v>307</v>
      </c>
      <c r="AS235" t="s">
        <v>319</v>
      </c>
      <c r="AT235" t="s">
        <v>218</v>
      </c>
      <c r="AU235" t="s">
        <v>268</v>
      </c>
      <c r="AV235">
        <v>0</v>
      </c>
    </row>
    <row r="236" spans="40:48" x14ac:dyDescent="0.25">
      <c r="AN236" t="s">
        <v>144</v>
      </c>
      <c r="AO236" t="s">
        <v>60</v>
      </c>
      <c r="AP236">
        <v>2002</v>
      </c>
      <c r="AQ236" t="s">
        <v>62</v>
      </c>
      <c r="AR236" t="s">
        <v>307</v>
      </c>
      <c r="AS236" t="s">
        <v>319</v>
      </c>
      <c r="AT236" t="s">
        <v>238</v>
      </c>
      <c r="AU236" t="s">
        <v>310</v>
      </c>
      <c r="AV236">
        <v>3.8</v>
      </c>
    </row>
    <row r="237" spans="40:48" x14ac:dyDescent="0.25">
      <c r="AN237" t="s">
        <v>144</v>
      </c>
      <c r="AO237" t="s">
        <v>60</v>
      </c>
      <c r="AP237">
        <v>2002</v>
      </c>
      <c r="AQ237" t="s">
        <v>62</v>
      </c>
      <c r="AR237" t="s">
        <v>307</v>
      </c>
      <c r="AS237" t="s">
        <v>319</v>
      </c>
      <c r="AT237" t="s">
        <v>238</v>
      </c>
      <c r="AU237" t="s">
        <v>311</v>
      </c>
      <c r="AV237">
        <v>4.1500000000000004</v>
      </c>
    </row>
    <row r="238" spans="40:48" x14ac:dyDescent="0.25">
      <c r="AN238" t="s">
        <v>144</v>
      </c>
      <c r="AO238" t="s">
        <v>60</v>
      </c>
      <c r="AP238">
        <v>2002</v>
      </c>
      <c r="AQ238" t="s">
        <v>62</v>
      </c>
      <c r="AR238" t="s">
        <v>307</v>
      </c>
      <c r="AS238" t="s">
        <v>319</v>
      </c>
      <c r="AT238" t="s">
        <v>238</v>
      </c>
      <c r="AU238" t="s">
        <v>268</v>
      </c>
      <c r="AV238">
        <v>7.95</v>
      </c>
    </row>
    <row r="239" spans="40:48" x14ac:dyDescent="0.25">
      <c r="AN239" t="s">
        <v>144</v>
      </c>
      <c r="AO239" t="s">
        <v>60</v>
      </c>
      <c r="AP239">
        <v>2002</v>
      </c>
      <c r="AQ239" t="s">
        <v>62</v>
      </c>
      <c r="AR239" t="s">
        <v>307</v>
      </c>
      <c r="AS239" t="s">
        <v>319</v>
      </c>
      <c r="AT239" t="s">
        <v>239</v>
      </c>
      <c r="AU239" t="s">
        <v>310</v>
      </c>
      <c r="AV239">
        <v>4.0999999999999996</v>
      </c>
    </row>
    <row r="240" spans="40:48" x14ac:dyDescent="0.25">
      <c r="AN240" t="s">
        <v>144</v>
      </c>
      <c r="AO240" t="s">
        <v>60</v>
      </c>
      <c r="AP240">
        <v>2002</v>
      </c>
      <c r="AQ240" t="s">
        <v>62</v>
      </c>
      <c r="AR240" t="s">
        <v>307</v>
      </c>
      <c r="AS240" t="s">
        <v>319</v>
      </c>
      <c r="AT240" t="s">
        <v>239</v>
      </c>
      <c r="AU240" t="s">
        <v>311</v>
      </c>
      <c r="AV240">
        <v>8.4</v>
      </c>
    </row>
    <row r="241" spans="40:48" x14ac:dyDescent="0.25">
      <c r="AN241" t="s">
        <v>144</v>
      </c>
      <c r="AO241" t="s">
        <v>60</v>
      </c>
      <c r="AP241">
        <v>2002</v>
      </c>
      <c r="AQ241" t="s">
        <v>62</v>
      </c>
      <c r="AR241" t="s">
        <v>307</v>
      </c>
      <c r="AS241" t="s">
        <v>319</v>
      </c>
      <c r="AT241" t="s">
        <v>239</v>
      </c>
      <c r="AU241" t="s">
        <v>268</v>
      </c>
      <c r="AV241">
        <v>12.5</v>
      </c>
    </row>
    <row r="242" spans="40:48" x14ac:dyDescent="0.25">
      <c r="AN242" t="s">
        <v>144</v>
      </c>
      <c r="AO242" t="s">
        <v>60</v>
      </c>
      <c r="AP242">
        <v>2002</v>
      </c>
      <c r="AQ242" t="s">
        <v>62</v>
      </c>
      <c r="AR242" t="s">
        <v>307</v>
      </c>
      <c r="AS242" t="s">
        <v>319</v>
      </c>
      <c r="AT242" t="s">
        <v>240</v>
      </c>
      <c r="AU242" t="s">
        <v>310</v>
      </c>
      <c r="AV242">
        <v>0</v>
      </c>
    </row>
    <row r="243" spans="40:48" x14ac:dyDescent="0.25">
      <c r="AN243" t="s">
        <v>144</v>
      </c>
      <c r="AO243" t="s">
        <v>60</v>
      </c>
      <c r="AP243">
        <v>2002</v>
      </c>
      <c r="AQ243" t="s">
        <v>62</v>
      </c>
      <c r="AR243" t="s">
        <v>307</v>
      </c>
      <c r="AS243" t="s">
        <v>319</v>
      </c>
      <c r="AT243" t="s">
        <v>240</v>
      </c>
      <c r="AU243" t="s">
        <v>311</v>
      </c>
      <c r="AV243">
        <v>0</v>
      </c>
    </row>
    <row r="244" spans="40:48" x14ac:dyDescent="0.25">
      <c r="AN244" t="s">
        <v>144</v>
      </c>
      <c r="AO244" t="s">
        <v>60</v>
      </c>
      <c r="AP244">
        <v>2002</v>
      </c>
      <c r="AQ244" t="s">
        <v>62</v>
      </c>
      <c r="AR244" t="s">
        <v>307</v>
      </c>
      <c r="AS244" t="s">
        <v>319</v>
      </c>
      <c r="AT244" t="s">
        <v>240</v>
      </c>
      <c r="AU244" t="s">
        <v>268</v>
      </c>
      <c r="AV244">
        <v>0</v>
      </c>
    </row>
    <row r="245" spans="40:48" x14ac:dyDescent="0.25">
      <c r="AN245" t="s">
        <v>144</v>
      </c>
      <c r="AO245" t="s">
        <v>60</v>
      </c>
      <c r="AP245">
        <v>2002</v>
      </c>
      <c r="AQ245" t="s">
        <v>62</v>
      </c>
      <c r="AR245" t="s">
        <v>307</v>
      </c>
      <c r="AS245" t="s">
        <v>319</v>
      </c>
      <c r="AT245" t="s">
        <v>316</v>
      </c>
      <c r="AU245" t="s">
        <v>310</v>
      </c>
      <c r="AV245">
        <v>0</v>
      </c>
    </row>
    <row r="246" spans="40:48" x14ac:dyDescent="0.25">
      <c r="AN246" t="s">
        <v>144</v>
      </c>
      <c r="AO246" t="s">
        <v>60</v>
      </c>
      <c r="AP246">
        <v>2002</v>
      </c>
      <c r="AQ246" t="s">
        <v>62</v>
      </c>
      <c r="AR246" t="s">
        <v>307</v>
      </c>
      <c r="AS246" t="s">
        <v>319</v>
      </c>
      <c r="AT246" t="s">
        <v>316</v>
      </c>
      <c r="AU246" t="s">
        <v>311</v>
      </c>
      <c r="AV246">
        <v>0</v>
      </c>
    </row>
    <row r="247" spans="40:48" x14ac:dyDescent="0.25">
      <c r="AN247" t="s">
        <v>144</v>
      </c>
      <c r="AO247" t="s">
        <v>60</v>
      </c>
      <c r="AP247">
        <v>2002</v>
      </c>
      <c r="AQ247" t="s">
        <v>62</v>
      </c>
      <c r="AR247" t="s">
        <v>307</v>
      </c>
      <c r="AS247" t="s">
        <v>319</v>
      </c>
      <c r="AT247" t="s">
        <v>316</v>
      </c>
      <c r="AU247" t="s">
        <v>268</v>
      </c>
      <c r="AV247">
        <v>0</v>
      </c>
    </row>
    <row r="248" spans="40:48" x14ac:dyDescent="0.25">
      <c r="AN248" t="s">
        <v>144</v>
      </c>
      <c r="AO248" t="s">
        <v>60</v>
      </c>
      <c r="AP248">
        <v>2002</v>
      </c>
      <c r="AQ248" t="s">
        <v>62</v>
      </c>
      <c r="AR248" t="s">
        <v>307</v>
      </c>
      <c r="AS248" t="s">
        <v>319</v>
      </c>
      <c r="AT248" t="s">
        <v>242</v>
      </c>
      <c r="AU248" t="s">
        <v>310</v>
      </c>
      <c r="AV248">
        <v>3.8</v>
      </c>
    </row>
    <row r="249" spans="40:48" x14ac:dyDescent="0.25">
      <c r="AN249" t="s">
        <v>144</v>
      </c>
      <c r="AO249" t="s">
        <v>60</v>
      </c>
      <c r="AP249">
        <v>2002</v>
      </c>
      <c r="AQ249" t="s">
        <v>62</v>
      </c>
      <c r="AR249" t="s">
        <v>307</v>
      </c>
      <c r="AS249" t="s">
        <v>319</v>
      </c>
      <c r="AT249" t="s">
        <v>242</v>
      </c>
      <c r="AU249" t="s">
        <v>311</v>
      </c>
      <c r="AV249">
        <v>8.4</v>
      </c>
    </row>
    <row r="250" spans="40:48" x14ac:dyDescent="0.25">
      <c r="AN250" t="s">
        <v>144</v>
      </c>
      <c r="AO250" t="s">
        <v>60</v>
      </c>
      <c r="AP250">
        <v>2002</v>
      </c>
      <c r="AQ250" t="s">
        <v>62</v>
      </c>
      <c r="AR250" t="s">
        <v>307</v>
      </c>
      <c r="AS250" t="s">
        <v>319</v>
      </c>
      <c r="AT250" t="s">
        <v>242</v>
      </c>
      <c r="AU250" t="s">
        <v>268</v>
      </c>
      <c r="AV250">
        <v>12.2</v>
      </c>
    </row>
    <row r="251" spans="40:48" x14ac:dyDescent="0.25">
      <c r="AN251" t="s">
        <v>144</v>
      </c>
      <c r="AO251" t="s">
        <v>60</v>
      </c>
      <c r="AP251">
        <v>2002</v>
      </c>
      <c r="AQ251" t="s">
        <v>62</v>
      </c>
      <c r="AR251" t="s">
        <v>307</v>
      </c>
      <c r="AS251" t="s">
        <v>319</v>
      </c>
      <c r="AT251" t="s">
        <v>243</v>
      </c>
      <c r="AU251" t="s">
        <v>247</v>
      </c>
      <c r="AV251">
        <v>0</v>
      </c>
    </row>
    <row r="252" spans="40:48" x14ac:dyDescent="0.25">
      <c r="AN252" t="s">
        <v>144</v>
      </c>
      <c r="AO252" t="s">
        <v>60</v>
      </c>
      <c r="AP252">
        <v>2002</v>
      </c>
      <c r="AQ252" t="s">
        <v>62</v>
      </c>
      <c r="AR252" t="s">
        <v>307</v>
      </c>
      <c r="AS252" t="s">
        <v>319</v>
      </c>
      <c r="AT252" t="s">
        <v>243</v>
      </c>
      <c r="AU252" t="s">
        <v>248</v>
      </c>
      <c r="AV252">
        <v>0</v>
      </c>
    </row>
    <row r="253" spans="40:48" x14ac:dyDescent="0.25">
      <c r="AN253" t="s">
        <v>144</v>
      </c>
      <c r="AO253" t="s">
        <v>60</v>
      </c>
      <c r="AP253">
        <v>2002</v>
      </c>
      <c r="AQ253" t="s">
        <v>62</v>
      </c>
      <c r="AR253" t="s">
        <v>307</v>
      </c>
      <c r="AS253" t="s">
        <v>319</v>
      </c>
      <c r="AT253" t="s">
        <v>243</v>
      </c>
      <c r="AU253" t="s">
        <v>314</v>
      </c>
      <c r="AV253">
        <v>32.65</v>
      </c>
    </row>
    <row r="254" spans="40:48" x14ac:dyDescent="0.25">
      <c r="AN254" t="s">
        <v>68</v>
      </c>
      <c r="AO254" t="s">
        <v>60</v>
      </c>
      <c r="AP254">
        <v>2004</v>
      </c>
      <c r="AQ254" t="s">
        <v>31</v>
      </c>
      <c r="AR254" t="s">
        <v>307</v>
      </c>
      <c r="AS254" t="s">
        <v>319</v>
      </c>
      <c r="AT254" t="s">
        <v>218</v>
      </c>
      <c r="AU254" t="s">
        <v>310</v>
      </c>
      <c r="AV254">
        <v>0</v>
      </c>
    </row>
    <row r="255" spans="40:48" x14ac:dyDescent="0.25">
      <c r="AN255" t="s">
        <v>68</v>
      </c>
      <c r="AO255" t="s">
        <v>60</v>
      </c>
      <c r="AP255">
        <v>2004</v>
      </c>
      <c r="AQ255" t="s">
        <v>31</v>
      </c>
      <c r="AR255" t="s">
        <v>307</v>
      </c>
      <c r="AS255" t="s">
        <v>319</v>
      </c>
      <c r="AT255" t="s">
        <v>218</v>
      </c>
      <c r="AU255" t="s">
        <v>311</v>
      </c>
      <c r="AV255">
        <v>0</v>
      </c>
    </row>
    <row r="256" spans="40:48" x14ac:dyDescent="0.25">
      <c r="AN256" t="s">
        <v>68</v>
      </c>
      <c r="AO256" t="s">
        <v>60</v>
      </c>
      <c r="AP256">
        <v>2004</v>
      </c>
      <c r="AQ256" t="s">
        <v>31</v>
      </c>
      <c r="AR256" t="s">
        <v>307</v>
      </c>
      <c r="AS256" t="s">
        <v>319</v>
      </c>
      <c r="AT256" t="s">
        <v>218</v>
      </c>
      <c r="AU256" t="s">
        <v>268</v>
      </c>
      <c r="AV256">
        <v>0</v>
      </c>
    </row>
    <row r="257" spans="40:48" x14ac:dyDescent="0.25">
      <c r="AN257" t="s">
        <v>68</v>
      </c>
      <c r="AO257" t="s">
        <v>60</v>
      </c>
      <c r="AP257">
        <v>2004</v>
      </c>
      <c r="AQ257" t="s">
        <v>31</v>
      </c>
      <c r="AR257" t="s">
        <v>307</v>
      </c>
      <c r="AS257" t="s">
        <v>319</v>
      </c>
      <c r="AT257" t="s">
        <v>238</v>
      </c>
      <c r="AU257" t="s">
        <v>310</v>
      </c>
      <c r="AV257">
        <v>0</v>
      </c>
    </row>
    <row r="258" spans="40:48" x14ac:dyDescent="0.25">
      <c r="AN258" t="s">
        <v>68</v>
      </c>
      <c r="AO258" t="s">
        <v>60</v>
      </c>
      <c r="AP258">
        <v>2004</v>
      </c>
      <c r="AQ258" t="s">
        <v>31</v>
      </c>
      <c r="AR258" t="s">
        <v>307</v>
      </c>
      <c r="AS258" t="s">
        <v>319</v>
      </c>
      <c r="AT258" t="s">
        <v>238</v>
      </c>
      <c r="AU258" t="s">
        <v>311</v>
      </c>
      <c r="AV258">
        <v>0</v>
      </c>
    </row>
    <row r="259" spans="40:48" x14ac:dyDescent="0.25">
      <c r="AN259" t="s">
        <v>68</v>
      </c>
      <c r="AO259" t="s">
        <v>60</v>
      </c>
      <c r="AP259">
        <v>2004</v>
      </c>
      <c r="AQ259" t="s">
        <v>31</v>
      </c>
      <c r="AR259" t="s">
        <v>307</v>
      </c>
      <c r="AS259" t="s">
        <v>319</v>
      </c>
      <c r="AT259" t="s">
        <v>238</v>
      </c>
      <c r="AU259" t="s">
        <v>268</v>
      </c>
      <c r="AV259">
        <v>0</v>
      </c>
    </row>
    <row r="260" spans="40:48" x14ac:dyDescent="0.25">
      <c r="AN260" t="s">
        <v>68</v>
      </c>
      <c r="AO260" t="s">
        <v>60</v>
      </c>
      <c r="AP260">
        <v>2004</v>
      </c>
      <c r="AQ260" t="s">
        <v>31</v>
      </c>
      <c r="AR260" t="s">
        <v>307</v>
      </c>
      <c r="AS260" t="s">
        <v>319</v>
      </c>
      <c r="AT260" t="s">
        <v>239</v>
      </c>
      <c r="AU260" t="s">
        <v>310</v>
      </c>
      <c r="AV260">
        <v>3.2</v>
      </c>
    </row>
    <row r="261" spans="40:48" x14ac:dyDescent="0.25">
      <c r="AN261" t="s">
        <v>68</v>
      </c>
      <c r="AO261" t="s">
        <v>60</v>
      </c>
      <c r="AP261">
        <v>2004</v>
      </c>
      <c r="AQ261" t="s">
        <v>31</v>
      </c>
      <c r="AR261" t="s">
        <v>307</v>
      </c>
      <c r="AS261" t="s">
        <v>319</v>
      </c>
      <c r="AT261" t="s">
        <v>239</v>
      </c>
      <c r="AU261" t="s">
        <v>311</v>
      </c>
      <c r="AV261">
        <v>7.4</v>
      </c>
    </row>
    <row r="262" spans="40:48" x14ac:dyDescent="0.25">
      <c r="AN262" t="s">
        <v>68</v>
      </c>
      <c r="AO262" t="s">
        <v>60</v>
      </c>
      <c r="AP262">
        <v>2004</v>
      </c>
      <c r="AQ262" t="s">
        <v>31</v>
      </c>
      <c r="AR262" t="s">
        <v>307</v>
      </c>
      <c r="AS262" t="s">
        <v>319</v>
      </c>
      <c r="AT262" t="s">
        <v>239</v>
      </c>
      <c r="AU262" t="s">
        <v>268</v>
      </c>
      <c r="AV262">
        <v>10.6</v>
      </c>
    </row>
    <row r="263" spans="40:48" x14ac:dyDescent="0.25">
      <c r="AN263" t="s">
        <v>68</v>
      </c>
      <c r="AO263" t="s">
        <v>60</v>
      </c>
      <c r="AP263">
        <v>2004</v>
      </c>
      <c r="AQ263" t="s">
        <v>31</v>
      </c>
      <c r="AR263" t="s">
        <v>307</v>
      </c>
      <c r="AS263" t="s">
        <v>319</v>
      </c>
      <c r="AT263" t="s">
        <v>240</v>
      </c>
      <c r="AU263" t="s">
        <v>310</v>
      </c>
      <c r="AV263">
        <v>0</v>
      </c>
    </row>
    <row r="264" spans="40:48" x14ac:dyDescent="0.25">
      <c r="AN264" t="s">
        <v>68</v>
      </c>
      <c r="AO264" t="s">
        <v>60</v>
      </c>
      <c r="AP264">
        <v>2004</v>
      </c>
      <c r="AQ264" t="s">
        <v>31</v>
      </c>
      <c r="AR264" t="s">
        <v>307</v>
      </c>
      <c r="AS264" t="s">
        <v>319</v>
      </c>
      <c r="AT264" t="s">
        <v>240</v>
      </c>
      <c r="AU264" t="s">
        <v>311</v>
      </c>
      <c r="AV264">
        <v>0</v>
      </c>
    </row>
    <row r="265" spans="40:48" x14ac:dyDescent="0.25">
      <c r="AN265" t="s">
        <v>68</v>
      </c>
      <c r="AO265" t="s">
        <v>60</v>
      </c>
      <c r="AP265">
        <v>2004</v>
      </c>
      <c r="AQ265" t="s">
        <v>31</v>
      </c>
      <c r="AR265" t="s">
        <v>307</v>
      </c>
      <c r="AS265" t="s">
        <v>319</v>
      </c>
      <c r="AT265" t="s">
        <v>240</v>
      </c>
      <c r="AU265" t="s">
        <v>268</v>
      </c>
      <c r="AV265">
        <v>0</v>
      </c>
    </row>
    <row r="266" spans="40:48" x14ac:dyDescent="0.25">
      <c r="AN266" t="s">
        <v>68</v>
      </c>
      <c r="AO266" t="s">
        <v>60</v>
      </c>
      <c r="AP266">
        <v>2004</v>
      </c>
      <c r="AQ266" t="s">
        <v>31</v>
      </c>
      <c r="AR266" t="s">
        <v>307</v>
      </c>
      <c r="AS266" t="s">
        <v>319</v>
      </c>
      <c r="AT266" t="s">
        <v>316</v>
      </c>
      <c r="AU266" t="s">
        <v>310</v>
      </c>
      <c r="AV266">
        <v>2.7</v>
      </c>
    </row>
    <row r="267" spans="40:48" x14ac:dyDescent="0.25">
      <c r="AN267" t="s">
        <v>68</v>
      </c>
      <c r="AO267" t="s">
        <v>60</v>
      </c>
      <c r="AP267">
        <v>2004</v>
      </c>
      <c r="AQ267" t="s">
        <v>31</v>
      </c>
      <c r="AR267" t="s">
        <v>307</v>
      </c>
      <c r="AS267" t="s">
        <v>319</v>
      </c>
      <c r="AT267" t="s">
        <v>316</v>
      </c>
      <c r="AU267" t="s">
        <v>311</v>
      </c>
      <c r="AV267">
        <v>6.85</v>
      </c>
    </row>
    <row r="268" spans="40:48" x14ac:dyDescent="0.25">
      <c r="AN268" t="s">
        <v>68</v>
      </c>
      <c r="AO268" t="s">
        <v>60</v>
      </c>
      <c r="AP268">
        <v>2004</v>
      </c>
      <c r="AQ268" t="s">
        <v>31</v>
      </c>
      <c r="AR268" t="s">
        <v>307</v>
      </c>
      <c r="AS268" t="s">
        <v>319</v>
      </c>
      <c r="AT268" t="s">
        <v>316</v>
      </c>
      <c r="AU268" t="s">
        <v>268</v>
      </c>
      <c r="AV268">
        <v>9.5500000000000007</v>
      </c>
    </row>
    <row r="269" spans="40:48" x14ac:dyDescent="0.25">
      <c r="AN269" t="s">
        <v>68</v>
      </c>
      <c r="AO269" t="s">
        <v>60</v>
      </c>
      <c r="AP269">
        <v>2004</v>
      </c>
      <c r="AQ269" t="s">
        <v>31</v>
      </c>
      <c r="AR269" t="s">
        <v>307</v>
      </c>
      <c r="AS269" t="s">
        <v>319</v>
      </c>
      <c r="AT269" t="s">
        <v>242</v>
      </c>
      <c r="AU269" t="s">
        <v>310</v>
      </c>
      <c r="AV269">
        <v>2.1</v>
      </c>
    </row>
    <row r="270" spans="40:48" x14ac:dyDescent="0.25">
      <c r="AN270" t="s">
        <v>68</v>
      </c>
      <c r="AO270" t="s">
        <v>60</v>
      </c>
      <c r="AP270">
        <v>2004</v>
      </c>
      <c r="AQ270" t="s">
        <v>31</v>
      </c>
      <c r="AR270" t="s">
        <v>307</v>
      </c>
      <c r="AS270" t="s">
        <v>319</v>
      </c>
      <c r="AT270" t="s">
        <v>242</v>
      </c>
      <c r="AU270" t="s">
        <v>311</v>
      </c>
      <c r="AV270">
        <v>8.4</v>
      </c>
    </row>
    <row r="271" spans="40:48" x14ac:dyDescent="0.25">
      <c r="AN271" t="s">
        <v>68</v>
      </c>
      <c r="AO271" t="s">
        <v>60</v>
      </c>
      <c r="AP271">
        <v>2004</v>
      </c>
      <c r="AQ271" t="s">
        <v>31</v>
      </c>
      <c r="AR271" t="s">
        <v>307</v>
      </c>
      <c r="AS271" t="s">
        <v>319</v>
      </c>
      <c r="AT271" t="s">
        <v>242</v>
      </c>
      <c r="AU271" t="s">
        <v>268</v>
      </c>
      <c r="AV271">
        <v>10.5</v>
      </c>
    </row>
    <row r="272" spans="40:48" x14ac:dyDescent="0.25">
      <c r="AN272" t="s">
        <v>68</v>
      </c>
      <c r="AO272" t="s">
        <v>60</v>
      </c>
      <c r="AP272">
        <v>2004</v>
      </c>
      <c r="AQ272" t="s">
        <v>31</v>
      </c>
      <c r="AR272" t="s">
        <v>307</v>
      </c>
      <c r="AS272" t="s">
        <v>319</v>
      </c>
      <c r="AT272" t="s">
        <v>243</v>
      </c>
      <c r="AU272" t="s">
        <v>247</v>
      </c>
      <c r="AV272">
        <v>0</v>
      </c>
    </row>
    <row r="273" spans="40:48" x14ac:dyDescent="0.25">
      <c r="AN273" t="s">
        <v>68</v>
      </c>
      <c r="AO273" t="s">
        <v>60</v>
      </c>
      <c r="AP273">
        <v>2004</v>
      </c>
      <c r="AQ273" t="s">
        <v>31</v>
      </c>
      <c r="AR273" t="s">
        <v>307</v>
      </c>
      <c r="AS273" t="s">
        <v>319</v>
      </c>
      <c r="AT273" t="s">
        <v>243</v>
      </c>
      <c r="AU273" t="s">
        <v>248</v>
      </c>
      <c r="AV273">
        <v>0</v>
      </c>
    </row>
    <row r="274" spans="40:48" x14ac:dyDescent="0.25">
      <c r="AN274" t="s">
        <v>68</v>
      </c>
      <c r="AO274" t="s">
        <v>60</v>
      </c>
      <c r="AP274">
        <v>2004</v>
      </c>
      <c r="AQ274" t="s">
        <v>31</v>
      </c>
      <c r="AR274" t="s">
        <v>307</v>
      </c>
      <c r="AS274" t="s">
        <v>319</v>
      </c>
      <c r="AT274" t="s">
        <v>243</v>
      </c>
      <c r="AU274" t="s">
        <v>314</v>
      </c>
      <c r="AV274">
        <v>30.65</v>
      </c>
    </row>
    <row r="275" spans="40:48" x14ac:dyDescent="0.25">
      <c r="AN275" t="s">
        <v>106</v>
      </c>
      <c r="AO275" t="s">
        <v>60</v>
      </c>
      <c r="AP275">
        <v>2004</v>
      </c>
      <c r="AQ275" t="s">
        <v>31</v>
      </c>
      <c r="AR275" t="s">
        <v>307</v>
      </c>
      <c r="AS275" t="s">
        <v>319</v>
      </c>
      <c r="AT275" t="s">
        <v>218</v>
      </c>
      <c r="AU275" t="s">
        <v>310</v>
      </c>
      <c r="AV275">
        <v>3.9</v>
      </c>
    </row>
    <row r="276" spans="40:48" x14ac:dyDescent="0.25">
      <c r="AN276" t="s">
        <v>106</v>
      </c>
      <c r="AO276" t="s">
        <v>60</v>
      </c>
      <c r="AP276">
        <v>2004</v>
      </c>
      <c r="AQ276" t="s">
        <v>31</v>
      </c>
      <c r="AR276" t="s">
        <v>307</v>
      </c>
      <c r="AS276" t="s">
        <v>319</v>
      </c>
      <c r="AT276" t="s">
        <v>218</v>
      </c>
      <c r="AU276" t="s">
        <v>311</v>
      </c>
      <c r="AV276">
        <v>8.4</v>
      </c>
    </row>
    <row r="277" spans="40:48" x14ac:dyDescent="0.25">
      <c r="AN277" t="s">
        <v>106</v>
      </c>
      <c r="AO277" t="s">
        <v>60</v>
      </c>
      <c r="AP277">
        <v>2004</v>
      </c>
      <c r="AQ277" t="s">
        <v>31</v>
      </c>
      <c r="AR277" t="s">
        <v>307</v>
      </c>
      <c r="AS277" t="s">
        <v>319</v>
      </c>
      <c r="AT277" t="s">
        <v>218</v>
      </c>
      <c r="AU277" t="s">
        <v>268</v>
      </c>
      <c r="AV277">
        <v>12.3</v>
      </c>
    </row>
    <row r="278" spans="40:48" x14ac:dyDescent="0.25">
      <c r="AN278" t="s">
        <v>106</v>
      </c>
      <c r="AO278" t="s">
        <v>60</v>
      </c>
      <c r="AP278">
        <v>2004</v>
      </c>
      <c r="AQ278" t="s">
        <v>31</v>
      </c>
      <c r="AR278" t="s">
        <v>307</v>
      </c>
      <c r="AS278" t="s">
        <v>319</v>
      </c>
      <c r="AT278" t="s">
        <v>238</v>
      </c>
      <c r="AU278" t="s">
        <v>310</v>
      </c>
      <c r="AV278">
        <v>2.2999999999999998</v>
      </c>
    </row>
    <row r="279" spans="40:48" x14ac:dyDescent="0.25">
      <c r="AN279" t="s">
        <v>106</v>
      </c>
      <c r="AO279" t="s">
        <v>60</v>
      </c>
      <c r="AP279">
        <v>2004</v>
      </c>
      <c r="AQ279" t="s">
        <v>31</v>
      </c>
      <c r="AR279" t="s">
        <v>307</v>
      </c>
      <c r="AS279" t="s">
        <v>319</v>
      </c>
      <c r="AT279" t="s">
        <v>238</v>
      </c>
      <c r="AU279" t="s">
        <v>311</v>
      </c>
      <c r="AV279">
        <v>2</v>
      </c>
    </row>
    <row r="280" spans="40:48" x14ac:dyDescent="0.25">
      <c r="AN280" t="s">
        <v>106</v>
      </c>
      <c r="AO280" t="s">
        <v>60</v>
      </c>
      <c r="AP280">
        <v>2004</v>
      </c>
      <c r="AQ280" t="s">
        <v>31</v>
      </c>
      <c r="AR280" t="s">
        <v>307</v>
      </c>
      <c r="AS280" t="s">
        <v>319</v>
      </c>
      <c r="AT280" t="s">
        <v>238</v>
      </c>
      <c r="AU280" t="s">
        <v>268</v>
      </c>
      <c r="AV280">
        <v>4.3</v>
      </c>
    </row>
    <row r="281" spans="40:48" x14ac:dyDescent="0.25">
      <c r="AN281" t="s">
        <v>106</v>
      </c>
      <c r="AO281" t="s">
        <v>60</v>
      </c>
      <c r="AP281">
        <v>2004</v>
      </c>
      <c r="AQ281" t="s">
        <v>31</v>
      </c>
      <c r="AR281" t="s">
        <v>307</v>
      </c>
      <c r="AS281" t="s">
        <v>319</v>
      </c>
      <c r="AT281" t="s">
        <v>239</v>
      </c>
      <c r="AU281" t="s">
        <v>310</v>
      </c>
      <c r="AV281">
        <v>0</v>
      </c>
    </row>
    <row r="282" spans="40:48" x14ac:dyDescent="0.25">
      <c r="AN282" t="s">
        <v>106</v>
      </c>
      <c r="AO282" t="s">
        <v>60</v>
      </c>
      <c r="AP282">
        <v>2004</v>
      </c>
      <c r="AQ282" t="s">
        <v>31</v>
      </c>
      <c r="AR282" t="s">
        <v>307</v>
      </c>
      <c r="AS282" t="s">
        <v>319</v>
      </c>
      <c r="AT282" t="s">
        <v>239</v>
      </c>
      <c r="AU282" t="s">
        <v>311</v>
      </c>
      <c r="AV282">
        <v>0</v>
      </c>
    </row>
    <row r="283" spans="40:48" x14ac:dyDescent="0.25">
      <c r="AN283" t="s">
        <v>106</v>
      </c>
      <c r="AO283" t="s">
        <v>60</v>
      </c>
      <c r="AP283">
        <v>2004</v>
      </c>
      <c r="AQ283" t="s">
        <v>31</v>
      </c>
      <c r="AR283" t="s">
        <v>307</v>
      </c>
      <c r="AS283" t="s">
        <v>319</v>
      </c>
      <c r="AT283" t="s">
        <v>239</v>
      </c>
      <c r="AU283" t="s">
        <v>268</v>
      </c>
      <c r="AV283">
        <v>0</v>
      </c>
    </row>
    <row r="284" spans="40:48" x14ac:dyDescent="0.25">
      <c r="AN284" t="s">
        <v>106</v>
      </c>
      <c r="AO284" t="s">
        <v>60</v>
      </c>
      <c r="AP284">
        <v>2004</v>
      </c>
      <c r="AQ284" t="s">
        <v>31</v>
      </c>
      <c r="AR284" t="s">
        <v>307</v>
      </c>
      <c r="AS284" t="s">
        <v>319</v>
      </c>
      <c r="AT284" t="s">
        <v>240</v>
      </c>
      <c r="AU284" t="s">
        <v>310</v>
      </c>
      <c r="AV284">
        <v>0</v>
      </c>
    </row>
    <row r="285" spans="40:48" x14ac:dyDescent="0.25">
      <c r="AN285" t="s">
        <v>106</v>
      </c>
      <c r="AO285" t="s">
        <v>60</v>
      </c>
      <c r="AP285">
        <v>2004</v>
      </c>
      <c r="AQ285" t="s">
        <v>31</v>
      </c>
      <c r="AR285" t="s">
        <v>307</v>
      </c>
      <c r="AS285" t="s">
        <v>319</v>
      </c>
      <c r="AT285" t="s">
        <v>240</v>
      </c>
      <c r="AU285" t="s">
        <v>311</v>
      </c>
      <c r="AV285">
        <v>0</v>
      </c>
    </row>
    <row r="286" spans="40:48" x14ac:dyDescent="0.25">
      <c r="AN286" t="s">
        <v>106</v>
      </c>
      <c r="AO286" t="s">
        <v>60</v>
      </c>
      <c r="AP286">
        <v>2004</v>
      </c>
      <c r="AQ286" t="s">
        <v>31</v>
      </c>
      <c r="AR286" t="s">
        <v>307</v>
      </c>
      <c r="AS286" t="s">
        <v>319</v>
      </c>
      <c r="AT286" t="s">
        <v>240</v>
      </c>
      <c r="AU286" t="s">
        <v>268</v>
      </c>
      <c r="AV286">
        <v>0</v>
      </c>
    </row>
    <row r="287" spans="40:48" x14ac:dyDescent="0.25">
      <c r="AN287" t="s">
        <v>106</v>
      </c>
      <c r="AO287" t="s">
        <v>60</v>
      </c>
      <c r="AP287">
        <v>2004</v>
      </c>
      <c r="AQ287" t="s">
        <v>31</v>
      </c>
      <c r="AR287" t="s">
        <v>307</v>
      </c>
      <c r="AS287" t="s">
        <v>319</v>
      </c>
      <c r="AT287" t="s">
        <v>316</v>
      </c>
      <c r="AU287" t="s">
        <v>310</v>
      </c>
      <c r="AV287">
        <v>2.5</v>
      </c>
    </row>
    <row r="288" spans="40:48" x14ac:dyDescent="0.25">
      <c r="AN288" t="s">
        <v>106</v>
      </c>
      <c r="AO288" t="s">
        <v>60</v>
      </c>
      <c r="AP288">
        <v>2004</v>
      </c>
      <c r="AQ288" t="s">
        <v>31</v>
      </c>
      <c r="AR288" t="s">
        <v>307</v>
      </c>
      <c r="AS288" t="s">
        <v>319</v>
      </c>
      <c r="AT288" t="s">
        <v>316</v>
      </c>
      <c r="AU288" t="s">
        <v>311</v>
      </c>
      <c r="AV288">
        <v>7.45</v>
      </c>
    </row>
    <row r="289" spans="40:48" x14ac:dyDescent="0.25">
      <c r="AN289" t="s">
        <v>106</v>
      </c>
      <c r="AO289" t="s">
        <v>60</v>
      </c>
      <c r="AP289">
        <v>2004</v>
      </c>
      <c r="AQ289" t="s">
        <v>31</v>
      </c>
      <c r="AR289" t="s">
        <v>307</v>
      </c>
      <c r="AS289" t="s">
        <v>319</v>
      </c>
      <c r="AT289" t="s">
        <v>316</v>
      </c>
      <c r="AU289" t="s">
        <v>268</v>
      </c>
      <c r="AV289">
        <v>9.9499999999999993</v>
      </c>
    </row>
    <row r="290" spans="40:48" x14ac:dyDescent="0.25">
      <c r="AN290" t="s">
        <v>106</v>
      </c>
      <c r="AO290" t="s">
        <v>60</v>
      </c>
      <c r="AP290">
        <v>2004</v>
      </c>
      <c r="AQ290" t="s">
        <v>31</v>
      </c>
      <c r="AR290" t="s">
        <v>307</v>
      </c>
      <c r="AS290" t="s">
        <v>319</v>
      </c>
      <c r="AT290" t="s">
        <v>242</v>
      </c>
      <c r="AU290" t="s">
        <v>310</v>
      </c>
      <c r="AV290">
        <v>0</v>
      </c>
    </row>
    <row r="291" spans="40:48" x14ac:dyDescent="0.25">
      <c r="AN291" t="s">
        <v>106</v>
      </c>
      <c r="AO291" t="s">
        <v>60</v>
      </c>
      <c r="AP291">
        <v>2004</v>
      </c>
      <c r="AQ291" t="s">
        <v>31</v>
      </c>
      <c r="AR291" t="s">
        <v>307</v>
      </c>
      <c r="AS291" t="s">
        <v>319</v>
      </c>
      <c r="AT291" t="s">
        <v>242</v>
      </c>
      <c r="AU291" t="s">
        <v>311</v>
      </c>
      <c r="AV291">
        <v>0</v>
      </c>
    </row>
    <row r="292" spans="40:48" x14ac:dyDescent="0.25">
      <c r="AN292" t="s">
        <v>106</v>
      </c>
      <c r="AO292" t="s">
        <v>60</v>
      </c>
      <c r="AP292">
        <v>2004</v>
      </c>
      <c r="AQ292" t="s">
        <v>31</v>
      </c>
      <c r="AR292" t="s">
        <v>307</v>
      </c>
      <c r="AS292" t="s">
        <v>319</v>
      </c>
      <c r="AT292" t="s">
        <v>242</v>
      </c>
      <c r="AU292" t="s">
        <v>268</v>
      </c>
      <c r="AV292">
        <v>0</v>
      </c>
    </row>
    <row r="293" spans="40:48" x14ac:dyDescent="0.25">
      <c r="AN293" t="s">
        <v>106</v>
      </c>
      <c r="AO293" t="s">
        <v>60</v>
      </c>
      <c r="AP293">
        <v>2004</v>
      </c>
      <c r="AQ293" t="s">
        <v>31</v>
      </c>
      <c r="AR293" t="s">
        <v>307</v>
      </c>
      <c r="AS293" t="s">
        <v>319</v>
      </c>
      <c r="AT293" t="s">
        <v>243</v>
      </c>
      <c r="AU293" t="s">
        <v>247</v>
      </c>
      <c r="AV293">
        <v>0</v>
      </c>
    </row>
    <row r="294" spans="40:48" x14ac:dyDescent="0.25">
      <c r="AN294" t="s">
        <v>106</v>
      </c>
      <c r="AO294" t="s">
        <v>60</v>
      </c>
      <c r="AP294">
        <v>2004</v>
      </c>
      <c r="AQ294" t="s">
        <v>31</v>
      </c>
      <c r="AR294" t="s">
        <v>307</v>
      </c>
      <c r="AS294" t="s">
        <v>319</v>
      </c>
      <c r="AT294" t="s">
        <v>243</v>
      </c>
      <c r="AU294" t="s">
        <v>248</v>
      </c>
      <c r="AV294">
        <v>0</v>
      </c>
    </row>
    <row r="295" spans="40:48" x14ac:dyDescent="0.25">
      <c r="AN295" t="s">
        <v>106</v>
      </c>
      <c r="AO295" t="s">
        <v>60</v>
      </c>
      <c r="AP295">
        <v>2004</v>
      </c>
      <c r="AQ295" t="s">
        <v>31</v>
      </c>
      <c r="AR295" t="s">
        <v>307</v>
      </c>
      <c r="AS295" t="s">
        <v>319</v>
      </c>
      <c r="AT295" t="s">
        <v>243</v>
      </c>
      <c r="AU295" t="s">
        <v>314</v>
      </c>
      <c r="AV295">
        <v>26.55</v>
      </c>
    </row>
    <row r="296" spans="40:48" x14ac:dyDescent="0.25">
      <c r="AN296" t="s">
        <v>92</v>
      </c>
      <c r="AO296" t="s">
        <v>60</v>
      </c>
      <c r="AP296">
        <v>2004</v>
      </c>
      <c r="AQ296" t="s">
        <v>39</v>
      </c>
      <c r="AR296" t="s">
        <v>307</v>
      </c>
      <c r="AS296" t="s">
        <v>319</v>
      </c>
      <c r="AT296" t="s">
        <v>218</v>
      </c>
      <c r="AU296" t="s">
        <v>310</v>
      </c>
      <c r="AV296">
        <v>0</v>
      </c>
    </row>
    <row r="297" spans="40:48" x14ac:dyDescent="0.25">
      <c r="AN297" t="s">
        <v>92</v>
      </c>
      <c r="AO297" t="s">
        <v>60</v>
      </c>
      <c r="AP297">
        <v>2004</v>
      </c>
      <c r="AQ297" t="s">
        <v>39</v>
      </c>
      <c r="AR297" t="s">
        <v>307</v>
      </c>
      <c r="AS297" t="s">
        <v>319</v>
      </c>
      <c r="AT297" t="s">
        <v>218</v>
      </c>
      <c r="AU297" t="s">
        <v>311</v>
      </c>
      <c r="AV297">
        <v>0</v>
      </c>
    </row>
    <row r="298" spans="40:48" x14ac:dyDescent="0.25">
      <c r="AN298" t="s">
        <v>92</v>
      </c>
      <c r="AO298" t="s">
        <v>60</v>
      </c>
      <c r="AP298">
        <v>2004</v>
      </c>
      <c r="AQ298" t="s">
        <v>39</v>
      </c>
      <c r="AR298" t="s">
        <v>307</v>
      </c>
      <c r="AS298" t="s">
        <v>319</v>
      </c>
      <c r="AT298" t="s">
        <v>218</v>
      </c>
      <c r="AU298" t="s">
        <v>268</v>
      </c>
      <c r="AV298">
        <v>0</v>
      </c>
    </row>
    <row r="299" spans="40:48" x14ac:dyDescent="0.25">
      <c r="AN299" t="s">
        <v>92</v>
      </c>
      <c r="AO299" t="s">
        <v>60</v>
      </c>
      <c r="AP299">
        <v>2004</v>
      </c>
      <c r="AQ299" t="s">
        <v>39</v>
      </c>
      <c r="AR299" t="s">
        <v>307</v>
      </c>
      <c r="AS299" t="s">
        <v>319</v>
      </c>
      <c r="AT299" t="s">
        <v>238</v>
      </c>
      <c r="AU299" t="s">
        <v>310</v>
      </c>
      <c r="AV299">
        <v>4</v>
      </c>
    </row>
    <row r="300" spans="40:48" x14ac:dyDescent="0.25">
      <c r="AN300" t="s">
        <v>92</v>
      </c>
      <c r="AO300" t="s">
        <v>60</v>
      </c>
      <c r="AP300">
        <v>2004</v>
      </c>
      <c r="AQ300" t="s">
        <v>39</v>
      </c>
      <c r="AR300" t="s">
        <v>307</v>
      </c>
      <c r="AS300" t="s">
        <v>319</v>
      </c>
      <c r="AT300" t="s">
        <v>238</v>
      </c>
      <c r="AU300" t="s">
        <v>311</v>
      </c>
      <c r="AV300">
        <v>8.65</v>
      </c>
    </row>
    <row r="301" spans="40:48" x14ac:dyDescent="0.25">
      <c r="AN301" t="s">
        <v>92</v>
      </c>
      <c r="AO301" t="s">
        <v>60</v>
      </c>
      <c r="AP301">
        <v>2004</v>
      </c>
      <c r="AQ301" t="s">
        <v>39</v>
      </c>
      <c r="AR301" t="s">
        <v>307</v>
      </c>
      <c r="AS301" t="s">
        <v>319</v>
      </c>
      <c r="AT301" t="s">
        <v>238</v>
      </c>
      <c r="AU301" t="s">
        <v>268</v>
      </c>
      <c r="AV301">
        <v>12.65</v>
      </c>
    </row>
    <row r="302" spans="40:48" x14ac:dyDescent="0.25">
      <c r="AN302" t="s">
        <v>92</v>
      </c>
      <c r="AO302" t="s">
        <v>60</v>
      </c>
      <c r="AP302">
        <v>2004</v>
      </c>
      <c r="AQ302" t="s">
        <v>39</v>
      </c>
      <c r="AR302" t="s">
        <v>307</v>
      </c>
      <c r="AS302" t="s">
        <v>319</v>
      </c>
      <c r="AT302" t="s">
        <v>239</v>
      </c>
      <c r="AU302" t="s">
        <v>310</v>
      </c>
      <c r="AV302">
        <v>0</v>
      </c>
    </row>
    <row r="303" spans="40:48" x14ac:dyDescent="0.25">
      <c r="AN303" t="s">
        <v>92</v>
      </c>
      <c r="AO303" t="s">
        <v>60</v>
      </c>
      <c r="AP303">
        <v>2004</v>
      </c>
      <c r="AQ303" t="s">
        <v>39</v>
      </c>
      <c r="AR303" t="s">
        <v>307</v>
      </c>
      <c r="AS303" t="s">
        <v>319</v>
      </c>
      <c r="AT303" t="s">
        <v>239</v>
      </c>
      <c r="AU303" t="s">
        <v>311</v>
      </c>
      <c r="AV303">
        <v>0</v>
      </c>
    </row>
    <row r="304" spans="40:48" x14ac:dyDescent="0.25">
      <c r="AN304" t="s">
        <v>92</v>
      </c>
      <c r="AO304" t="s">
        <v>60</v>
      </c>
      <c r="AP304">
        <v>2004</v>
      </c>
      <c r="AQ304" t="s">
        <v>39</v>
      </c>
      <c r="AR304" t="s">
        <v>307</v>
      </c>
      <c r="AS304" t="s">
        <v>319</v>
      </c>
      <c r="AT304" t="s">
        <v>239</v>
      </c>
      <c r="AU304" t="s">
        <v>268</v>
      </c>
      <c r="AV304">
        <v>0</v>
      </c>
    </row>
    <row r="305" spans="40:48" x14ac:dyDescent="0.25">
      <c r="AN305" t="s">
        <v>92</v>
      </c>
      <c r="AO305" t="s">
        <v>60</v>
      </c>
      <c r="AP305">
        <v>2004</v>
      </c>
      <c r="AQ305" t="s">
        <v>39</v>
      </c>
      <c r="AR305" t="s">
        <v>307</v>
      </c>
      <c r="AS305" t="s">
        <v>319</v>
      </c>
      <c r="AT305" t="s">
        <v>240</v>
      </c>
      <c r="AU305" t="s">
        <v>310</v>
      </c>
      <c r="AV305">
        <v>0</v>
      </c>
    </row>
    <row r="306" spans="40:48" x14ac:dyDescent="0.25">
      <c r="AN306" t="s">
        <v>92</v>
      </c>
      <c r="AO306" t="s">
        <v>60</v>
      </c>
      <c r="AP306">
        <v>2004</v>
      </c>
      <c r="AQ306" t="s">
        <v>39</v>
      </c>
      <c r="AR306" t="s">
        <v>307</v>
      </c>
      <c r="AS306" t="s">
        <v>319</v>
      </c>
      <c r="AT306" t="s">
        <v>240</v>
      </c>
      <c r="AU306" t="s">
        <v>311</v>
      </c>
      <c r="AV306">
        <v>0</v>
      </c>
    </row>
    <row r="307" spans="40:48" x14ac:dyDescent="0.25">
      <c r="AN307" t="s">
        <v>92</v>
      </c>
      <c r="AO307" t="s">
        <v>60</v>
      </c>
      <c r="AP307">
        <v>2004</v>
      </c>
      <c r="AQ307" t="s">
        <v>39</v>
      </c>
      <c r="AR307" t="s">
        <v>307</v>
      </c>
      <c r="AS307" t="s">
        <v>319</v>
      </c>
      <c r="AT307" t="s">
        <v>240</v>
      </c>
      <c r="AU307" t="s">
        <v>268</v>
      </c>
      <c r="AV307">
        <v>0</v>
      </c>
    </row>
    <row r="308" spans="40:48" x14ac:dyDescent="0.25">
      <c r="AN308" t="s">
        <v>92</v>
      </c>
      <c r="AO308" t="s">
        <v>60</v>
      </c>
      <c r="AP308">
        <v>2004</v>
      </c>
      <c r="AQ308" t="s">
        <v>39</v>
      </c>
      <c r="AR308" t="s">
        <v>307</v>
      </c>
      <c r="AS308" t="s">
        <v>319</v>
      </c>
      <c r="AT308" t="s">
        <v>316</v>
      </c>
      <c r="AU308" t="s">
        <v>310</v>
      </c>
      <c r="AV308">
        <v>0</v>
      </c>
    </row>
    <row r="309" spans="40:48" x14ac:dyDescent="0.25">
      <c r="AN309" t="s">
        <v>92</v>
      </c>
      <c r="AO309" t="s">
        <v>60</v>
      </c>
      <c r="AP309">
        <v>2004</v>
      </c>
      <c r="AQ309" t="s">
        <v>39</v>
      </c>
      <c r="AR309" t="s">
        <v>307</v>
      </c>
      <c r="AS309" t="s">
        <v>319</v>
      </c>
      <c r="AT309" t="s">
        <v>316</v>
      </c>
      <c r="AU309" t="s">
        <v>311</v>
      </c>
      <c r="AV309">
        <v>0</v>
      </c>
    </row>
    <row r="310" spans="40:48" x14ac:dyDescent="0.25">
      <c r="AN310" t="s">
        <v>92</v>
      </c>
      <c r="AO310" t="s">
        <v>60</v>
      </c>
      <c r="AP310">
        <v>2004</v>
      </c>
      <c r="AQ310" t="s">
        <v>39</v>
      </c>
      <c r="AR310" t="s">
        <v>307</v>
      </c>
      <c r="AS310" t="s">
        <v>319</v>
      </c>
      <c r="AT310" t="s">
        <v>316</v>
      </c>
      <c r="AU310" t="s">
        <v>268</v>
      </c>
      <c r="AV310">
        <v>0</v>
      </c>
    </row>
    <row r="311" spans="40:48" x14ac:dyDescent="0.25">
      <c r="AN311" t="s">
        <v>92</v>
      </c>
      <c r="AO311" t="s">
        <v>60</v>
      </c>
      <c r="AP311">
        <v>2004</v>
      </c>
      <c r="AQ311" t="s">
        <v>39</v>
      </c>
      <c r="AR311" t="s">
        <v>307</v>
      </c>
      <c r="AS311" t="s">
        <v>319</v>
      </c>
      <c r="AT311" t="s">
        <v>242</v>
      </c>
      <c r="AU311" t="s">
        <v>310</v>
      </c>
      <c r="AV311">
        <v>0</v>
      </c>
    </row>
    <row r="312" spans="40:48" x14ac:dyDescent="0.25">
      <c r="AN312" t="s">
        <v>92</v>
      </c>
      <c r="AO312" t="s">
        <v>60</v>
      </c>
      <c r="AP312">
        <v>2004</v>
      </c>
      <c r="AQ312" t="s">
        <v>39</v>
      </c>
      <c r="AR312" t="s">
        <v>307</v>
      </c>
      <c r="AS312" t="s">
        <v>319</v>
      </c>
      <c r="AT312" t="s">
        <v>242</v>
      </c>
      <c r="AU312" t="s">
        <v>311</v>
      </c>
      <c r="AV312">
        <v>0</v>
      </c>
    </row>
    <row r="313" spans="40:48" x14ac:dyDescent="0.25">
      <c r="AN313" t="s">
        <v>92</v>
      </c>
      <c r="AO313" t="s">
        <v>60</v>
      </c>
      <c r="AP313">
        <v>2004</v>
      </c>
      <c r="AQ313" t="s">
        <v>39</v>
      </c>
      <c r="AR313" t="s">
        <v>307</v>
      </c>
      <c r="AS313" t="s">
        <v>319</v>
      </c>
      <c r="AT313" t="s">
        <v>242</v>
      </c>
      <c r="AU313" t="s">
        <v>268</v>
      </c>
      <c r="AV313">
        <v>0</v>
      </c>
    </row>
    <row r="314" spans="40:48" x14ac:dyDescent="0.25">
      <c r="AN314" t="s">
        <v>92</v>
      </c>
      <c r="AO314" t="s">
        <v>60</v>
      </c>
      <c r="AP314">
        <v>2004</v>
      </c>
      <c r="AQ314" t="s">
        <v>39</v>
      </c>
      <c r="AR314" t="s">
        <v>307</v>
      </c>
      <c r="AS314" t="s">
        <v>319</v>
      </c>
      <c r="AT314" t="s">
        <v>243</v>
      </c>
      <c r="AU314" t="s">
        <v>247</v>
      </c>
      <c r="AV314">
        <v>0</v>
      </c>
    </row>
    <row r="315" spans="40:48" x14ac:dyDescent="0.25">
      <c r="AN315" t="s">
        <v>92</v>
      </c>
      <c r="AO315" t="s">
        <v>60</v>
      </c>
      <c r="AP315">
        <v>2004</v>
      </c>
      <c r="AQ315" t="s">
        <v>39</v>
      </c>
      <c r="AR315" t="s">
        <v>307</v>
      </c>
      <c r="AS315" t="s">
        <v>319</v>
      </c>
      <c r="AT315" t="s">
        <v>243</v>
      </c>
      <c r="AU315" t="s">
        <v>248</v>
      </c>
      <c r="AV315">
        <v>0</v>
      </c>
    </row>
    <row r="316" spans="40:48" x14ac:dyDescent="0.25">
      <c r="AN316" t="s">
        <v>92</v>
      </c>
      <c r="AO316" t="s">
        <v>60</v>
      </c>
      <c r="AP316">
        <v>2004</v>
      </c>
      <c r="AQ316" t="s">
        <v>39</v>
      </c>
      <c r="AR316" t="s">
        <v>307</v>
      </c>
      <c r="AS316" t="s">
        <v>319</v>
      </c>
      <c r="AT316" t="s">
        <v>243</v>
      </c>
      <c r="AU316" t="s">
        <v>314</v>
      </c>
      <c r="AV316">
        <v>12.65</v>
      </c>
    </row>
    <row r="317" spans="40:48" x14ac:dyDescent="0.25">
      <c r="AN317" t="s">
        <v>25</v>
      </c>
      <c r="AO317" t="s">
        <v>26</v>
      </c>
      <c r="AP317">
        <v>2008</v>
      </c>
      <c r="AQ317" t="s">
        <v>28</v>
      </c>
      <c r="AR317" t="s">
        <v>306</v>
      </c>
      <c r="AS317" t="s">
        <v>319</v>
      </c>
      <c r="AT317" t="s">
        <v>218</v>
      </c>
      <c r="AU317" t="s">
        <v>310</v>
      </c>
      <c r="AV317">
        <v>4</v>
      </c>
    </row>
    <row r="318" spans="40:48" x14ac:dyDescent="0.25">
      <c r="AN318" t="s">
        <v>25</v>
      </c>
      <c r="AO318" t="s">
        <v>26</v>
      </c>
      <c r="AP318">
        <v>2008</v>
      </c>
      <c r="AQ318" t="s">
        <v>28</v>
      </c>
      <c r="AR318" t="s">
        <v>306</v>
      </c>
      <c r="AS318" t="s">
        <v>319</v>
      </c>
      <c r="AT318" t="s">
        <v>218</v>
      </c>
      <c r="AU318" t="s">
        <v>311</v>
      </c>
      <c r="AV318">
        <v>8.9499999999999993</v>
      </c>
    </row>
    <row r="319" spans="40:48" x14ac:dyDescent="0.25">
      <c r="AN319" t="s">
        <v>25</v>
      </c>
      <c r="AO319" t="s">
        <v>26</v>
      </c>
      <c r="AP319">
        <v>2008</v>
      </c>
      <c r="AQ319" t="s">
        <v>28</v>
      </c>
      <c r="AR319" t="s">
        <v>306</v>
      </c>
      <c r="AS319" t="s">
        <v>319</v>
      </c>
      <c r="AT319" t="s">
        <v>218</v>
      </c>
      <c r="AU319" t="s">
        <v>268</v>
      </c>
      <c r="AV319">
        <v>12.95</v>
      </c>
    </row>
    <row r="320" spans="40:48" x14ac:dyDescent="0.25">
      <c r="AN320" t="s">
        <v>25</v>
      </c>
      <c r="AO320" t="s">
        <v>26</v>
      </c>
      <c r="AP320">
        <v>2008</v>
      </c>
      <c r="AQ320" t="s">
        <v>28</v>
      </c>
      <c r="AR320" t="s">
        <v>306</v>
      </c>
      <c r="AS320" t="s">
        <v>319</v>
      </c>
      <c r="AT320" t="s">
        <v>238</v>
      </c>
      <c r="AU320" t="s">
        <v>310</v>
      </c>
      <c r="AV320">
        <v>3.8</v>
      </c>
    </row>
    <row r="321" spans="40:48" x14ac:dyDescent="0.25">
      <c r="AN321" t="s">
        <v>25</v>
      </c>
      <c r="AO321" t="s">
        <v>26</v>
      </c>
      <c r="AP321">
        <v>2008</v>
      </c>
      <c r="AQ321" t="s">
        <v>28</v>
      </c>
      <c r="AR321" t="s">
        <v>306</v>
      </c>
      <c r="AS321" t="s">
        <v>319</v>
      </c>
      <c r="AT321" t="s">
        <v>238</v>
      </c>
      <c r="AU321" t="s">
        <v>311</v>
      </c>
      <c r="AV321">
        <v>8.9499999999999993</v>
      </c>
    </row>
    <row r="322" spans="40:48" x14ac:dyDescent="0.25">
      <c r="AN322" t="s">
        <v>25</v>
      </c>
      <c r="AO322" t="s">
        <v>26</v>
      </c>
      <c r="AP322">
        <v>2008</v>
      </c>
      <c r="AQ322" t="s">
        <v>28</v>
      </c>
      <c r="AR322" t="s">
        <v>306</v>
      </c>
      <c r="AS322" t="s">
        <v>319</v>
      </c>
      <c r="AT322" t="s">
        <v>238</v>
      </c>
      <c r="AU322" t="s">
        <v>268</v>
      </c>
      <c r="AV322">
        <v>12.75</v>
      </c>
    </row>
    <row r="323" spans="40:48" x14ac:dyDescent="0.25">
      <c r="AN323" t="s">
        <v>25</v>
      </c>
      <c r="AO323" t="s">
        <v>26</v>
      </c>
      <c r="AP323">
        <v>2008</v>
      </c>
      <c r="AQ323" t="s">
        <v>28</v>
      </c>
      <c r="AR323" t="s">
        <v>306</v>
      </c>
      <c r="AS323" t="s">
        <v>319</v>
      </c>
      <c r="AT323" t="s">
        <v>239</v>
      </c>
      <c r="AU323" t="s">
        <v>310</v>
      </c>
      <c r="AV323">
        <v>2.8</v>
      </c>
    </row>
    <row r="324" spans="40:48" x14ac:dyDescent="0.25">
      <c r="AN324" t="s">
        <v>25</v>
      </c>
      <c r="AO324" t="s">
        <v>26</v>
      </c>
      <c r="AP324">
        <v>2008</v>
      </c>
      <c r="AQ324" t="s">
        <v>28</v>
      </c>
      <c r="AR324" t="s">
        <v>306</v>
      </c>
      <c r="AS324" t="s">
        <v>319</v>
      </c>
      <c r="AT324" t="s">
        <v>239</v>
      </c>
      <c r="AU324" t="s">
        <v>311</v>
      </c>
      <c r="AV324">
        <v>8.85</v>
      </c>
    </row>
    <row r="325" spans="40:48" x14ac:dyDescent="0.25">
      <c r="AN325" t="s">
        <v>25</v>
      </c>
      <c r="AO325" t="s">
        <v>26</v>
      </c>
      <c r="AP325">
        <v>2008</v>
      </c>
      <c r="AQ325" t="s">
        <v>28</v>
      </c>
      <c r="AR325" t="s">
        <v>306</v>
      </c>
      <c r="AS325" t="s">
        <v>319</v>
      </c>
      <c r="AT325" t="s">
        <v>239</v>
      </c>
      <c r="AU325" t="s">
        <v>268</v>
      </c>
      <c r="AV325">
        <v>11.65</v>
      </c>
    </row>
    <row r="326" spans="40:48" x14ac:dyDescent="0.25">
      <c r="AN326" t="s">
        <v>25</v>
      </c>
      <c r="AO326" t="s">
        <v>26</v>
      </c>
      <c r="AP326">
        <v>2008</v>
      </c>
      <c r="AQ326" t="s">
        <v>28</v>
      </c>
      <c r="AR326" t="s">
        <v>306</v>
      </c>
      <c r="AS326" t="s">
        <v>319</v>
      </c>
      <c r="AT326" t="s">
        <v>240</v>
      </c>
      <c r="AU326" t="s">
        <v>310</v>
      </c>
      <c r="AV326">
        <v>2.2000000000000002</v>
      </c>
    </row>
    <row r="327" spans="40:48" x14ac:dyDescent="0.25">
      <c r="AN327" t="s">
        <v>25</v>
      </c>
      <c r="AO327" t="s">
        <v>26</v>
      </c>
      <c r="AP327">
        <v>2008</v>
      </c>
      <c r="AQ327" t="s">
        <v>28</v>
      </c>
      <c r="AR327" t="s">
        <v>306</v>
      </c>
      <c r="AS327" t="s">
        <v>319</v>
      </c>
      <c r="AT327" t="s">
        <v>240</v>
      </c>
      <c r="AU327" t="s">
        <v>311</v>
      </c>
      <c r="AV327">
        <v>9.4</v>
      </c>
    </row>
    <row r="328" spans="40:48" x14ac:dyDescent="0.25">
      <c r="AN328" t="s">
        <v>25</v>
      </c>
      <c r="AO328" t="s">
        <v>26</v>
      </c>
      <c r="AP328">
        <v>2008</v>
      </c>
      <c r="AQ328" t="s">
        <v>28</v>
      </c>
      <c r="AR328" t="s">
        <v>306</v>
      </c>
      <c r="AS328" t="s">
        <v>319</v>
      </c>
      <c r="AT328" t="s">
        <v>240</v>
      </c>
      <c r="AU328" t="s">
        <v>268</v>
      </c>
      <c r="AV328">
        <v>11.6</v>
      </c>
    </row>
    <row r="329" spans="40:48" x14ac:dyDescent="0.25">
      <c r="AN329" t="s">
        <v>25</v>
      </c>
      <c r="AO329" t="s">
        <v>26</v>
      </c>
      <c r="AP329">
        <v>2008</v>
      </c>
      <c r="AQ329" t="s">
        <v>28</v>
      </c>
      <c r="AR329" t="s">
        <v>306</v>
      </c>
      <c r="AS329" t="s">
        <v>319</v>
      </c>
      <c r="AT329" t="s">
        <v>316</v>
      </c>
      <c r="AU329" t="s">
        <v>310</v>
      </c>
      <c r="AV329">
        <v>4.0999999999999996</v>
      </c>
    </row>
    <row r="330" spans="40:48" x14ac:dyDescent="0.25">
      <c r="AN330" t="s">
        <v>25</v>
      </c>
      <c r="AO330" t="s">
        <v>26</v>
      </c>
      <c r="AP330">
        <v>2008</v>
      </c>
      <c r="AQ330" t="s">
        <v>28</v>
      </c>
      <c r="AR330" t="s">
        <v>306</v>
      </c>
      <c r="AS330" t="s">
        <v>319</v>
      </c>
      <c r="AT330" t="s">
        <v>316</v>
      </c>
      <c r="AU330" t="s">
        <v>311</v>
      </c>
      <c r="AV330">
        <v>8.5500000000000007</v>
      </c>
    </row>
    <row r="331" spans="40:48" x14ac:dyDescent="0.25">
      <c r="AN331" t="s">
        <v>25</v>
      </c>
      <c r="AO331" t="s">
        <v>26</v>
      </c>
      <c r="AP331">
        <v>2008</v>
      </c>
      <c r="AQ331" t="s">
        <v>28</v>
      </c>
      <c r="AR331" t="s">
        <v>306</v>
      </c>
      <c r="AS331" t="s">
        <v>319</v>
      </c>
      <c r="AT331" t="s">
        <v>316</v>
      </c>
      <c r="AU331" t="s">
        <v>268</v>
      </c>
      <c r="AV331">
        <v>12.65</v>
      </c>
    </row>
    <row r="332" spans="40:48" x14ac:dyDescent="0.25">
      <c r="AN332" t="s">
        <v>25</v>
      </c>
      <c r="AO332" t="s">
        <v>26</v>
      </c>
      <c r="AP332">
        <v>2008</v>
      </c>
      <c r="AQ332" t="s">
        <v>28</v>
      </c>
      <c r="AR332" t="s">
        <v>306</v>
      </c>
      <c r="AS332" t="s">
        <v>319</v>
      </c>
      <c r="AT332" t="s">
        <v>242</v>
      </c>
      <c r="AU332" t="s">
        <v>310</v>
      </c>
      <c r="AV332">
        <v>2.6</v>
      </c>
    </row>
    <row r="333" spans="40:48" x14ac:dyDescent="0.25">
      <c r="AN333" t="s">
        <v>25</v>
      </c>
      <c r="AO333" t="s">
        <v>26</v>
      </c>
      <c r="AP333">
        <v>2008</v>
      </c>
      <c r="AQ333" t="s">
        <v>28</v>
      </c>
      <c r="AR333" t="s">
        <v>306</v>
      </c>
      <c r="AS333" t="s">
        <v>319</v>
      </c>
      <c r="AT333" t="s">
        <v>242</v>
      </c>
      <c r="AU333" t="s">
        <v>311</v>
      </c>
      <c r="AV333">
        <v>9</v>
      </c>
    </row>
    <row r="334" spans="40:48" x14ac:dyDescent="0.25">
      <c r="AN334" t="s">
        <v>25</v>
      </c>
      <c r="AO334" t="s">
        <v>26</v>
      </c>
      <c r="AP334">
        <v>2008</v>
      </c>
      <c r="AQ334" t="s">
        <v>28</v>
      </c>
      <c r="AR334" t="s">
        <v>306</v>
      </c>
      <c r="AS334" t="s">
        <v>319</v>
      </c>
      <c r="AT334" t="s">
        <v>242</v>
      </c>
      <c r="AU334" t="s">
        <v>268</v>
      </c>
      <c r="AV334">
        <v>11.6</v>
      </c>
    </row>
    <row r="335" spans="40:48" x14ac:dyDescent="0.25">
      <c r="AN335" t="s">
        <v>25</v>
      </c>
      <c r="AO335" t="s">
        <v>26</v>
      </c>
      <c r="AP335">
        <v>2008</v>
      </c>
      <c r="AQ335" t="s">
        <v>28</v>
      </c>
      <c r="AR335" t="s">
        <v>306</v>
      </c>
      <c r="AS335" t="s">
        <v>319</v>
      </c>
      <c r="AT335" t="s">
        <v>243</v>
      </c>
      <c r="AU335" t="s">
        <v>247</v>
      </c>
      <c r="AV335">
        <v>19.5</v>
      </c>
    </row>
    <row r="336" spans="40:48" x14ac:dyDescent="0.25">
      <c r="AN336" t="s">
        <v>25</v>
      </c>
      <c r="AO336" t="s">
        <v>26</v>
      </c>
      <c r="AP336">
        <v>2008</v>
      </c>
      <c r="AQ336" t="s">
        <v>28</v>
      </c>
      <c r="AR336" t="s">
        <v>306</v>
      </c>
      <c r="AS336" t="s">
        <v>319</v>
      </c>
      <c r="AT336" t="s">
        <v>243</v>
      </c>
      <c r="AU336" t="s">
        <v>248</v>
      </c>
      <c r="AV336">
        <v>53.7</v>
      </c>
    </row>
    <row r="337" spans="40:48" x14ac:dyDescent="0.25">
      <c r="AN337" t="s">
        <v>25</v>
      </c>
      <c r="AO337" t="s">
        <v>26</v>
      </c>
      <c r="AP337">
        <v>2008</v>
      </c>
      <c r="AQ337" t="s">
        <v>28</v>
      </c>
      <c r="AR337" t="s">
        <v>306</v>
      </c>
      <c r="AS337" t="s">
        <v>319</v>
      </c>
      <c r="AT337" t="s">
        <v>243</v>
      </c>
      <c r="AU337" t="s">
        <v>314</v>
      </c>
      <c r="AV337">
        <v>73.2</v>
      </c>
    </row>
    <row r="338" spans="40:48" x14ac:dyDescent="0.25">
      <c r="AN338" t="s">
        <v>112</v>
      </c>
      <c r="AO338" t="s">
        <v>26</v>
      </c>
      <c r="AP338">
        <v>2005</v>
      </c>
      <c r="AQ338" t="s">
        <v>31</v>
      </c>
      <c r="AR338" t="s">
        <v>306</v>
      </c>
      <c r="AS338" t="s">
        <v>319</v>
      </c>
      <c r="AT338" t="s">
        <v>218</v>
      </c>
      <c r="AU338" t="s">
        <v>310</v>
      </c>
      <c r="AV338">
        <v>4</v>
      </c>
    </row>
    <row r="339" spans="40:48" x14ac:dyDescent="0.25">
      <c r="AN339" t="s">
        <v>112</v>
      </c>
      <c r="AO339" t="s">
        <v>26</v>
      </c>
      <c r="AP339">
        <v>2005</v>
      </c>
      <c r="AQ339" t="s">
        <v>31</v>
      </c>
      <c r="AR339" t="s">
        <v>306</v>
      </c>
      <c r="AS339" t="s">
        <v>319</v>
      </c>
      <c r="AT339" t="s">
        <v>218</v>
      </c>
      <c r="AU339" t="s">
        <v>311</v>
      </c>
      <c r="AV339">
        <v>7.8</v>
      </c>
    </row>
    <row r="340" spans="40:48" x14ac:dyDescent="0.25">
      <c r="AN340" t="s">
        <v>112</v>
      </c>
      <c r="AO340" t="s">
        <v>26</v>
      </c>
      <c r="AP340">
        <v>2005</v>
      </c>
      <c r="AQ340" t="s">
        <v>31</v>
      </c>
      <c r="AR340" t="s">
        <v>306</v>
      </c>
      <c r="AS340" t="s">
        <v>319</v>
      </c>
      <c r="AT340" t="s">
        <v>218</v>
      </c>
      <c r="AU340" t="s">
        <v>268</v>
      </c>
      <c r="AV340">
        <v>11.8</v>
      </c>
    </row>
    <row r="341" spans="40:48" x14ac:dyDescent="0.25">
      <c r="AN341" t="s">
        <v>112</v>
      </c>
      <c r="AO341" t="s">
        <v>26</v>
      </c>
      <c r="AP341">
        <v>2005</v>
      </c>
      <c r="AQ341" t="s">
        <v>31</v>
      </c>
      <c r="AR341" t="s">
        <v>306</v>
      </c>
      <c r="AS341" t="s">
        <v>319</v>
      </c>
      <c r="AT341" t="s">
        <v>238</v>
      </c>
      <c r="AU341" t="s">
        <v>310</v>
      </c>
      <c r="AV341">
        <v>3.1</v>
      </c>
    </row>
    <row r="342" spans="40:48" x14ac:dyDescent="0.25">
      <c r="AN342" t="s">
        <v>112</v>
      </c>
      <c r="AO342" t="s">
        <v>26</v>
      </c>
      <c r="AP342">
        <v>2005</v>
      </c>
      <c r="AQ342" t="s">
        <v>31</v>
      </c>
      <c r="AR342" t="s">
        <v>306</v>
      </c>
      <c r="AS342" t="s">
        <v>319</v>
      </c>
      <c r="AT342" t="s">
        <v>238</v>
      </c>
      <c r="AU342" t="s">
        <v>311</v>
      </c>
      <c r="AV342">
        <v>7.65</v>
      </c>
    </row>
    <row r="343" spans="40:48" x14ac:dyDescent="0.25">
      <c r="AN343" t="s">
        <v>112</v>
      </c>
      <c r="AO343" t="s">
        <v>26</v>
      </c>
      <c r="AP343">
        <v>2005</v>
      </c>
      <c r="AQ343" t="s">
        <v>31</v>
      </c>
      <c r="AR343" t="s">
        <v>306</v>
      </c>
      <c r="AS343" t="s">
        <v>319</v>
      </c>
      <c r="AT343" t="s">
        <v>238</v>
      </c>
      <c r="AU343" t="s">
        <v>268</v>
      </c>
      <c r="AV343">
        <v>10.75</v>
      </c>
    </row>
    <row r="344" spans="40:48" x14ac:dyDescent="0.25">
      <c r="AN344" t="s">
        <v>112</v>
      </c>
      <c r="AO344" t="s">
        <v>26</v>
      </c>
      <c r="AP344">
        <v>2005</v>
      </c>
      <c r="AQ344" t="s">
        <v>31</v>
      </c>
      <c r="AR344" t="s">
        <v>306</v>
      </c>
      <c r="AS344" t="s">
        <v>319</v>
      </c>
      <c r="AT344" t="s">
        <v>239</v>
      </c>
      <c r="AU344" t="s">
        <v>310</v>
      </c>
      <c r="AV344">
        <v>2.9</v>
      </c>
    </row>
    <row r="345" spans="40:48" x14ac:dyDescent="0.25">
      <c r="AN345" t="s">
        <v>112</v>
      </c>
      <c r="AO345" t="s">
        <v>26</v>
      </c>
      <c r="AP345">
        <v>2005</v>
      </c>
      <c r="AQ345" t="s">
        <v>31</v>
      </c>
      <c r="AR345" t="s">
        <v>306</v>
      </c>
      <c r="AS345" t="s">
        <v>319</v>
      </c>
      <c r="AT345" t="s">
        <v>239</v>
      </c>
      <c r="AU345" t="s">
        <v>311</v>
      </c>
      <c r="AV345">
        <v>8</v>
      </c>
    </row>
    <row r="346" spans="40:48" x14ac:dyDescent="0.25">
      <c r="AN346" t="s">
        <v>112</v>
      </c>
      <c r="AO346" t="s">
        <v>26</v>
      </c>
      <c r="AP346">
        <v>2005</v>
      </c>
      <c r="AQ346" t="s">
        <v>31</v>
      </c>
      <c r="AR346" t="s">
        <v>306</v>
      </c>
      <c r="AS346" t="s">
        <v>319</v>
      </c>
      <c r="AT346" t="s">
        <v>239</v>
      </c>
      <c r="AU346" t="s">
        <v>268</v>
      </c>
      <c r="AV346">
        <v>10.9</v>
      </c>
    </row>
    <row r="347" spans="40:48" x14ac:dyDescent="0.25">
      <c r="AN347" t="s">
        <v>112</v>
      </c>
      <c r="AO347" t="s">
        <v>26</v>
      </c>
      <c r="AP347">
        <v>2005</v>
      </c>
      <c r="AQ347" t="s">
        <v>31</v>
      </c>
      <c r="AR347" t="s">
        <v>306</v>
      </c>
      <c r="AS347" t="s">
        <v>319</v>
      </c>
      <c r="AT347" t="s">
        <v>240</v>
      </c>
      <c r="AU347" t="s">
        <v>310</v>
      </c>
      <c r="AV347">
        <v>4</v>
      </c>
    </row>
    <row r="348" spans="40:48" x14ac:dyDescent="0.25">
      <c r="AN348" t="s">
        <v>112</v>
      </c>
      <c r="AO348" t="s">
        <v>26</v>
      </c>
      <c r="AP348">
        <v>2005</v>
      </c>
      <c r="AQ348" t="s">
        <v>31</v>
      </c>
      <c r="AR348" t="s">
        <v>306</v>
      </c>
      <c r="AS348" t="s">
        <v>319</v>
      </c>
      <c r="AT348" t="s">
        <v>240</v>
      </c>
      <c r="AU348" t="s">
        <v>311</v>
      </c>
      <c r="AV348">
        <v>8.5</v>
      </c>
    </row>
    <row r="349" spans="40:48" x14ac:dyDescent="0.25">
      <c r="AN349" t="s">
        <v>112</v>
      </c>
      <c r="AO349" t="s">
        <v>26</v>
      </c>
      <c r="AP349">
        <v>2005</v>
      </c>
      <c r="AQ349" t="s">
        <v>31</v>
      </c>
      <c r="AR349" t="s">
        <v>306</v>
      </c>
      <c r="AS349" t="s">
        <v>319</v>
      </c>
      <c r="AT349" t="s">
        <v>240</v>
      </c>
      <c r="AU349" t="s">
        <v>268</v>
      </c>
      <c r="AV349">
        <v>12.5</v>
      </c>
    </row>
    <row r="350" spans="40:48" x14ac:dyDescent="0.25">
      <c r="AN350" t="s">
        <v>112</v>
      </c>
      <c r="AO350" t="s">
        <v>26</v>
      </c>
      <c r="AP350">
        <v>2005</v>
      </c>
      <c r="AQ350" t="s">
        <v>31</v>
      </c>
      <c r="AR350" t="s">
        <v>306</v>
      </c>
      <c r="AS350" t="s">
        <v>319</v>
      </c>
      <c r="AT350" t="s">
        <v>316</v>
      </c>
      <c r="AU350" t="s">
        <v>310</v>
      </c>
      <c r="AV350">
        <v>3.1</v>
      </c>
    </row>
    <row r="351" spans="40:48" x14ac:dyDescent="0.25">
      <c r="AN351" t="s">
        <v>112</v>
      </c>
      <c r="AO351" t="s">
        <v>26</v>
      </c>
      <c r="AP351">
        <v>2005</v>
      </c>
      <c r="AQ351" t="s">
        <v>31</v>
      </c>
      <c r="AR351" t="s">
        <v>306</v>
      </c>
      <c r="AS351" t="s">
        <v>319</v>
      </c>
      <c r="AT351" t="s">
        <v>316</v>
      </c>
      <c r="AU351" t="s">
        <v>311</v>
      </c>
      <c r="AV351">
        <v>8.65</v>
      </c>
    </row>
    <row r="352" spans="40:48" x14ac:dyDescent="0.25">
      <c r="AN352" t="s">
        <v>112</v>
      </c>
      <c r="AO352" t="s">
        <v>26</v>
      </c>
      <c r="AP352">
        <v>2005</v>
      </c>
      <c r="AQ352" t="s">
        <v>31</v>
      </c>
      <c r="AR352" t="s">
        <v>306</v>
      </c>
      <c r="AS352" t="s">
        <v>319</v>
      </c>
      <c r="AT352" t="s">
        <v>316</v>
      </c>
      <c r="AU352" t="s">
        <v>268</v>
      </c>
      <c r="AV352">
        <v>11.75</v>
      </c>
    </row>
    <row r="353" spans="40:48" x14ac:dyDescent="0.25">
      <c r="AN353" t="s">
        <v>112</v>
      </c>
      <c r="AO353" t="s">
        <v>26</v>
      </c>
      <c r="AP353">
        <v>2005</v>
      </c>
      <c r="AQ353" t="s">
        <v>31</v>
      </c>
      <c r="AR353" t="s">
        <v>306</v>
      </c>
      <c r="AS353" t="s">
        <v>319</v>
      </c>
      <c r="AT353" t="s">
        <v>242</v>
      </c>
      <c r="AU353" t="s">
        <v>310</v>
      </c>
      <c r="AV353">
        <v>3.4</v>
      </c>
    </row>
    <row r="354" spans="40:48" x14ac:dyDescent="0.25">
      <c r="AN354" t="s">
        <v>112</v>
      </c>
      <c r="AO354" t="s">
        <v>26</v>
      </c>
      <c r="AP354">
        <v>2005</v>
      </c>
      <c r="AQ354" t="s">
        <v>31</v>
      </c>
      <c r="AR354" t="s">
        <v>306</v>
      </c>
      <c r="AS354" t="s">
        <v>319</v>
      </c>
      <c r="AT354" t="s">
        <v>242</v>
      </c>
      <c r="AU354" t="s">
        <v>311</v>
      </c>
      <c r="AV354">
        <v>7.8</v>
      </c>
    </row>
    <row r="355" spans="40:48" x14ac:dyDescent="0.25">
      <c r="AN355" t="s">
        <v>112</v>
      </c>
      <c r="AO355" t="s">
        <v>26</v>
      </c>
      <c r="AP355">
        <v>2005</v>
      </c>
      <c r="AQ355" t="s">
        <v>31</v>
      </c>
      <c r="AR355" t="s">
        <v>306</v>
      </c>
      <c r="AS355" t="s">
        <v>319</v>
      </c>
      <c r="AT355" t="s">
        <v>242</v>
      </c>
      <c r="AU355" t="s">
        <v>268</v>
      </c>
      <c r="AV355">
        <v>11.2</v>
      </c>
    </row>
    <row r="356" spans="40:48" x14ac:dyDescent="0.25">
      <c r="AN356" t="s">
        <v>112</v>
      </c>
      <c r="AO356" t="s">
        <v>26</v>
      </c>
      <c r="AP356">
        <v>2005</v>
      </c>
      <c r="AQ356" t="s">
        <v>31</v>
      </c>
      <c r="AR356" t="s">
        <v>306</v>
      </c>
      <c r="AS356" t="s">
        <v>319</v>
      </c>
      <c r="AT356" t="s">
        <v>243</v>
      </c>
      <c r="AU356" t="s">
        <v>247</v>
      </c>
      <c r="AV356">
        <v>20.5</v>
      </c>
    </row>
    <row r="357" spans="40:48" x14ac:dyDescent="0.25">
      <c r="AN357" t="s">
        <v>112</v>
      </c>
      <c r="AO357" t="s">
        <v>26</v>
      </c>
      <c r="AP357">
        <v>2005</v>
      </c>
      <c r="AQ357" t="s">
        <v>31</v>
      </c>
      <c r="AR357" t="s">
        <v>306</v>
      </c>
      <c r="AS357" t="s">
        <v>319</v>
      </c>
      <c r="AT357" t="s">
        <v>243</v>
      </c>
      <c r="AU357" t="s">
        <v>248</v>
      </c>
      <c r="AV357">
        <v>48.4</v>
      </c>
    </row>
    <row r="358" spans="40:48" x14ac:dyDescent="0.25">
      <c r="AN358" t="s">
        <v>112</v>
      </c>
      <c r="AO358" t="s">
        <v>26</v>
      </c>
      <c r="AP358">
        <v>2005</v>
      </c>
      <c r="AQ358" t="s">
        <v>31</v>
      </c>
      <c r="AR358" t="s">
        <v>306</v>
      </c>
      <c r="AS358" t="s">
        <v>319</v>
      </c>
      <c r="AT358" t="s">
        <v>243</v>
      </c>
      <c r="AU358" t="s">
        <v>314</v>
      </c>
      <c r="AV358">
        <v>68.900000000000006</v>
      </c>
    </row>
    <row r="359" spans="40:48" x14ac:dyDescent="0.25">
      <c r="AN359" t="s">
        <v>34</v>
      </c>
      <c r="AO359" t="s">
        <v>26</v>
      </c>
      <c r="AP359">
        <v>2006</v>
      </c>
      <c r="AQ359" t="s">
        <v>36</v>
      </c>
      <c r="AR359" t="s">
        <v>306</v>
      </c>
      <c r="AS359" t="s">
        <v>319</v>
      </c>
      <c r="AT359" t="s">
        <v>218</v>
      </c>
      <c r="AU359" t="s">
        <v>310</v>
      </c>
      <c r="AV359">
        <v>3.8</v>
      </c>
    </row>
    <row r="360" spans="40:48" x14ac:dyDescent="0.25">
      <c r="AN360" t="s">
        <v>34</v>
      </c>
      <c r="AO360" t="s">
        <v>26</v>
      </c>
      <c r="AP360">
        <v>2006</v>
      </c>
      <c r="AQ360" t="s">
        <v>36</v>
      </c>
      <c r="AR360" t="s">
        <v>306</v>
      </c>
      <c r="AS360" t="s">
        <v>319</v>
      </c>
      <c r="AT360" t="s">
        <v>218</v>
      </c>
      <c r="AU360" t="s">
        <v>311</v>
      </c>
      <c r="AV360">
        <v>8.6999999999999993</v>
      </c>
    </row>
    <row r="361" spans="40:48" x14ac:dyDescent="0.25">
      <c r="AN361" t="s">
        <v>34</v>
      </c>
      <c r="AO361" t="s">
        <v>26</v>
      </c>
      <c r="AP361">
        <v>2006</v>
      </c>
      <c r="AQ361" t="s">
        <v>36</v>
      </c>
      <c r="AR361" t="s">
        <v>306</v>
      </c>
      <c r="AS361" t="s">
        <v>319</v>
      </c>
      <c r="AT361" t="s">
        <v>218</v>
      </c>
      <c r="AU361" t="s">
        <v>268</v>
      </c>
      <c r="AV361">
        <v>12.5</v>
      </c>
    </row>
    <row r="362" spans="40:48" x14ac:dyDescent="0.25">
      <c r="AN362" t="s">
        <v>34</v>
      </c>
      <c r="AO362" t="s">
        <v>26</v>
      </c>
      <c r="AP362">
        <v>2006</v>
      </c>
      <c r="AQ362" t="s">
        <v>36</v>
      </c>
      <c r="AR362" t="s">
        <v>306</v>
      </c>
      <c r="AS362" t="s">
        <v>319</v>
      </c>
      <c r="AT362" t="s">
        <v>238</v>
      </c>
      <c r="AU362" t="s">
        <v>310</v>
      </c>
      <c r="AV362">
        <v>4.4000000000000004</v>
      </c>
    </row>
    <row r="363" spans="40:48" x14ac:dyDescent="0.25">
      <c r="AN363" t="s">
        <v>34</v>
      </c>
      <c r="AO363" t="s">
        <v>26</v>
      </c>
      <c r="AP363">
        <v>2006</v>
      </c>
      <c r="AQ363" t="s">
        <v>36</v>
      </c>
      <c r="AR363" t="s">
        <v>306</v>
      </c>
      <c r="AS363" t="s">
        <v>319</v>
      </c>
      <c r="AT363" t="s">
        <v>238</v>
      </c>
      <c r="AU363" t="s">
        <v>311</v>
      </c>
      <c r="AV363">
        <v>7</v>
      </c>
    </row>
    <row r="364" spans="40:48" x14ac:dyDescent="0.25">
      <c r="AN364" t="s">
        <v>34</v>
      </c>
      <c r="AO364" t="s">
        <v>26</v>
      </c>
      <c r="AP364">
        <v>2006</v>
      </c>
      <c r="AQ364" t="s">
        <v>36</v>
      </c>
      <c r="AR364" t="s">
        <v>306</v>
      </c>
      <c r="AS364" t="s">
        <v>319</v>
      </c>
      <c r="AT364" t="s">
        <v>238</v>
      </c>
      <c r="AU364" t="s">
        <v>268</v>
      </c>
      <c r="AV364">
        <v>11.4</v>
      </c>
    </row>
    <row r="365" spans="40:48" x14ac:dyDescent="0.25">
      <c r="AN365" t="s">
        <v>34</v>
      </c>
      <c r="AO365" t="s">
        <v>26</v>
      </c>
      <c r="AP365">
        <v>2006</v>
      </c>
      <c r="AQ365" t="s">
        <v>36</v>
      </c>
      <c r="AR365" t="s">
        <v>306</v>
      </c>
      <c r="AS365" t="s">
        <v>319</v>
      </c>
      <c r="AT365" t="s">
        <v>239</v>
      </c>
      <c r="AU365" t="s">
        <v>310</v>
      </c>
      <c r="AV365">
        <v>3.6</v>
      </c>
    </row>
    <row r="366" spans="40:48" x14ac:dyDescent="0.25">
      <c r="AN366" t="s">
        <v>34</v>
      </c>
      <c r="AO366" t="s">
        <v>26</v>
      </c>
      <c r="AP366">
        <v>2006</v>
      </c>
      <c r="AQ366" t="s">
        <v>36</v>
      </c>
      <c r="AR366" t="s">
        <v>306</v>
      </c>
      <c r="AS366" t="s">
        <v>319</v>
      </c>
      <c r="AT366" t="s">
        <v>239</v>
      </c>
      <c r="AU366" t="s">
        <v>311</v>
      </c>
      <c r="AV366">
        <v>7.8</v>
      </c>
    </row>
    <row r="367" spans="40:48" x14ac:dyDescent="0.25">
      <c r="AN367" t="s">
        <v>34</v>
      </c>
      <c r="AO367" t="s">
        <v>26</v>
      </c>
      <c r="AP367">
        <v>2006</v>
      </c>
      <c r="AQ367" t="s">
        <v>36</v>
      </c>
      <c r="AR367" t="s">
        <v>306</v>
      </c>
      <c r="AS367" t="s">
        <v>319</v>
      </c>
      <c r="AT367" t="s">
        <v>239</v>
      </c>
      <c r="AU367" t="s">
        <v>268</v>
      </c>
      <c r="AV367">
        <v>11.4</v>
      </c>
    </row>
    <row r="368" spans="40:48" x14ac:dyDescent="0.25">
      <c r="AN368" t="s">
        <v>34</v>
      </c>
      <c r="AO368" t="s">
        <v>26</v>
      </c>
      <c r="AP368">
        <v>2006</v>
      </c>
      <c r="AQ368" t="s">
        <v>36</v>
      </c>
      <c r="AR368" t="s">
        <v>306</v>
      </c>
      <c r="AS368" t="s">
        <v>319</v>
      </c>
      <c r="AT368" t="s">
        <v>240</v>
      </c>
      <c r="AU368" t="s">
        <v>310</v>
      </c>
      <c r="AV368">
        <v>1.6</v>
      </c>
    </row>
    <row r="369" spans="40:48" x14ac:dyDescent="0.25">
      <c r="AN369" t="s">
        <v>34</v>
      </c>
      <c r="AO369" t="s">
        <v>26</v>
      </c>
      <c r="AP369">
        <v>2006</v>
      </c>
      <c r="AQ369" t="s">
        <v>36</v>
      </c>
      <c r="AR369" t="s">
        <v>306</v>
      </c>
      <c r="AS369" t="s">
        <v>319</v>
      </c>
      <c r="AT369" t="s">
        <v>240</v>
      </c>
      <c r="AU369" t="s">
        <v>311</v>
      </c>
      <c r="AV369">
        <v>8.8000000000000007</v>
      </c>
    </row>
    <row r="370" spans="40:48" x14ac:dyDescent="0.25">
      <c r="AN370" t="s">
        <v>34</v>
      </c>
      <c r="AO370" t="s">
        <v>26</v>
      </c>
      <c r="AP370">
        <v>2006</v>
      </c>
      <c r="AQ370" t="s">
        <v>36</v>
      </c>
      <c r="AR370" t="s">
        <v>306</v>
      </c>
      <c r="AS370" t="s">
        <v>319</v>
      </c>
      <c r="AT370" t="s">
        <v>240</v>
      </c>
      <c r="AU370" t="s">
        <v>268</v>
      </c>
      <c r="AV370">
        <v>10.4</v>
      </c>
    </row>
    <row r="371" spans="40:48" x14ac:dyDescent="0.25">
      <c r="AN371" t="s">
        <v>34</v>
      </c>
      <c r="AO371" t="s">
        <v>26</v>
      </c>
      <c r="AP371">
        <v>2006</v>
      </c>
      <c r="AQ371" t="s">
        <v>36</v>
      </c>
      <c r="AR371" t="s">
        <v>306</v>
      </c>
      <c r="AS371" t="s">
        <v>319</v>
      </c>
      <c r="AT371" t="s">
        <v>316</v>
      </c>
      <c r="AU371" t="s">
        <v>310</v>
      </c>
      <c r="AV371">
        <v>3.2</v>
      </c>
    </row>
    <row r="372" spans="40:48" x14ac:dyDescent="0.25">
      <c r="AN372" t="s">
        <v>34</v>
      </c>
      <c r="AO372" t="s">
        <v>26</v>
      </c>
      <c r="AP372">
        <v>2006</v>
      </c>
      <c r="AQ372" t="s">
        <v>36</v>
      </c>
      <c r="AR372" t="s">
        <v>306</v>
      </c>
      <c r="AS372" t="s">
        <v>319</v>
      </c>
      <c r="AT372" t="s">
        <v>316</v>
      </c>
      <c r="AU372" t="s">
        <v>311</v>
      </c>
      <c r="AV372">
        <v>8.6</v>
      </c>
    </row>
    <row r="373" spans="40:48" x14ac:dyDescent="0.25">
      <c r="AN373" t="s">
        <v>34</v>
      </c>
      <c r="AO373" t="s">
        <v>26</v>
      </c>
      <c r="AP373">
        <v>2006</v>
      </c>
      <c r="AQ373" t="s">
        <v>36</v>
      </c>
      <c r="AR373" t="s">
        <v>306</v>
      </c>
      <c r="AS373" t="s">
        <v>319</v>
      </c>
      <c r="AT373" t="s">
        <v>316</v>
      </c>
      <c r="AU373" t="s">
        <v>268</v>
      </c>
      <c r="AV373">
        <v>11.8</v>
      </c>
    </row>
    <row r="374" spans="40:48" x14ac:dyDescent="0.25">
      <c r="AN374" t="s">
        <v>34</v>
      </c>
      <c r="AO374" t="s">
        <v>26</v>
      </c>
      <c r="AP374">
        <v>2006</v>
      </c>
      <c r="AQ374" t="s">
        <v>36</v>
      </c>
      <c r="AR374" t="s">
        <v>306</v>
      </c>
      <c r="AS374" t="s">
        <v>319</v>
      </c>
      <c r="AT374" t="s">
        <v>242</v>
      </c>
      <c r="AU374" t="s">
        <v>310</v>
      </c>
      <c r="AV374">
        <v>3.4</v>
      </c>
    </row>
    <row r="375" spans="40:48" x14ac:dyDescent="0.25">
      <c r="AN375" t="s">
        <v>34</v>
      </c>
      <c r="AO375" t="s">
        <v>26</v>
      </c>
      <c r="AP375">
        <v>2006</v>
      </c>
      <c r="AQ375" t="s">
        <v>36</v>
      </c>
      <c r="AR375" t="s">
        <v>306</v>
      </c>
      <c r="AS375" t="s">
        <v>319</v>
      </c>
      <c r="AT375" t="s">
        <v>242</v>
      </c>
      <c r="AU375" t="s">
        <v>311</v>
      </c>
      <c r="AV375">
        <v>7.4</v>
      </c>
    </row>
    <row r="376" spans="40:48" x14ac:dyDescent="0.25">
      <c r="AN376" t="s">
        <v>34</v>
      </c>
      <c r="AO376" t="s">
        <v>26</v>
      </c>
      <c r="AP376">
        <v>2006</v>
      </c>
      <c r="AQ376" t="s">
        <v>36</v>
      </c>
      <c r="AR376" t="s">
        <v>306</v>
      </c>
      <c r="AS376" t="s">
        <v>319</v>
      </c>
      <c r="AT376" t="s">
        <v>242</v>
      </c>
      <c r="AU376" t="s">
        <v>268</v>
      </c>
      <c r="AV376">
        <v>10.8</v>
      </c>
    </row>
    <row r="377" spans="40:48" x14ac:dyDescent="0.25">
      <c r="AN377" t="s">
        <v>34</v>
      </c>
      <c r="AO377" t="s">
        <v>26</v>
      </c>
      <c r="AP377">
        <v>2006</v>
      </c>
      <c r="AQ377" t="s">
        <v>36</v>
      </c>
      <c r="AR377" t="s">
        <v>306</v>
      </c>
      <c r="AS377" t="s">
        <v>319</v>
      </c>
      <c r="AT377" t="s">
        <v>243</v>
      </c>
      <c r="AU377" t="s">
        <v>247</v>
      </c>
      <c r="AV377">
        <v>19.999999999999996</v>
      </c>
    </row>
    <row r="378" spans="40:48" x14ac:dyDescent="0.25">
      <c r="AN378" t="s">
        <v>34</v>
      </c>
      <c r="AO378" t="s">
        <v>26</v>
      </c>
      <c r="AP378">
        <v>2006</v>
      </c>
      <c r="AQ378" t="s">
        <v>36</v>
      </c>
      <c r="AR378" t="s">
        <v>306</v>
      </c>
      <c r="AS378" t="s">
        <v>319</v>
      </c>
      <c r="AT378" t="s">
        <v>243</v>
      </c>
      <c r="AU378" t="s">
        <v>248</v>
      </c>
      <c r="AV378">
        <v>48.3</v>
      </c>
    </row>
    <row r="379" spans="40:48" x14ac:dyDescent="0.25">
      <c r="AN379" t="s">
        <v>34</v>
      </c>
      <c r="AO379" t="s">
        <v>26</v>
      </c>
      <c r="AP379">
        <v>2006</v>
      </c>
      <c r="AQ379" t="s">
        <v>36</v>
      </c>
      <c r="AR379" t="s">
        <v>306</v>
      </c>
      <c r="AS379" t="s">
        <v>319</v>
      </c>
      <c r="AT379" t="s">
        <v>243</v>
      </c>
      <c r="AU379" t="s">
        <v>314</v>
      </c>
      <c r="AV379">
        <v>68.3</v>
      </c>
    </row>
    <row r="380" spans="40:48" x14ac:dyDescent="0.25">
      <c r="AN380" t="s">
        <v>32</v>
      </c>
      <c r="AO380" t="s">
        <v>26</v>
      </c>
      <c r="AP380">
        <v>2005</v>
      </c>
      <c r="AQ380" t="s">
        <v>31</v>
      </c>
      <c r="AR380" t="s">
        <v>306</v>
      </c>
      <c r="AS380" t="s">
        <v>319</v>
      </c>
      <c r="AT380" t="s">
        <v>218</v>
      </c>
      <c r="AU380" t="s">
        <v>310</v>
      </c>
      <c r="AV380">
        <v>4.2</v>
      </c>
    </row>
    <row r="381" spans="40:48" x14ac:dyDescent="0.25">
      <c r="AN381" t="s">
        <v>32</v>
      </c>
      <c r="AO381" t="s">
        <v>26</v>
      </c>
      <c r="AP381">
        <v>2005</v>
      </c>
      <c r="AQ381" t="s">
        <v>31</v>
      </c>
      <c r="AR381" t="s">
        <v>306</v>
      </c>
      <c r="AS381" t="s">
        <v>319</v>
      </c>
      <c r="AT381" t="s">
        <v>218</v>
      </c>
      <c r="AU381" t="s">
        <v>311</v>
      </c>
      <c r="AV381">
        <v>8.6</v>
      </c>
    </row>
    <row r="382" spans="40:48" x14ac:dyDescent="0.25">
      <c r="AN382" t="s">
        <v>32</v>
      </c>
      <c r="AO382" t="s">
        <v>26</v>
      </c>
      <c r="AP382">
        <v>2005</v>
      </c>
      <c r="AQ382" t="s">
        <v>31</v>
      </c>
      <c r="AR382" t="s">
        <v>306</v>
      </c>
      <c r="AS382" t="s">
        <v>319</v>
      </c>
      <c r="AT382" t="s">
        <v>218</v>
      </c>
      <c r="AU382" t="s">
        <v>268</v>
      </c>
      <c r="AV382">
        <v>12.8</v>
      </c>
    </row>
    <row r="383" spans="40:48" x14ac:dyDescent="0.25">
      <c r="AN383" t="s">
        <v>32</v>
      </c>
      <c r="AO383" t="s">
        <v>26</v>
      </c>
      <c r="AP383">
        <v>2005</v>
      </c>
      <c r="AQ383" t="s">
        <v>31</v>
      </c>
      <c r="AR383" t="s">
        <v>306</v>
      </c>
      <c r="AS383" t="s">
        <v>319</v>
      </c>
      <c r="AT383" t="s">
        <v>238</v>
      </c>
      <c r="AU383" t="s">
        <v>310</v>
      </c>
      <c r="AV383">
        <v>3.6</v>
      </c>
    </row>
    <row r="384" spans="40:48" x14ac:dyDescent="0.25">
      <c r="AN384" t="s">
        <v>32</v>
      </c>
      <c r="AO384" t="s">
        <v>26</v>
      </c>
      <c r="AP384">
        <v>2005</v>
      </c>
      <c r="AQ384" t="s">
        <v>31</v>
      </c>
      <c r="AR384" t="s">
        <v>306</v>
      </c>
      <c r="AS384" t="s">
        <v>319</v>
      </c>
      <c r="AT384" t="s">
        <v>238</v>
      </c>
      <c r="AU384" t="s">
        <v>311</v>
      </c>
      <c r="AV384">
        <v>7</v>
      </c>
    </row>
    <row r="385" spans="40:48" x14ac:dyDescent="0.25">
      <c r="AN385" t="s">
        <v>32</v>
      </c>
      <c r="AO385" t="s">
        <v>26</v>
      </c>
      <c r="AP385">
        <v>2005</v>
      </c>
      <c r="AQ385" t="s">
        <v>31</v>
      </c>
      <c r="AR385" t="s">
        <v>306</v>
      </c>
      <c r="AS385" t="s">
        <v>319</v>
      </c>
      <c r="AT385" t="s">
        <v>238</v>
      </c>
      <c r="AU385" t="s">
        <v>268</v>
      </c>
      <c r="AV385">
        <v>10.6</v>
      </c>
    </row>
    <row r="386" spans="40:48" x14ac:dyDescent="0.25">
      <c r="AN386" t="s">
        <v>32</v>
      </c>
      <c r="AO386" t="s">
        <v>26</v>
      </c>
      <c r="AP386">
        <v>2005</v>
      </c>
      <c r="AQ386" t="s">
        <v>31</v>
      </c>
      <c r="AR386" t="s">
        <v>306</v>
      </c>
      <c r="AS386" t="s">
        <v>319</v>
      </c>
      <c r="AT386" t="s">
        <v>239</v>
      </c>
      <c r="AU386" t="s">
        <v>310</v>
      </c>
      <c r="AV386">
        <v>3.3</v>
      </c>
    </row>
    <row r="387" spans="40:48" x14ac:dyDescent="0.25">
      <c r="AN387" t="s">
        <v>32</v>
      </c>
      <c r="AO387" t="s">
        <v>26</v>
      </c>
      <c r="AP387">
        <v>2005</v>
      </c>
      <c r="AQ387" t="s">
        <v>31</v>
      </c>
      <c r="AR387" t="s">
        <v>306</v>
      </c>
      <c r="AS387" t="s">
        <v>319</v>
      </c>
      <c r="AT387" t="s">
        <v>239</v>
      </c>
      <c r="AU387" t="s">
        <v>311</v>
      </c>
      <c r="AV387">
        <v>7.1</v>
      </c>
    </row>
    <row r="388" spans="40:48" x14ac:dyDescent="0.25">
      <c r="AN388" t="s">
        <v>32</v>
      </c>
      <c r="AO388" t="s">
        <v>26</v>
      </c>
      <c r="AP388">
        <v>2005</v>
      </c>
      <c r="AQ388" t="s">
        <v>31</v>
      </c>
      <c r="AR388" t="s">
        <v>306</v>
      </c>
      <c r="AS388" t="s">
        <v>319</v>
      </c>
      <c r="AT388" t="s">
        <v>239</v>
      </c>
      <c r="AU388" t="s">
        <v>268</v>
      </c>
      <c r="AV388">
        <v>10.4</v>
      </c>
    </row>
    <row r="389" spans="40:48" x14ac:dyDescent="0.25">
      <c r="AN389" t="s">
        <v>32</v>
      </c>
      <c r="AO389" t="s">
        <v>26</v>
      </c>
      <c r="AP389">
        <v>2005</v>
      </c>
      <c r="AQ389" t="s">
        <v>31</v>
      </c>
      <c r="AR389" t="s">
        <v>306</v>
      </c>
      <c r="AS389" t="s">
        <v>319</v>
      </c>
      <c r="AT389" t="s">
        <v>240</v>
      </c>
      <c r="AU389" t="s">
        <v>310</v>
      </c>
      <c r="AV389">
        <v>3.2</v>
      </c>
    </row>
    <row r="390" spans="40:48" x14ac:dyDescent="0.25">
      <c r="AN390" t="s">
        <v>32</v>
      </c>
      <c r="AO390" t="s">
        <v>26</v>
      </c>
      <c r="AP390">
        <v>2005</v>
      </c>
      <c r="AQ390" t="s">
        <v>31</v>
      </c>
      <c r="AR390" t="s">
        <v>306</v>
      </c>
      <c r="AS390" t="s">
        <v>319</v>
      </c>
      <c r="AT390" t="s">
        <v>240</v>
      </c>
      <c r="AU390" t="s">
        <v>311</v>
      </c>
      <c r="AV390">
        <v>9</v>
      </c>
    </row>
    <row r="391" spans="40:48" x14ac:dyDescent="0.25">
      <c r="AN391" t="s">
        <v>32</v>
      </c>
      <c r="AO391" t="s">
        <v>26</v>
      </c>
      <c r="AP391">
        <v>2005</v>
      </c>
      <c r="AQ391" t="s">
        <v>31</v>
      </c>
      <c r="AR391" t="s">
        <v>306</v>
      </c>
      <c r="AS391" t="s">
        <v>319</v>
      </c>
      <c r="AT391" t="s">
        <v>240</v>
      </c>
      <c r="AU391" t="s">
        <v>268</v>
      </c>
      <c r="AV391">
        <v>12.2</v>
      </c>
    </row>
    <row r="392" spans="40:48" x14ac:dyDescent="0.25">
      <c r="AN392" t="s">
        <v>32</v>
      </c>
      <c r="AO392" t="s">
        <v>26</v>
      </c>
      <c r="AP392">
        <v>2005</v>
      </c>
      <c r="AQ392" t="s">
        <v>31</v>
      </c>
      <c r="AR392" t="s">
        <v>306</v>
      </c>
      <c r="AS392" t="s">
        <v>319</v>
      </c>
      <c r="AT392" t="s">
        <v>316</v>
      </c>
      <c r="AU392" t="s">
        <v>310</v>
      </c>
      <c r="AV392">
        <v>3.5</v>
      </c>
    </row>
    <row r="393" spans="40:48" x14ac:dyDescent="0.25">
      <c r="AN393" t="s">
        <v>32</v>
      </c>
      <c r="AO393" t="s">
        <v>26</v>
      </c>
      <c r="AP393">
        <v>2005</v>
      </c>
      <c r="AQ393" t="s">
        <v>31</v>
      </c>
      <c r="AR393" t="s">
        <v>306</v>
      </c>
      <c r="AS393" t="s">
        <v>319</v>
      </c>
      <c r="AT393" t="s">
        <v>316</v>
      </c>
      <c r="AU393" t="s">
        <v>311</v>
      </c>
      <c r="AV393">
        <v>7.95</v>
      </c>
    </row>
    <row r="394" spans="40:48" x14ac:dyDescent="0.25">
      <c r="AN394" t="s">
        <v>32</v>
      </c>
      <c r="AO394" t="s">
        <v>26</v>
      </c>
      <c r="AP394">
        <v>2005</v>
      </c>
      <c r="AQ394" t="s">
        <v>31</v>
      </c>
      <c r="AR394" t="s">
        <v>306</v>
      </c>
      <c r="AS394" t="s">
        <v>319</v>
      </c>
      <c r="AT394" t="s">
        <v>316</v>
      </c>
      <c r="AU394" t="s">
        <v>268</v>
      </c>
      <c r="AV394">
        <v>11.45</v>
      </c>
    </row>
    <row r="395" spans="40:48" x14ac:dyDescent="0.25">
      <c r="AN395" t="s">
        <v>32</v>
      </c>
      <c r="AO395" t="s">
        <v>26</v>
      </c>
      <c r="AP395">
        <v>2005</v>
      </c>
      <c r="AQ395" t="s">
        <v>31</v>
      </c>
      <c r="AR395" t="s">
        <v>306</v>
      </c>
      <c r="AS395" t="s">
        <v>319</v>
      </c>
      <c r="AT395" t="s">
        <v>242</v>
      </c>
      <c r="AU395" t="s">
        <v>310</v>
      </c>
      <c r="AV395">
        <v>3.1</v>
      </c>
    </row>
    <row r="396" spans="40:48" x14ac:dyDescent="0.25">
      <c r="AN396" t="s">
        <v>32</v>
      </c>
      <c r="AO396" t="s">
        <v>26</v>
      </c>
      <c r="AP396">
        <v>2005</v>
      </c>
      <c r="AQ396" t="s">
        <v>31</v>
      </c>
      <c r="AR396" t="s">
        <v>306</v>
      </c>
      <c r="AS396" t="s">
        <v>319</v>
      </c>
      <c r="AT396" t="s">
        <v>242</v>
      </c>
      <c r="AU396" t="s">
        <v>311</v>
      </c>
      <c r="AV396">
        <v>7.7</v>
      </c>
    </row>
    <row r="397" spans="40:48" x14ac:dyDescent="0.25">
      <c r="AN397" t="s">
        <v>32</v>
      </c>
      <c r="AO397" t="s">
        <v>26</v>
      </c>
      <c r="AP397">
        <v>2005</v>
      </c>
      <c r="AQ397" t="s">
        <v>31</v>
      </c>
      <c r="AR397" t="s">
        <v>306</v>
      </c>
      <c r="AS397" t="s">
        <v>319</v>
      </c>
      <c r="AT397" t="s">
        <v>242</v>
      </c>
      <c r="AU397" t="s">
        <v>268</v>
      </c>
      <c r="AV397">
        <v>10.8</v>
      </c>
    </row>
    <row r="398" spans="40:48" x14ac:dyDescent="0.25">
      <c r="AN398" t="s">
        <v>32</v>
      </c>
      <c r="AO398" t="s">
        <v>26</v>
      </c>
      <c r="AP398">
        <v>2005</v>
      </c>
      <c r="AQ398" t="s">
        <v>31</v>
      </c>
      <c r="AR398" t="s">
        <v>306</v>
      </c>
      <c r="AS398" t="s">
        <v>319</v>
      </c>
      <c r="AT398" t="s">
        <v>243</v>
      </c>
      <c r="AU398" t="s">
        <v>247</v>
      </c>
      <c r="AV398">
        <v>20.900000000000002</v>
      </c>
    </row>
    <row r="399" spans="40:48" x14ac:dyDescent="0.25">
      <c r="AN399" t="s">
        <v>32</v>
      </c>
      <c r="AO399" t="s">
        <v>26</v>
      </c>
      <c r="AP399">
        <v>2005</v>
      </c>
      <c r="AQ399" t="s">
        <v>31</v>
      </c>
      <c r="AR399" t="s">
        <v>306</v>
      </c>
      <c r="AS399" t="s">
        <v>319</v>
      </c>
      <c r="AT399" t="s">
        <v>243</v>
      </c>
      <c r="AU399" t="s">
        <v>248</v>
      </c>
      <c r="AV399">
        <v>47.35</v>
      </c>
    </row>
    <row r="400" spans="40:48" x14ac:dyDescent="0.25">
      <c r="AN400" t="s">
        <v>32</v>
      </c>
      <c r="AO400" t="s">
        <v>26</v>
      </c>
      <c r="AP400">
        <v>2005</v>
      </c>
      <c r="AQ400" t="s">
        <v>31</v>
      </c>
      <c r="AR400" t="s">
        <v>306</v>
      </c>
      <c r="AS400" t="s">
        <v>319</v>
      </c>
      <c r="AT400" t="s">
        <v>243</v>
      </c>
      <c r="AU400" t="s">
        <v>314</v>
      </c>
      <c r="AV400">
        <v>68.25</v>
      </c>
    </row>
    <row r="401" spans="40:48" x14ac:dyDescent="0.25">
      <c r="AN401" t="s">
        <v>37</v>
      </c>
      <c r="AO401" t="s">
        <v>26</v>
      </c>
      <c r="AP401">
        <v>2006</v>
      </c>
      <c r="AQ401" t="s">
        <v>39</v>
      </c>
      <c r="AR401" t="s">
        <v>306</v>
      </c>
      <c r="AS401" t="s">
        <v>319</v>
      </c>
      <c r="AT401" t="s">
        <v>218</v>
      </c>
      <c r="AU401" t="s">
        <v>310</v>
      </c>
      <c r="AV401">
        <v>3.3</v>
      </c>
    </row>
    <row r="402" spans="40:48" x14ac:dyDescent="0.25">
      <c r="AN402" t="s">
        <v>37</v>
      </c>
      <c r="AO402" t="s">
        <v>26</v>
      </c>
      <c r="AP402">
        <v>2006</v>
      </c>
      <c r="AQ402" t="s">
        <v>39</v>
      </c>
      <c r="AR402" t="s">
        <v>306</v>
      </c>
      <c r="AS402" t="s">
        <v>319</v>
      </c>
      <c r="AT402" t="s">
        <v>218</v>
      </c>
      <c r="AU402" t="s">
        <v>311</v>
      </c>
      <c r="AV402">
        <v>8.3000000000000007</v>
      </c>
    </row>
    <row r="403" spans="40:48" x14ac:dyDescent="0.25">
      <c r="AN403" t="s">
        <v>37</v>
      </c>
      <c r="AO403" t="s">
        <v>26</v>
      </c>
      <c r="AP403">
        <v>2006</v>
      </c>
      <c r="AQ403" t="s">
        <v>39</v>
      </c>
      <c r="AR403" t="s">
        <v>306</v>
      </c>
      <c r="AS403" t="s">
        <v>319</v>
      </c>
      <c r="AT403" t="s">
        <v>218</v>
      </c>
      <c r="AU403" t="s">
        <v>268</v>
      </c>
      <c r="AV403">
        <v>11.6</v>
      </c>
    </row>
    <row r="404" spans="40:48" x14ac:dyDescent="0.25">
      <c r="AN404" t="s">
        <v>37</v>
      </c>
      <c r="AO404" t="s">
        <v>26</v>
      </c>
      <c r="AP404">
        <v>2006</v>
      </c>
      <c r="AQ404" t="s">
        <v>39</v>
      </c>
      <c r="AR404" t="s">
        <v>306</v>
      </c>
      <c r="AS404" t="s">
        <v>319</v>
      </c>
      <c r="AT404" t="s">
        <v>238</v>
      </c>
      <c r="AU404" t="s">
        <v>310</v>
      </c>
      <c r="AV404">
        <v>4.4000000000000004</v>
      </c>
    </row>
    <row r="405" spans="40:48" x14ac:dyDescent="0.25">
      <c r="AN405" t="s">
        <v>37</v>
      </c>
      <c r="AO405" t="s">
        <v>26</v>
      </c>
      <c r="AP405">
        <v>2006</v>
      </c>
      <c r="AQ405" t="s">
        <v>39</v>
      </c>
      <c r="AR405" t="s">
        <v>306</v>
      </c>
      <c r="AS405" t="s">
        <v>319</v>
      </c>
      <c r="AT405" t="s">
        <v>238</v>
      </c>
      <c r="AU405" t="s">
        <v>311</v>
      </c>
      <c r="AV405">
        <v>7.85</v>
      </c>
    </row>
    <row r="406" spans="40:48" x14ac:dyDescent="0.25">
      <c r="AN406" t="s">
        <v>37</v>
      </c>
      <c r="AO406" t="s">
        <v>26</v>
      </c>
      <c r="AP406">
        <v>2006</v>
      </c>
      <c r="AQ406" t="s">
        <v>39</v>
      </c>
      <c r="AR406" t="s">
        <v>306</v>
      </c>
      <c r="AS406" t="s">
        <v>319</v>
      </c>
      <c r="AT406" t="s">
        <v>238</v>
      </c>
      <c r="AU406" t="s">
        <v>268</v>
      </c>
      <c r="AV406">
        <v>12.25</v>
      </c>
    </row>
    <row r="407" spans="40:48" x14ac:dyDescent="0.25">
      <c r="AN407" t="s">
        <v>37</v>
      </c>
      <c r="AO407" t="s">
        <v>26</v>
      </c>
      <c r="AP407">
        <v>2006</v>
      </c>
      <c r="AQ407" t="s">
        <v>39</v>
      </c>
      <c r="AR407" t="s">
        <v>306</v>
      </c>
      <c r="AS407" t="s">
        <v>319</v>
      </c>
      <c r="AT407" t="s">
        <v>239</v>
      </c>
      <c r="AU407" t="s">
        <v>310</v>
      </c>
      <c r="AV407">
        <v>2.2999999999999998</v>
      </c>
    </row>
    <row r="408" spans="40:48" x14ac:dyDescent="0.25">
      <c r="AN408" t="s">
        <v>37</v>
      </c>
      <c r="AO408" t="s">
        <v>26</v>
      </c>
      <c r="AP408">
        <v>2006</v>
      </c>
      <c r="AQ408" t="s">
        <v>39</v>
      </c>
      <c r="AR408" t="s">
        <v>306</v>
      </c>
      <c r="AS408" t="s">
        <v>319</v>
      </c>
      <c r="AT408" t="s">
        <v>239</v>
      </c>
      <c r="AU408" t="s">
        <v>311</v>
      </c>
      <c r="AV408">
        <v>7.3</v>
      </c>
    </row>
    <row r="409" spans="40:48" x14ac:dyDescent="0.25">
      <c r="AN409" t="s">
        <v>37</v>
      </c>
      <c r="AO409" t="s">
        <v>26</v>
      </c>
      <c r="AP409">
        <v>2006</v>
      </c>
      <c r="AQ409" t="s">
        <v>39</v>
      </c>
      <c r="AR409" t="s">
        <v>306</v>
      </c>
      <c r="AS409" t="s">
        <v>319</v>
      </c>
      <c r="AT409" t="s">
        <v>239</v>
      </c>
      <c r="AU409" t="s">
        <v>268</v>
      </c>
      <c r="AV409">
        <v>9.6</v>
      </c>
    </row>
    <row r="410" spans="40:48" x14ac:dyDescent="0.25">
      <c r="AN410" t="s">
        <v>37</v>
      </c>
      <c r="AO410" t="s">
        <v>26</v>
      </c>
      <c r="AP410">
        <v>2006</v>
      </c>
      <c r="AQ410" t="s">
        <v>39</v>
      </c>
      <c r="AR410" t="s">
        <v>306</v>
      </c>
      <c r="AS410" t="s">
        <v>319</v>
      </c>
      <c r="AT410" t="s">
        <v>240</v>
      </c>
      <c r="AU410" t="s">
        <v>310</v>
      </c>
      <c r="AV410">
        <v>2.4</v>
      </c>
    </row>
    <row r="411" spans="40:48" x14ac:dyDescent="0.25">
      <c r="AN411" t="s">
        <v>37</v>
      </c>
      <c r="AO411" t="s">
        <v>26</v>
      </c>
      <c r="AP411">
        <v>2006</v>
      </c>
      <c r="AQ411" t="s">
        <v>39</v>
      </c>
      <c r="AR411" t="s">
        <v>306</v>
      </c>
      <c r="AS411" t="s">
        <v>319</v>
      </c>
      <c r="AT411" t="s">
        <v>240</v>
      </c>
      <c r="AU411" t="s">
        <v>311</v>
      </c>
      <c r="AV411">
        <v>8.85</v>
      </c>
    </row>
    <row r="412" spans="40:48" x14ac:dyDescent="0.25">
      <c r="AN412" t="s">
        <v>37</v>
      </c>
      <c r="AO412" t="s">
        <v>26</v>
      </c>
      <c r="AP412">
        <v>2006</v>
      </c>
      <c r="AQ412" t="s">
        <v>39</v>
      </c>
      <c r="AR412" t="s">
        <v>306</v>
      </c>
      <c r="AS412" t="s">
        <v>319</v>
      </c>
      <c r="AT412" t="s">
        <v>240</v>
      </c>
      <c r="AU412" t="s">
        <v>268</v>
      </c>
      <c r="AV412">
        <v>11.25</v>
      </c>
    </row>
    <row r="413" spans="40:48" x14ac:dyDescent="0.25">
      <c r="AN413" t="s">
        <v>37</v>
      </c>
      <c r="AO413" t="s">
        <v>26</v>
      </c>
      <c r="AP413">
        <v>2006</v>
      </c>
      <c r="AQ413" t="s">
        <v>39</v>
      </c>
      <c r="AR413" t="s">
        <v>306</v>
      </c>
      <c r="AS413" t="s">
        <v>319</v>
      </c>
      <c r="AT413" t="s">
        <v>316</v>
      </c>
      <c r="AU413" t="s">
        <v>310</v>
      </c>
      <c r="AV413">
        <v>3.1</v>
      </c>
    </row>
    <row r="414" spans="40:48" x14ac:dyDescent="0.25">
      <c r="AN414" t="s">
        <v>37</v>
      </c>
      <c r="AO414" t="s">
        <v>26</v>
      </c>
      <c r="AP414">
        <v>2006</v>
      </c>
      <c r="AQ414" t="s">
        <v>39</v>
      </c>
      <c r="AR414" t="s">
        <v>306</v>
      </c>
      <c r="AS414" t="s">
        <v>319</v>
      </c>
      <c r="AT414" t="s">
        <v>316</v>
      </c>
      <c r="AU414" t="s">
        <v>311</v>
      </c>
      <c r="AV414">
        <v>8.5</v>
      </c>
    </row>
    <row r="415" spans="40:48" x14ac:dyDescent="0.25">
      <c r="AN415" t="s">
        <v>37</v>
      </c>
      <c r="AO415" t="s">
        <v>26</v>
      </c>
      <c r="AP415">
        <v>2006</v>
      </c>
      <c r="AQ415" t="s">
        <v>39</v>
      </c>
      <c r="AR415" t="s">
        <v>306</v>
      </c>
      <c r="AS415" t="s">
        <v>319</v>
      </c>
      <c r="AT415" t="s">
        <v>316</v>
      </c>
      <c r="AU415" t="s">
        <v>268</v>
      </c>
      <c r="AV415">
        <v>11.6</v>
      </c>
    </row>
    <row r="416" spans="40:48" x14ac:dyDescent="0.25">
      <c r="AN416" t="s">
        <v>37</v>
      </c>
      <c r="AO416" t="s">
        <v>26</v>
      </c>
      <c r="AP416">
        <v>2006</v>
      </c>
      <c r="AQ416" t="s">
        <v>39</v>
      </c>
      <c r="AR416" t="s">
        <v>306</v>
      </c>
      <c r="AS416" t="s">
        <v>319</v>
      </c>
      <c r="AT416" t="s">
        <v>242</v>
      </c>
      <c r="AU416" t="s">
        <v>310</v>
      </c>
      <c r="AV416">
        <v>3</v>
      </c>
    </row>
    <row r="417" spans="40:48" x14ac:dyDescent="0.25">
      <c r="AN417" t="s">
        <v>37</v>
      </c>
      <c r="AO417" t="s">
        <v>26</v>
      </c>
      <c r="AP417">
        <v>2006</v>
      </c>
      <c r="AQ417" t="s">
        <v>39</v>
      </c>
      <c r="AR417" t="s">
        <v>306</v>
      </c>
      <c r="AS417" t="s">
        <v>319</v>
      </c>
      <c r="AT417" t="s">
        <v>242</v>
      </c>
      <c r="AU417" t="s">
        <v>311</v>
      </c>
      <c r="AV417">
        <v>7.8</v>
      </c>
    </row>
    <row r="418" spans="40:48" x14ac:dyDescent="0.25">
      <c r="AN418" t="s">
        <v>37</v>
      </c>
      <c r="AO418" t="s">
        <v>26</v>
      </c>
      <c r="AP418">
        <v>2006</v>
      </c>
      <c r="AQ418" t="s">
        <v>39</v>
      </c>
      <c r="AR418" t="s">
        <v>306</v>
      </c>
      <c r="AS418" t="s">
        <v>319</v>
      </c>
      <c r="AT418" t="s">
        <v>242</v>
      </c>
      <c r="AU418" t="s">
        <v>268</v>
      </c>
      <c r="AV418">
        <v>10.8</v>
      </c>
    </row>
    <row r="419" spans="40:48" x14ac:dyDescent="0.25">
      <c r="AN419" t="s">
        <v>37</v>
      </c>
      <c r="AO419" t="s">
        <v>26</v>
      </c>
      <c r="AP419">
        <v>2006</v>
      </c>
      <c r="AQ419" t="s">
        <v>39</v>
      </c>
      <c r="AR419" t="s">
        <v>306</v>
      </c>
      <c r="AS419" t="s">
        <v>319</v>
      </c>
      <c r="AT419" t="s">
        <v>243</v>
      </c>
      <c r="AU419" t="s">
        <v>247</v>
      </c>
      <c r="AV419">
        <v>18.5</v>
      </c>
    </row>
    <row r="420" spans="40:48" x14ac:dyDescent="0.25">
      <c r="AN420" t="s">
        <v>37</v>
      </c>
      <c r="AO420" t="s">
        <v>26</v>
      </c>
      <c r="AP420">
        <v>2006</v>
      </c>
      <c r="AQ420" t="s">
        <v>39</v>
      </c>
      <c r="AR420" t="s">
        <v>306</v>
      </c>
      <c r="AS420" t="s">
        <v>319</v>
      </c>
      <c r="AT420" t="s">
        <v>243</v>
      </c>
      <c r="AU420" t="s">
        <v>248</v>
      </c>
      <c r="AV420">
        <v>48.599999999999994</v>
      </c>
    </row>
    <row r="421" spans="40:48" x14ac:dyDescent="0.25">
      <c r="AN421" t="s">
        <v>37</v>
      </c>
      <c r="AO421" t="s">
        <v>26</v>
      </c>
      <c r="AP421">
        <v>2006</v>
      </c>
      <c r="AQ421" t="s">
        <v>39</v>
      </c>
      <c r="AR421" t="s">
        <v>306</v>
      </c>
      <c r="AS421" t="s">
        <v>319</v>
      </c>
      <c r="AT421" t="s">
        <v>243</v>
      </c>
      <c r="AU421" t="s">
        <v>314</v>
      </c>
      <c r="AV421">
        <v>67.100000000000009</v>
      </c>
    </row>
    <row r="422" spans="40:48" x14ac:dyDescent="0.25">
      <c r="AN422" t="s">
        <v>44</v>
      </c>
      <c r="AO422" t="s">
        <v>26</v>
      </c>
      <c r="AP422">
        <v>2007</v>
      </c>
      <c r="AQ422" t="s">
        <v>39</v>
      </c>
      <c r="AR422" t="s">
        <v>306</v>
      </c>
      <c r="AS422" t="s">
        <v>319</v>
      </c>
      <c r="AT422" t="s">
        <v>218</v>
      </c>
      <c r="AU422" t="s">
        <v>310</v>
      </c>
      <c r="AV422">
        <v>3.4</v>
      </c>
    </row>
    <row r="423" spans="40:48" x14ac:dyDescent="0.25">
      <c r="AN423" t="s">
        <v>44</v>
      </c>
      <c r="AO423" t="s">
        <v>26</v>
      </c>
      <c r="AP423">
        <v>2007</v>
      </c>
      <c r="AQ423" t="s">
        <v>39</v>
      </c>
      <c r="AR423" t="s">
        <v>306</v>
      </c>
      <c r="AS423" t="s">
        <v>319</v>
      </c>
      <c r="AT423" t="s">
        <v>218</v>
      </c>
      <c r="AU423" t="s">
        <v>311</v>
      </c>
      <c r="AV423">
        <v>8.4</v>
      </c>
    </row>
    <row r="424" spans="40:48" x14ac:dyDescent="0.25">
      <c r="AN424" t="s">
        <v>44</v>
      </c>
      <c r="AO424" t="s">
        <v>26</v>
      </c>
      <c r="AP424">
        <v>2007</v>
      </c>
      <c r="AQ424" t="s">
        <v>39</v>
      </c>
      <c r="AR424" t="s">
        <v>306</v>
      </c>
      <c r="AS424" t="s">
        <v>319</v>
      </c>
      <c r="AT424" t="s">
        <v>218</v>
      </c>
      <c r="AU424" t="s">
        <v>268</v>
      </c>
      <c r="AV424">
        <v>11.8</v>
      </c>
    </row>
    <row r="425" spans="40:48" x14ac:dyDescent="0.25">
      <c r="AN425" t="s">
        <v>44</v>
      </c>
      <c r="AO425" t="s">
        <v>26</v>
      </c>
      <c r="AP425">
        <v>2007</v>
      </c>
      <c r="AQ425" t="s">
        <v>39</v>
      </c>
      <c r="AR425" t="s">
        <v>306</v>
      </c>
      <c r="AS425" t="s">
        <v>319</v>
      </c>
      <c r="AT425" t="s">
        <v>238</v>
      </c>
      <c r="AU425" t="s">
        <v>310</v>
      </c>
      <c r="AV425">
        <v>3</v>
      </c>
    </row>
    <row r="426" spans="40:48" x14ac:dyDescent="0.25">
      <c r="AN426" t="s">
        <v>44</v>
      </c>
      <c r="AO426" t="s">
        <v>26</v>
      </c>
      <c r="AP426">
        <v>2007</v>
      </c>
      <c r="AQ426" t="s">
        <v>39</v>
      </c>
      <c r="AR426" t="s">
        <v>306</v>
      </c>
      <c r="AS426" t="s">
        <v>319</v>
      </c>
      <c r="AT426" t="s">
        <v>238</v>
      </c>
      <c r="AU426" t="s">
        <v>311</v>
      </c>
      <c r="AV426">
        <v>8.6</v>
      </c>
    </row>
    <row r="427" spans="40:48" x14ac:dyDescent="0.25">
      <c r="AN427" t="s">
        <v>44</v>
      </c>
      <c r="AO427" t="s">
        <v>26</v>
      </c>
      <c r="AP427">
        <v>2007</v>
      </c>
      <c r="AQ427" t="s">
        <v>39</v>
      </c>
      <c r="AR427" t="s">
        <v>306</v>
      </c>
      <c r="AS427" t="s">
        <v>319</v>
      </c>
      <c r="AT427" t="s">
        <v>238</v>
      </c>
      <c r="AU427" t="s">
        <v>268</v>
      </c>
      <c r="AV427">
        <v>11.6</v>
      </c>
    </row>
    <row r="428" spans="40:48" x14ac:dyDescent="0.25">
      <c r="AN428" t="s">
        <v>44</v>
      </c>
      <c r="AO428" t="s">
        <v>26</v>
      </c>
      <c r="AP428">
        <v>2007</v>
      </c>
      <c r="AQ428" t="s">
        <v>39</v>
      </c>
      <c r="AR428" t="s">
        <v>306</v>
      </c>
      <c r="AS428" t="s">
        <v>319</v>
      </c>
      <c r="AT428" t="s">
        <v>239</v>
      </c>
      <c r="AU428" t="s">
        <v>310</v>
      </c>
      <c r="AV428">
        <v>2.2999999999999998</v>
      </c>
    </row>
    <row r="429" spans="40:48" x14ac:dyDescent="0.25">
      <c r="AN429" t="s">
        <v>44</v>
      </c>
      <c r="AO429" t="s">
        <v>26</v>
      </c>
      <c r="AP429">
        <v>2007</v>
      </c>
      <c r="AQ429" t="s">
        <v>39</v>
      </c>
      <c r="AR429" t="s">
        <v>306</v>
      </c>
      <c r="AS429" t="s">
        <v>319</v>
      </c>
      <c r="AT429" t="s">
        <v>239</v>
      </c>
      <c r="AU429" t="s">
        <v>311</v>
      </c>
      <c r="AV429">
        <v>7.3</v>
      </c>
    </row>
    <row r="430" spans="40:48" x14ac:dyDescent="0.25">
      <c r="AN430" t="s">
        <v>44</v>
      </c>
      <c r="AO430" t="s">
        <v>26</v>
      </c>
      <c r="AP430">
        <v>2007</v>
      </c>
      <c r="AQ430" t="s">
        <v>39</v>
      </c>
      <c r="AR430" t="s">
        <v>306</v>
      </c>
      <c r="AS430" t="s">
        <v>319</v>
      </c>
      <c r="AT430" t="s">
        <v>239</v>
      </c>
      <c r="AU430" t="s">
        <v>268</v>
      </c>
      <c r="AV430">
        <v>9.6</v>
      </c>
    </row>
    <row r="431" spans="40:48" x14ac:dyDescent="0.25">
      <c r="AN431" t="s">
        <v>44</v>
      </c>
      <c r="AO431" t="s">
        <v>26</v>
      </c>
      <c r="AP431">
        <v>2007</v>
      </c>
      <c r="AQ431" t="s">
        <v>39</v>
      </c>
      <c r="AR431" t="s">
        <v>306</v>
      </c>
      <c r="AS431" t="s">
        <v>319</v>
      </c>
      <c r="AT431" t="s">
        <v>240</v>
      </c>
      <c r="AU431" t="s">
        <v>310</v>
      </c>
      <c r="AV431">
        <v>2.8</v>
      </c>
    </row>
    <row r="432" spans="40:48" x14ac:dyDescent="0.25">
      <c r="AN432" t="s">
        <v>44</v>
      </c>
      <c r="AO432" t="s">
        <v>26</v>
      </c>
      <c r="AP432">
        <v>2007</v>
      </c>
      <c r="AQ432" t="s">
        <v>39</v>
      </c>
      <c r="AR432" t="s">
        <v>306</v>
      </c>
      <c r="AS432" t="s">
        <v>319</v>
      </c>
      <c r="AT432" t="s">
        <v>240</v>
      </c>
      <c r="AU432" t="s">
        <v>311</v>
      </c>
      <c r="AV432">
        <v>8.5</v>
      </c>
    </row>
    <row r="433" spans="40:48" x14ac:dyDescent="0.25">
      <c r="AN433" t="s">
        <v>44</v>
      </c>
      <c r="AO433" t="s">
        <v>26</v>
      </c>
      <c r="AP433">
        <v>2007</v>
      </c>
      <c r="AQ433" t="s">
        <v>39</v>
      </c>
      <c r="AR433" t="s">
        <v>306</v>
      </c>
      <c r="AS433" t="s">
        <v>319</v>
      </c>
      <c r="AT433" t="s">
        <v>240</v>
      </c>
      <c r="AU433" t="s">
        <v>268</v>
      </c>
      <c r="AV433">
        <v>11.3</v>
      </c>
    </row>
    <row r="434" spans="40:48" x14ac:dyDescent="0.25">
      <c r="AN434" t="s">
        <v>44</v>
      </c>
      <c r="AO434" t="s">
        <v>26</v>
      </c>
      <c r="AP434">
        <v>2007</v>
      </c>
      <c r="AQ434" t="s">
        <v>39</v>
      </c>
      <c r="AR434" t="s">
        <v>306</v>
      </c>
      <c r="AS434" t="s">
        <v>319</v>
      </c>
      <c r="AT434" t="s">
        <v>316</v>
      </c>
      <c r="AU434" t="s">
        <v>310</v>
      </c>
      <c r="AV434">
        <v>3.1</v>
      </c>
    </row>
    <row r="435" spans="40:48" x14ac:dyDescent="0.25">
      <c r="AN435" t="s">
        <v>44</v>
      </c>
      <c r="AO435" t="s">
        <v>26</v>
      </c>
      <c r="AP435">
        <v>2007</v>
      </c>
      <c r="AQ435" t="s">
        <v>39</v>
      </c>
      <c r="AR435" t="s">
        <v>306</v>
      </c>
      <c r="AS435" t="s">
        <v>319</v>
      </c>
      <c r="AT435" t="s">
        <v>316</v>
      </c>
      <c r="AU435" t="s">
        <v>311</v>
      </c>
      <c r="AV435">
        <v>8.6999999999999993</v>
      </c>
    </row>
    <row r="436" spans="40:48" x14ac:dyDescent="0.25">
      <c r="AN436" t="s">
        <v>44</v>
      </c>
      <c r="AO436" t="s">
        <v>26</v>
      </c>
      <c r="AP436">
        <v>2007</v>
      </c>
      <c r="AQ436" t="s">
        <v>39</v>
      </c>
      <c r="AR436" t="s">
        <v>306</v>
      </c>
      <c r="AS436" t="s">
        <v>319</v>
      </c>
      <c r="AT436" t="s">
        <v>316</v>
      </c>
      <c r="AU436" t="s">
        <v>268</v>
      </c>
      <c r="AV436">
        <v>11.8</v>
      </c>
    </row>
    <row r="437" spans="40:48" x14ac:dyDescent="0.25">
      <c r="AN437" t="s">
        <v>44</v>
      </c>
      <c r="AO437" t="s">
        <v>26</v>
      </c>
      <c r="AP437">
        <v>2007</v>
      </c>
      <c r="AQ437" t="s">
        <v>39</v>
      </c>
      <c r="AR437" t="s">
        <v>306</v>
      </c>
      <c r="AS437" t="s">
        <v>319</v>
      </c>
      <c r="AT437" t="s">
        <v>242</v>
      </c>
      <c r="AU437" t="s">
        <v>310</v>
      </c>
      <c r="AV437">
        <v>2.4</v>
      </c>
    </row>
    <row r="438" spans="40:48" x14ac:dyDescent="0.25">
      <c r="AN438" t="s">
        <v>44</v>
      </c>
      <c r="AO438" t="s">
        <v>26</v>
      </c>
      <c r="AP438">
        <v>2007</v>
      </c>
      <c r="AQ438" t="s">
        <v>39</v>
      </c>
      <c r="AR438" t="s">
        <v>306</v>
      </c>
      <c r="AS438" t="s">
        <v>319</v>
      </c>
      <c r="AT438" t="s">
        <v>242</v>
      </c>
      <c r="AU438" t="s">
        <v>311</v>
      </c>
      <c r="AV438">
        <v>7.8</v>
      </c>
    </row>
    <row r="439" spans="40:48" x14ac:dyDescent="0.25">
      <c r="AN439" t="s">
        <v>44</v>
      </c>
      <c r="AO439" t="s">
        <v>26</v>
      </c>
      <c r="AP439">
        <v>2007</v>
      </c>
      <c r="AQ439" t="s">
        <v>39</v>
      </c>
      <c r="AR439" t="s">
        <v>306</v>
      </c>
      <c r="AS439" t="s">
        <v>319</v>
      </c>
      <c r="AT439" t="s">
        <v>242</v>
      </c>
      <c r="AU439" t="s">
        <v>268</v>
      </c>
      <c r="AV439">
        <v>10.199999999999999</v>
      </c>
    </row>
    <row r="440" spans="40:48" x14ac:dyDescent="0.25">
      <c r="AN440" t="s">
        <v>44</v>
      </c>
      <c r="AO440" t="s">
        <v>26</v>
      </c>
      <c r="AP440">
        <v>2007</v>
      </c>
      <c r="AQ440" t="s">
        <v>39</v>
      </c>
      <c r="AR440" t="s">
        <v>306</v>
      </c>
      <c r="AS440" t="s">
        <v>319</v>
      </c>
      <c r="AT440" t="s">
        <v>243</v>
      </c>
      <c r="AU440" t="s">
        <v>247</v>
      </c>
      <c r="AV440">
        <v>17</v>
      </c>
    </row>
    <row r="441" spans="40:48" x14ac:dyDescent="0.25">
      <c r="AN441" t="s">
        <v>44</v>
      </c>
      <c r="AO441" t="s">
        <v>26</v>
      </c>
      <c r="AP441">
        <v>2007</v>
      </c>
      <c r="AQ441" t="s">
        <v>39</v>
      </c>
      <c r="AR441" t="s">
        <v>306</v>
      </c>
      <c r="AS441" t="s">
        <v>319</v>
      </c>
      <c r="AT441" t="s">
        <v>243</v>
      </c>
      <c r="AU441" t="s">
        <v>248</v>
      </c>
      <c r="AV441">
        <v>49.3</v>
      </c>
    </row>
    <row r="442" spans="40:48" x14ac:dyDescent="0.25">
      <c r="AN442" t="s">
        <v>44</v>
      </c>
      <c r="AO442" t="s">
        <v>26</v>
      </c>
      <c r="AP442">
        <v>2007</v>
      </c>
      <c r="AQ442" t="s">
        <v>39</v>
      </c>
      <c r="AR442" t="s">
        <v>306</v>
      </c>
      <c r="AS442" t="s">
        <v>319</v>
      </c>
      <c r="AT442" t="s">
        <v>243</v>
      </c>
      <c r="AU442" t="s">
        <v>314</v>
      </c>
      <c r="AV442">
        <v>66.3</v>
      </c>
    </row>
    <row r="443" spans="40:48" x14ac:dyDescent="0.25">
      <c r="AN443" t="s">
        <v>29</v>
      </c>
      <c r="AO443" t="s">
        <v>26</v>
      </c>
      <c r="AP443">
        <v>2005</v>
      </c>
      <c r="AQ443" t="s">
        <v>31</v>
      </c>
      <c r="AR443" t="s">
        <v>306</v>
      </c>
      <c r="AS443" t="s">
        <v>319</v>
      </c>
      <c r="AT443" t="s">
        <v>218</v>
      </c>
      <c r="AU443" t="s">
        <v>310</v>
      </c>
      <c r="AV443">
        <v>4</v>
      </c>
    </row>
    <row r="444" spans="40:48" x14ac:dyDescent="0.25">
      <c r="AN444" t="s">
        <v>29</v>
      </c>
      <c r="AO444" t="s">
        <v>26</v>
      </c>
      <c r="AP444">
        <v>2005</v>
      </c>
      <c r="AQ444" t="s">
        <v>31</v>
      </c>
      <c r="AR444" t="s">
        <v>306</v>
      </c>
      <c r="AS444" t="s">
        <v>319</v>
      </c>
      <c r="AT444" t="s">
        <v>218</v>
      </c>
      <c r="AU444" t="s">
        <v>311</v>
      </c>
      <c r="AV444">
        <v>8.9499999999999993</v>
      </c>
    </row>
    <row r="445" spans="40:48" x14ac:dyDescent="0.25">
      <c r="AN445" t="s">
        <v>29</v>
      </c>
      <c r="AO445" t="s">
        <v>26</v>
      </c>
      <c r="AP445">
        <v>2005</v>
      </c>
      <c r="AQ445" t="s">
        <v>31</v>
      </c>
      <c r="AR445" t="s">
        <v>306</v>
      </c>
      <c r="AS445" t="s">
        <v>319</v>
      </c>
      <c r="AT445" t="s">
        <v>218</v>
      </c>
      <c r="AU445" t="s">
        <v>268</v>
      </c>
      <c r="AV445">
        <v>12.95</v>
      </c>
    </row>
    <row r="446" spans="40:48" x14ac:dyDescent="0.25">
      <c r="AN446" t="s">
        <v>29</v>
      </c>
      <c r="AO446" t="s">
        <v>26</v>
      </c>
      <c r="AP446">
        <v>2005</v>
      </c>
      <c r="AQ446" t="s">
        <v>31</v>
      </c>
      <c r="AR446" t="s">
        <v>306</v>
      </c>
      <c r="AS446" t="s">
        <v>319</v>
      </c>
      <c r="AT446" t="s">
        <v>238</v>
      </c>
      <c r="AU446" t="s">
        <v>310</v>
      </c>
      <c r="AV446">
        <v>3.3</v>
      </c>
    </row>
    <row r="447" spans="40:48" x14ac:dyDescent="0.25">
      <c r="AN447" t="s">
        <v>29</v>
      </c>
      <c r="AO447" t="s">
        <v>26</v>
      </c>
      <c r="AP447">
        <v>2005</v>
      </c>
      <c r="AQ447" t="s">
        <v>31</v>
      </c>
      <c r="AR447" t="s">
        <v>306</v>
      </c>
      <c r="AS447" t="s">
        <v>319</v>
      </c>
      <c r="AT447" t="s">
        <v>238</v>
      </c>
      <c r="AU447" t="s">
        <v>311</v>
      </c>
      <c r="AV447">
        <v>6.65</v>
      </c>
    </row>
    <row r="448" spans="40:48" x14ac:dyDescent="0.25">
      <c r="AN448" t="s">
        <v>29</v>
      </c>
      <c r="AO448" t="s">
        <v>26</v>
      </c>
      <c r="AP448">
        <v>2005</v>
      </c>
      <c r="AQ448" t="s">
        <v>31</v>
      </c>
      <c r="AR448" t="s">
        <v>306</v>
      </c>
      <c r="AS448" t="s">
        <v>319</v>
      </c>
      <c r="AT448" t="s">
        <v>238</v>
      </c>
      <c r="AU448" t="s">
        <v>268</v>
      </c>
      <c r="AV448">
        <v>9.9499999999999993</v>
      </c>
    </row>
    <row r="449" spans="40:48" x14ac:dyDescent="0.25">
      <c r="AN449" t="s">
        <v>29</v>
      </c>
      <c r="AO449" t="s">
        <v>26</v>
      </c>
      <c r="AP449">
        <v>2005</v>
      </c>
      <c r="AQ449" t="s">
        <v>31</v>
      </c>
      <c r="AR449" t="s">
        <v>306</v>
      </c>
      <c r="AS449" t="s">
        <v>319</v>
      </c>
      <c r="AT449" t="s">
        <v>239</v>
      </c>
      <c r="AU449" t="s">
        <v>310</v>
      </c>
      <c r="AV449">
        <v>2.6</v>
      </c>
    </row>
    <row r="450" spans="40:48" x14ac:dyDescent="0.25">
      <c r="AN450" t="s">
        <v>29</v>
      </c>
      <c r="AO450" t="s">
        <v>26</v>
      </c>
      <c r="AP450">
        <v>2005</v>
      </c>
      <c r="AQ450" t="s">
        <v>31</v>
      </c>
      <c r="AR450" t="s">
        <v>306</v>
      </c>
      <c r="AS450" t="s">
        <v>319</v>
      </c>
      <c r="AT450" t="s">
        <v>239</v>
      </c>
      <c r="AU450" t="s">
        <v>311</v>
      </c>
      <c r="AV450">
        <v>6.9</v>
      </c>
    </row>
    <row r="451" spans="40:48" x14ac:dyDescent="0.25">
      <c r="AN451" t="s">
        <v>29</v>
      </c>
      <c r="AO451" t="s">
        <v>26</v>
      </c>
      <c r="AP451">
        <v>2005</v>
      </c>
      <c r="AQ451" t="s">
        <v>31</v>
      </c>
      <c r="AR451" t="s">
        <v>306</v>
      </c>
      <c r="AS451" t="s">
        <v>319</v>
      </c>
      <c r="AT451" t="s">
        <v>239</v>
      </c>
      <c r="AU451" t="s">
        <v>268</v>
      </c>
      <c r="AV451">
        <v>9.5</v>
      </c>
    </row>
    <row r="452" spans="40:48" x14ac:dyDescent="0.25">
      <c r="AN452" t="s">
        <v>29</v>
      </c>
      <c r="AO452" t="s">
        <v>26</v>
      </c>
      <c r="AP452">
        <v>2005</v>
      </c>
      <c r="AQ452" t="s">
        <v>31</v>
      </c>
      <c r="AR452" t="s">
        <v>306</v>
      </c>
      <c r="AS452" t="s">
        <v>319</v>
      </c>
      <c r="AT452" t="s">
        <v>240</v>
      </c>
      <c r="AU452" t="s">
        <v>310</v>
      </c>
      <c r="AV452">
        <v>2.8</v>
      </c>
    </row>
    <row r="453" spans="40:48" x14ac:dyDescent="0.25">
      <c r="AN453" t="s">
        <v>29</v>
      </c>
      <c r="AO453" t="s">
        <v>26</v>
      </c>
      <c r="AP453">
        <v>2005</v>
      </c>
      <c r="AQ453" t="s">
        <v>31</v>
      </c>
      <c r="AR453" t="s">
        <v>306</v>
      </c>
      <c r="AS453" t="s">
        <v>319</v>
      </c>
      <c r="AT453" t="s">
        <v>240</v>
      </c>
      <c r="AU453" t="s">
        <v>311</v>
      </c>
      <c r="AV453">
        <v>8.6</v>
      </c>
    </row>
    <row r="454" spans="40:48" x14ac:dyDescent="0.25">
      <c r="AN454" t="s">
        <v>29</v>
      </c>
      <c r="AO454" t="s">
        <v>26</v>
      </c>
      <c r="AP454">
        <v>2005</v>
      </c>
      <c r="AQ454" t="s">
        <v>31</v>
      </c>
      <c r="AR454" t="s">
        <v>306</v>
      </c>
      <c r="AS454" t="s">
        <v>319</v>
      </c>
      <c r="AT454" t="s">
        <v>240</v>
      </c>
      <c r="AU454" t="s">
        <v>268</v>
      </c>
      <c r="AV454">
        <v>11.4</v>
      </c>
    </row>
    <row r="455" spans="40:48" x14ac:dyDescent="0.25">
      <c r="AN455" t="s">
        <v>29</v>
      </c>
      <c r="AO455" t="s">
        <v>26</v>
      </c>
      <c r="AP455">
        <v>2005</v>
      </c>
      <c r="AQ455" t="s">
        <v>31</v>
      </c>
      <c r="AR455" t="s">
        <v>306</v>
      </c>
      <c r="AS455" t="s">
        <v>319</v>
      </c>
      <c r="AT455" t="s">
        <v>316</v>
      </c>
      <c r="AU455" t="s">
        <v>310</v>
      </c>
      <c r="AV455">
        <v>3.2</v>
      </c>
    </row>
    <row r="456" spans="40:48" x14ac:dyDescent="0.25">
      <c r="AN456" t="s">
        <v>29</v>
      </c>
      <c r="AO456" t="s">
        <v>26</v>
      </c>
      <c r="AP456">
        <v>2005</v>
      </c>
      <c r="AQ456" t="s">
        <v>31</v>
      </c>
      <c r="AR456" t="s">
        <v>306</v>
      </c>
      <c r="AS456" t="s">
        <v>319</v>
      </c>
      <c r="AT456" t="s">
        <v>316</v>
      </c>
      <c r="AU456" t="s">
        <v>311</v>
      </c>
      <c r="AV456">
        <v>8.4499999999999993</v>
      </c>
    </row>
    <row r="457" spans="40:48" x14ac:dyDescent="0.25">
      <c r="AN457" t="s">
        <v>29</v>
      </c>
      <c r="AO457" t="s">
        <v>26</v>
      </c>
      <c r="AP457">
        <v>2005</v>
      </c>
      <c r="AQ457" t="s">
        <v>31</v>
      </c>
      <c r="AR457" t="s">
        <v>306</v>
      </c>
      <c r="AS457" t="s">
        <v>319</v>
      </c>
      <c r="AT457" t="s">
        <v>316</v>
      </c>
      <c r="AU457" t="s">
        <v>268</v>
      </c>
      <c r="AV457">
        <v>11.65</v>
      </c>
    </row>
    <row r="458" spans="40:48" x14ac:dyDescent="0.25">
      <c r="AN458" t="s">
        <v>29</v>
      </c>
      <c r="AO458" t="s">
        <v>26</v>
      </c>
      <c r="AP458">
        <v>2005</v>
      </c>
      <c r="AQ458" t="s">
        <v>31</v>
      </c>
      <c r="AR458" t="s">
        <v>306</v>
      </c>
      <c r="AS458" t="s">
        <v>319</v>
      </c>
      <c r="AT458" t="s">
        <v>242</v>
      </c>
      <c r="AU458" t="s">
        <v>310</v>
      </c>
      <c r="AV458">
        <v>2.4</v>
      </c>
    </row>
    <row r="459" spans="40:48" x14ac:dyDescent="0.25">
      <c r="AN459" t="s">
        <v>29</v>
      </c>
      <c r="AO459" t="s">
        <v>26</v>
      </c>
      <c r="AP459">
        <v>2005</v>
      </c>
      <c r="AQ459" t="s">
        <v>31</v>
      </c>
      <c r="AR459" t="s">
        <v>306</v>
      </c>
      <c r="AS459" t="s">
        <v>319</v>
      </c>
      <c r="AT459" t="s">
        <v>242</v>
      </c>
      <c r="AU459" t="s">
        <v>311</v>
      </c>
      <c r="AV459">
        <v>7.9</v>
      </c>
    </row>
    <row r="460" spans="40:48" x14ac:dyDescent="0.25">
      <c r="AN460" t="s">
        <v>29</v>
      </c>
      <c r="AO460" t="s">
        <v>26</v>
      </c>
      <c r="AP460">
        <v>2005</v>
      </c>
      <c r="AQ460" t="s">
        <v>31</v>
      </c>
      <c r="AR460" t="s">
        <v>306</v>
      </c>
      <c r="AS460" t="s">
        <v>319</v>
      </c>
      <c r="AT460" t="s">
        <v>242</v>
      </c>
      <c r="AU460" t="s">
        <v>268</v>
      </c>
      <c r="AV460">
        <v>10.3</v>
      </c>
    </row>
    <row r="461" spans="40:48" x14ac:dyDescent="0.25">
      <c r="AN461" t="s">
        <v>29</v>
      </c>
      <c r="AO461" t="s">
        <v>26</v>
      </c>
      <c r="AP461">
        <v>2005</v>
      </c>
      <c r="AQ461" t="s">
        <v>31</v>
      </c>
      <c r="AR461" t="s">
        <v>306</v>
      </c>
      <c r="AS461" t="s">
        <v>319</v>
      </c>
      <c r="AT461" t="s">
        <v>243</v>
      </c>
      <c r="AU461" t="s">
        <v>247</v>
      </c>
      <c r="AV461">
        <v>18.299999999999997</v>
      </c>
    </row>
    <row r="462" spans="40:48" x14ac:dyDescent="0.25">
      <c r="AN462" t="s">
        <v>29</v>
      </c>
      <c r="AO462" t="s">
        <v>26</v>
      </c>
      <c r="AP462">
        <v>2005</v>
      </c>
      <c r="AQ462" t="s">
        <v>31</v>
      </c>
      <c r="AR462" t="s">
        <v>306</v>
      </c>
      <c r="AS462" t="s">
        <v>319</v>
      </c>
      <c r="AT462" t="s">
        <v>243</v>
      </c>
      <c r="AU462" t="s">
        <v>248</v>
      </c>
      <c r="AV462">
        <v>47.449999999999996</v>
      </c>
    </row>
    <row r="463" spans="40:48" x14ac:dyDescent="0.25">
      <c r="AN463" t="s">
        <v>29</v>
      </c>
      <c r="AO463" t="s">
        <v>26</v>
      </c>
      <c r="AP463">
        <v>2005</v>
      </c>
      <c r="AQ463" t="s">
        <v>31</v>
      </c>
      <c r="AR463" t="s">
        <v>306</v>
      </c>
      <c r="AS463" t="s">
        <v>319</v>
      </c>
      <c r="AT463" t="s">
        <v>243</v>
      </c>
      <c r="AU463" t="s">
        <v>314</v>
      </c>
      <c r="AV463">
        <v>65.75</v>
      </c>
    </row>
    <row r="464" spans="40:48" x14ac:dyDescent="0.25">
      <c r="AN464" t="s">
        <v>132</v>
      </c>
      <c r="AO464" t="s">
        <v>26</v>
      </c>
      <c r="AP464">
        <v>2008</v>
      </c>
      <c r="AQ464" t="s">
        <v>39</v>
      </c>
      <c r="AR464" t="s">
        <v>306</v>
      </c>
      <c r="AS464" t="s">
        <v>319</v>
      </c>
      <c r="AT464" t="s">
        <v>218</v>
      </c>
      <c r="AU464" t="s">
        <v>310</v>
      </c>
      <c r="AV464">
        <v>3.8</v>
      </c>
    </row>
    <row r="465" spans="40:48" x14ac:dyDescent="0.25">
      <c r="AN465" t="s">
        <v>132</v>
      </c>
      <c r="AO465" t="s">
        <v>26</v>
      </c>
      <c r="AP465">
        <v>2008</v>
      </c>
      <c r="AQ465" t="s">
        <v>39</v>
      </c>
      <c r="AR465" t="s">
        <v>306</v>
      </c>
      <c r="AS465" t="s">
        <v>319</v>
      </c>
      <c r="AT465" t="s">
        <v>218</v>
      </c>
      <c r="AU465" t="s">
        <v>311</v>
      </c>
      <c r="AV465">
        <v>7.8</v>
      </c>
    </row>
    <row r="466" spans="40:48" x14ac:dyDescent="0.25">
      <c r="AN466" t="s">
        <v>132</v>
      </c>
      <c r="AO466" t="s">
        <v>26</v>
      </c>
      <c r="AP466">
        <v>2008</v>
      </c>
      <c r="AQ466" t="s">
        <v>39</v>
      </c>
      <c r="AR466" t="s">
        <v>306</v>
      </c>
      <c r="AS466" t="s">
        <v>319</v>
      </c>
      <c r="AT466" t="s">
        <v>218</v>
      </c>
      <c r="AU466" t="s">
        <v>268</v>
      </c>
      <c r="AV466">
        <v>11.6</v>
      </c>
    </row>
    <row r="467" spans="40:48" x14ac:dyDescent="0.25">
      <c r="AN467" t="s">
        <v>132</v>
      </c>
      <c r="AO467" t="s">
        <v>26</v>
      </c>
      <c r="AP467">
        <v>2008</v>
      </c>
      <c r="AQ467" t="s">
        <v>39</v>
      </c>
      <c r="AR467" t="s">
        <v>306</v>
      </c>
      <c r="AS467" t="s">
        <v>319</v>
      </c>
      <c r="AT467" t="s">
        <v>238</v>
      </c>
      <c r="AU467" t="s">
        <v>310</v>
      </c>
      <c r="AV467">
        <v>3</v>
      </c>
    </row>
    <row r="468" spans="40:48" x14ac:dyDescent="0.25">
      <c r="AN468" t="s">
        <v>132</v>
      </c>
      <c r="AO468" t="s">
        <v>26</v>
      </c>
      <c r="AP468">
        <v>2008</v>
      </c>
      <c r="AQ468" t="s">
        <v>39</v>
      </c>
      <c r="AR468" t="s">
        <v>306</v>
      </c>
      <c r="AS468" t="s">
        <v>319</v>
      </c>
      <c r="AT468" t="s">
        <v>238</v>
      </c>
      <c r="AU468" t="s">
        <v>311</v>
      </c>
      <c r="AV468">
        <v>7.6</v>
      </c>
    </row>
    <row r="469" spans="40:48" x14ac:dyDescent="0.25">
      <c r="AN469" t="s">
        <v>132</v>
      </c>
      <c r="AO469" t="s">
        <v>26</v>
      </c>
      <c r="AP469">
        <v>2008</v>
      </c>
      <c r="AQ469" t="s">
        <v>39</v>
      </c>
      <c r="AR469" t="s">
        <v>306</v>
      </c>
      <c r="AS469" t="s">
        <v>319</v>
      </c>
      <c r="AT469" t="s">
        <v>238</v>
      </c>
      <c r="AU469" t="s">
        <v>268</v>
      </c>
      <c r="AV469">
        <v>10.6</v>
      </c>
    </row>
    <row r="470" spans="40:48" x14ac:dyDescent="0.25">
      <c r="AN470" t="s">
        <v>132</v>
      </c>
      <c r="AO470" t="s">
        <v>26</v>
      </c>
      <c r="AP470">
        <v>2008</v>
      </c>
      <c r="AQ470" t="s">
        <v>39</v>
      </c>
      <c r="AR470" t="s">
        <v>306</v>
      </c>
      <c r="AS470" t="s">
        <v>319</v>
      </c>
      <c r="AT470" t="s">
        <v>239</v>
      </c>
      <c r="AU470" t="s">
        <v>310</v>
      </c>
      <c r="AV470">
        <v>2.2999999999999998</v>
      </c>
    </row>
    <row r="471" spans="40:48" x14ac:dyDescent="0.25">
      <c r="AN471" t="s">
        <v>132</v>
      </c>
      <c r="AO471" t="s">
        <v>26</v>
      </c>
      <c r="AP471">
        <v>2008</v>
      </c>
      <c r="AQ471" t="s">
        <v>39</v>
      </c>
      <c r="AR471" t="s">
        <v>306</v>
      </c>
      <c r="AS471" t="s">
        <v>319</v>
      </c>
      <c r="AT471" t="s">
        <v>239</v>
      </c>
      <c r="AU471" t="s">
        <v>311</v>
      </c>
      <c r="AV471">
        <v>7.15</v>
      </c>
    </row>
    <row r="472" spans="40:48" x14ac:dyDescent="0.25">
      <c r="AN472" t="s">
        <v>132</v>
      </c>
      <c r="AO472" t="s">
        <v>26</v>
      </c>
      <c r="AP472">
        <v>2008</v>
      </c>
      <c r="AQ472" t="s">
        <v>39</v>
      </c>
      <c r="AR472" t="s">
        <v>306</v>
      </c>
      <c r="AS472" t="s">
        <v>319</v>
      </c>
      <c r="AT472" t="s">
        <v>239</v>
      </c>
      <c r="AU472" t="s">
        <v>268</v>
      </c>
      <c r="AV472">
        <v>9.4499999999999993</v>
      </c>
    </row>
    <row r="473" spans="40:48" x14ac:dyDescent="0.25">
      <c r="AN473" t="s">
        <v>132</v>
      </c>
      <c r="AO473" t="s">
        <v>26</v>
      </c>
      <c r="AP473">
        <v>2008</v>
      </c>
      <c r="AQ473" t="s">
        <v>39</v>
      </c>
      <c r="AR473" t="s">
        <v>306</v>
      </c>
      <c r="AS473" t="s">
        <v>319</v>
      </c>
      <c r="AT473" t="s">
        <v>240</v>
      </c>
      <c r="AU473" t="s">
        <v>310</v>
      </c>
      <c r="AV473">
        <v>2.2000000000000002</v>
      </c>
    </row>
    <row r="474" spans="40:48" x14ac:dyDescent="0.25">
      <c r="AN474" t="s">
        <v>132</v>
      </c>
      <c r="AO474" t="s">
        <v>26</v>
      </c>
      <c r="AP474">
        <v>2008</v>
      </c>
      <c r="AQ474" t="s">
        <v>39</v>
      </c>
      <c r="AR474" t="s">
        <v>306</v>
      </c>
      <c r="AS474" t="s">
        <v>319</v>
      </c>
      <c r="AT474" t="s">
        <v>240</v>
      </c>
      <c r="AU474" t="s">
        <v>311</v>
      </c>
      <c r="AV474">
        <v>9.1</v>
      </c>
    </row>
    <row r="475" spans="40:48" x14ac:dyDescent="0.25">
      <c r="AN475" t="s">
        <v>132</v>
      </c>
      <c r="AO475" t="s">
        <v>26</v>
      </c>
      <c r="AP475">
        <v>2008</v>
      </c>
      <c r="AQ475" t="s">
        <v>39</v>
      </c>
      <c r="AR475" t="s">
        <v>306</v>
      </c>
      <c r="AS475" t="s">
        <v>319</v>
      </c>
      <c r="AT475" t="s">
        <v>240</v>
      </c>
      <c r="AU475" t="s">
        <v>268</v>
      </c>
      <c r="AV475">
        <v>11.3</v>
      </c>
    </row>
    <row r="476" spans="40:48" x14ac:dyDescent="0.25">
      <c r="AN476" t="s">
        <v>132</v>
      </c>
      <c r="AO476" t="s">
        <v>26</v>
      </c>
      <c r="AP476">
        <v>2008</v>
      </c>
      <c r="AQ476" t="s">
        <v>39</v>
      </c>
      <c r="AR476" t="s">
        <v>306</v>
      </c>
      <c r="AS476" t="s">
        <v>319</v>
      </c>
      <c r="AT476" t="s">
        <v>316</v>
      </c>
      <c r="AU476" t="s">
        <v>310</v>
      </c>
      <c r="AV476">
        <v>3</v>
      </c>
    </row>
    <row r="477" spans="40:48" x14ac:dyDescent="0.25">
      <c r="AN477" t="s">
        <v>132</v>
      </c>
      <c r="AO477" t="s">
        <v>26</v>
      </c>
      <c r="AP477">
        <v>2008</v>
      </c>
      <c r="AQ477" t="s">
        <v>39</v>
      </c>
      <c r="AR477" t="s">
        <v>306</v>
      </c>
      <c r="AS477" t="s">
        <v>319</v>
      </c>
      <c r="AT477" t="s">
        <v>316</v>
      </c>
      <c r="AU477" t="s">
        <v>311</v>
      </c>
      <c r="AV477">
        <v>8.0500000000000007</v>
      </c>
    </row>
    <row r="478" spans="40:48" x14ac:dyDescent="0.25">
      <c r="AN478" t="s">
        <v>132</v>
      </c>
      <c r="AO478" t="s">
        <v>26</v>
      </c>
      <c r="AP478">
        <v>2008</v>
      </c>
      <c r="AQ478" t="s">
        <v>39</v>
      </c>
      <c r="AR478" t="s">
        <v>306</v>
      </c>
      <c r="AS478" t="s">
        <v>319</v>
      </c>
      <c r="AT478" t="s">
        <v>316</v>
      </c>
      <c r="AU478" t="s">
        <v>268</v>
      </c>
      <c r="AV478">
        <v>11.05</v>
      </c>
    </row>
    <row r="479" spans="40:48" x14ac:dyDescent="0.25">
      <c r="AN479" t="s">
        <v>132</v>
      </c>
      <c r="AO479" t="s">
        <v>26</v>
      </c>
      <c r="AP479">
        <v>2008</v>
      </c>
      <c r="AQ479" t="s">
        <v>39</v>
      </c>
      <c r="AR479" t="s">
        <v>306</v>
      </c>
      <c r="AS479" t="s">
        <v>319</v>
      </c>
      <c r="AT479" t="s">
        <v>242</v>
      </c>
      <c r="AU479" t="s">
        <v>310</v>
      </c>
      <c r="AV479">
        <v>2.4</v>
      </c>
    </row>
    <row r="480" spans="40:48" x14ac:dyDescent="0.25">
      <c r="AN480" t="s">
        <v>132</v>
      </c>
      <c r="AO480" t="s">
        <v>26</v>
      </c>
      <c r="AP480">
        <v>2008</v>
      </c>
      <c r="AQ480" t="s">
        <v>39</v>
      </c>
      <c r="AR480" t="s">
        <v>306</v>
      </c>
      <c r="AS480" t="s">
        <v>319</v>
      </c>
      <c r="AT480" t="s">
        <v>242</v>
      </c>
      <c r="AU480" t="s">
        <v>311</v>
      </c>
      <c r="AV480">
        <v>9.1</v>
      </c>
    </row>
    <row r="481" spans="40:48" x14ac:dyDescent="0.25">
      <c r="AN481" t="s">
        <v>132</v>
      </c>
      <c r="AO481" t="s">
        <v>26</v>
      </c>
      <c r="AP481">
        <v>2008</v>
      </c>
      <c r="AQ481" t="s">
        <v>39</v>
      </c>
      <c r="AR481" t="s">
        <v>306</v>
      </c>
      <c r="AS481" t="s">
        <v>319</v>
      </c>
      <c r="AT481" t="s">
        <v>242</v>
      </c>
      <c r="AU481" t="s">
        <v>268</v>
      </c>
      <c r="AV481">
        <v>11.5</v>
      </c>
    </row>
    <row r="482" spans="40:48" x14ac:dyDescent="0.25">
      <c r="AN482" t="s">
        <v>132</v>
      </c>
      <c r="AO482" t="s">
        <v>26</v>
      </c>
      <c r="AP482">
        <v>2008</v>
      </c>
      <c r="AQ482" t="s">
        <v>39</v>
      </c>
      <c r="AR482" t="s">
        <v>306</v>
      </c>
      <c r="AS482" t="s">
        <v>319</v>
      </c>
      <c r="AT482" t="s">
        <v>243</v>
      </c>
      <c r="AU482" t="s">
        <v>247</v>
      </c>
      <c r="AV482">
        <v>16.7</v>
      </c>
    </row>
    <row r="483" spans="40:48" x14ac:dyDescent="0.25">
      <c r="AN483" t="s">
        <v>132</v>
      </c>
      <c r="AO483" t="s">
        <v>26</v>
      </c>
      <c r="AP483">
        <v>2008</v>
      </c>
      <c r="AQ483" t="s">
        <v>39</v>
      </c>
      <c r="AR483" t="s">
        <v>306</v>
      </c>
      <c r="AS483" t="s">
        <v>319</v>
      </c>
      <c r="AT483" t="s">
        <v>243</v>
      </c>
      <c r="AU483" t="s">
        <v>248</v>
      </c>
      <c r="AV483">
        <v>48.800000000000004</v>
      </c>
    </row>
    <row r="484" spans="40:48" x14ac:dyDescent="0.25">
      <c r="AN484" t="s">
        <v>132</v>
      </c>
      <c r="AO484" t="s">
        <v>26</v>
      </c>
      <c r="AP484">
        <v>2008</v>
      </c>
      <c r="AQ484" t="s">
        <v>39</v>
      </c>
      <c r="AR484" t="s">
        <v>306</v>
      </c>
      <c r="AS484" t="s">
        <v>319</v>
      </c>
      <c r="AT484" t="s">
        <v>243</v>
      </c>
      <c r="AU484" t="s">
        <v>314</v>
      </c>
      <c r="AV484">
        <v>65.5</v>
      </c>
    </row>
    <row r="485" spans="40:48" x14ac:dyDescent="0.25">
      <c r="AN485" t="s">
        <v>48</v>
      </c>
      <c r="AO485" t="s">
        <v>26</v>
      </c>
      <c r="AP485">
        <v>2006</v>
      </c>
      <c r="AQ485" t="s">
        <v>36</v>
      </c>
      <c r="AR485" t="s">
        <v>306</v>
      </c>
      <c r="AS485" t="s">
        <v>319</v>
      </c>
      <c r="AT485" t="s">
        <v>218</v>
      </c>
      <c r="AU485" t="s">
        <v>310</v>
      </c>
      <c r="AV485">
        <v>3.7</v>
      </c>
    </row>
    <row r="486" spans="40:48" x14ac:dyDescent="0.25">
      <c r="AN486" t="s">
        <v>48</v>
      </c>
      <c r="AO486" t="s">
        <v>26</v>
      </c>
      <c r="AP486">
        <v>2006</v>
      </c>
      <c r="AQ486" t="s">
        <v>36</v>
      </c>
      <c r="AR486" t="s">
        <v>306</v>
      </c>
      <c r="AS486" t="s">
        <v>319</v>
      </c>
      <c r="AT486" t="s">
        <v>218</v>
      </c>
      <c r="AU486" t="s">
        <v>311</v>
      </c>
      <c r="AV486">
        <v>7.4</v>
      </c>
    </row>
    <row r="487" spans="40:48" x14ac:dyDescent="0.25">
      <c r="AN487" t="s">
        <v>48</v>
      </c>
      <c r="AO487" t="s">
        <v>26</v>
      </c>
      <c r="AP487">
        <v>2006</v>
      </c>
      <c r="AQ487" t="s">
        <v>36</v>
      </c>
      <c r="AR487" t="s">
        <v>306</v>
      </c>
      <c r="AS487" t="s">
        <v>319</v>
      </c>
      <c r="AT487" t="s">
        <v>218</v>
      </c>
      <c r="AU487" t="s">
        <v>268</v>
      </c>
      <c r="AV487">
        <v>11.1</v>
      </c>
    </row>
    <row r="488" spans="40:48" x14ac:dyDescent="0.25">
      <c r="AN488" t="s">
        <v>48</v>
      </c>
      <c r="AO488" t="s">
        <v>26</v>
      </c>
      <c r="AP488">
        <v>2006</v>
      </c>
      <c r="AQ488" t="s">
        <v>36</v>
      </c>
      <c r="AR488" t="s">
        <v>306</v>
      </c>
      <c r="AS488" t="s">
        <v>319</v>
      </c>
      <c r="AT488" t="s">
        <v>238</v>
      </c>
      <c r="AU488" t="s">
        <v>310</v>
      </c>
      <c r="AV488">
        <v>2.8</v>
      </c>
    </row>
    <row r="489" spans="40:48" x14ac:dyDescent="0.25">
      <c r="AN489" t="s">
        <v>48</v>
      </c>
      <c r="AO489" t="s">
        <v>26</v>
      </c>
      <c r="AP489">
        <v>2006</v>
      </c>
      <c r="AQ489" t="s">
        <v>36</v>
      </c>
      <c r="AR489" t="s">
        <v>306</v>
      </c>
      <c r="AS489" t="s">
        <v>319</v>
      </c>
      <c r="AT489" t="s">
        <v>238</v>
      </c>
      <c r="AU489" t="s">
        <v>311</v>
      </c>
      <c r="AV489">
        <v>4</v>
      </c>
    </row>
    <row r="490" spans="40:48" x14ac:dyDescent="0.25">
      <c r="AN490" t="s">
        <v>48</v>
      </c>
      <c r="AO490" t="s">
        <v>26</v>
      </c>
      <c r="AP490">
        <v>2006</v>
      </c>
      <c r="AQ490" t="s">
        <v>36</v>
      </c>
      <c r="AR490" t="s">
        <v>306</v>
      </c>
      <c r="AS490" t="s">
        <v>319</v>
      </c>
      <c r="AT490" t="s">
        <v>238</v>
      </c>
      <c r="AU490" t="s">
        <v>268</v>
      </c>
      <c r="AV490">
        <v>6.8</v>
      </c>
    </row>
    <row r="491" spans="40:48" x14ac:dyDescent="0.25">
      <c r="AN491" t="s">
        <v>48</v>
      </c>
      <c r="AO491" t="s">
        <v>26</v>
      </c>
      <c r="AP491">
        <v>2006</v>
      </c>
      <c r="AQ491" t="s">
        <v>36</v>
      </c>
      <c r="AR491" t="s">
        <v>306</v>
      </c>
      <c r="AS491" t="s">
        <v>319</v>
      </c>
      <c r="AT491" t="s">
        <v>239</v>
      </c>
      <c r="AU491" t="s">
        <v>310</v>
      </c>
      <c r="AV491">
        <v>2.4</v>
      </c>
    </row>
    <row r="492" spans="40:48" x14ac:dyDescent="0.25">
      <c r="AN492" t="s">
        <v>48</v>
      </c>
      <c r="AO492" t="s">
        <v>26</v>
      </c>
      <c r="AP492">
        <v>2006</v>
      </c>
      <c r="AQ492" t="s">
        <v>36</v>
      </c>
      <c r="AR492" t="s">
        <v>306</v>
      </c>
      <c r="AS492" t="s">
        <v>319</v>
      </c>
      <c r="AT492" t="s">
        <v>239</v>
      </c>
      <c r="AU492" t="s">
        <v>311</v>
      </c>
      <c r="AV492">
        <v>7.55</v>
      </c>
    </row>
    <row r="493" spans="40:48" x14ac:dyDescent="0.25">
      <c r="AN493" t="s">
        <v>48</v>
      </c>
      <c r="AO493" t="s">
        <v>26</v>
      </c>
      <c r="AP493">
        <v>2006</v>
      </c>
      <c r="AQ493" t="s">
        <v>36</v>
      </c>
      <c r="AR493" t="s">
        <v>306</v>
      </c>
      <c r="AS493" t="s">
        <v>319</v>
      </c>
      <c r="AT493" t="s">
        <v>239</v>
      </c>
      <c r="AU493" t="s">
        <v>268</v>
      </c>
      <c r="AV493">
        <v>9.9499999999999993</v>
      </c>
    </row>
    <row r="494" spans="40:48" x14ac:dyDescent="0.25">
      <c r="AN494" t="s">
        <v>48</v>
      </c>
      <c r="AO494" t="s">
        <v>26</v>
      </c>
      <c r="AP494">
        <v>2006</v>
      </c>
      <c r="AQ494" t="s">
        <v>36</v>
      </c>
      <c r="AR494" t="s">
        <v>306</v>
      </c>
      <c r="AS494" t="s">
        <v>319</v>
      </c>
      <c r="AT494" t="s">
        <v>240</v>
      </c>
      <c r="AU494" t="s">
        <v>310</v>
      </c>
      <c r="AV494">
        <v>2.4</v>
      </c>
    </row>
    <row r="495" spans="40:48" x14ac:dyDescent="0.25">
      <c r="AN495" t="s">
        <v>48</v>
      </c>
      <c r="AO495" t="s">
        <v>26</v>
      </c>
      <c r="AP495">
        <v>2006</v>
      </c>
      <c r="AQ495" t="s">
        <v>36</v>
      </c>
      <c r="AR495" t="s">
        <v>306</v>
      </c>
      <c r="AS495" t="s">
        <v>319</v>
      </c>
      <c r="AT495" t="s">
        <v>240</v>
      </c>
      <c r="AU495" t="s">
        <v>311</v>
      </c>
      <c r="AV495">
        <v>7.8</v>
      </c>
    </row>
    <row r="496" spans="40:48" x14ac:dyDescent="0.25">
      <c r="AN496" t="s">
        <v>48</v>
      </c>
      <c r="AO496" t="s">
        <v>26</v>
      </c>
      <c r="AP496">
        <v>2006</v>
      </c>
      <c r="AQ496" t="s">
        <v>36</v>
      </c>
      <c r="AR496" t="s">
        <v>306</v>
      </c>
      <c r="AS496" t="s">
        <v>319</v>
      </c>
      <c r="AT496" t="s">
        <v>240</v>
      </c>
      <c r="AU496" t="s">
        <v>268</v>
      </c>
      <c r="AV496">
        <v>10.199999999999999</v>
      </c>
    </row>
    <row r="497" spans="40:48" x14ac:dyDescent="0.25">
      <c r="AN497" t="s">
        <v>48</v>
      </c>
      <c r="AO497" t="s">
        <v>26</v>
      </c>
      <c r="AP497">
        <v>2006</v>
      </c>
      <c r="AQ497" t="s">
        <v>36</v>
      </c>
      <c r="AR497" t="s">
        <v>306</v>
      </c>
      <c r="AS497" t="s">
        <v>319</v>
      </c>
      <c r="AT497" t="s">
        <v>316</v>
      </c>
      <c r="AU497" t="s">
        <v>310</v>
      </c>
      <c r="AV497">
        <v>3.1</v>
      </c>
    </row>
    <row r="498" spans="40:48" x14ac:dyDescent="0.25">
      <c r="AN498" t="s">
        <v>48</v>
      </c>
      <c r="AO498" t="s">
        <v>26</v>
      </c>
      <c r="AP498">
        <v>2006</v>
      </c>
      <c r="AQ498" t="s">
        <v>36</v>
      </c>
      <c r="AR498" t="s">
        <v>306</v>
      </c>
      <c r="AS498" t="s">
        <v>319</v>
      </c>
      <c r="AT498" t="s">
        <v>316</v>
      </c>
      <c r="AU498" t="s">
        <v>311</v>
      </c>
      <c r="AV498">
        <v>8.0500000000000007</v>
      </c>
    </row>
    <row r="499" spans="40:48" x14ac:dyDescent="0.25">
      <c r="AN499" t="s">
        <v>48</v>
      </c>
      <c r="AO499" t="s">
        <v>26</v>
      </c>
      <c r="AP499">
        <v>2006</v>
      </c>
      <c r="AQ499" t="s">
        <v>36</v>
      </c>
      <c r="AR499" t="s">
        <v>306</v>
      </c>
      <c r="AS499" t="s">
        <v>319</v>
      </c>
      <c r="AT499" t="s">
        <v>316</v>
      </c>
      <c r="AU499" t="s">
        <v>268</v>
      </c>
      <c r="AV499">
        <v>11.15</v>
      </c>
    </row>
    <row r="500" spans="40:48" x14ac:dyDescent="0.25">
      <c r="AN500" t="s">
        <v>48</v>
      </c>
      <c r="AO500" t="s">
        <v>26</v>
      </c>
      <c r="AP500">
        <v>2006</v>
      </c>
      <c r="AQ500" t="s">
        <v>36</v>
      </c>
      <c r="AR500" t="s">
        <v>306</v>
      </c>
      <c r="AS500" t="s">
        <v>319</v>
      </c>
      <c r="AT500" t="s">
        <v>242</v>
      </c>
      <c r="AU500" t="s">
        <v>310</v>
      </c>
      <c r="AV500">
        <v>1.9</v>
      </c>
    </row>
    <row r="501" spans="40:48" x14ac:dyDescent="0.25">
      <c r="AN501" t="s">
        <v>48</v>
      </c>
      <c r="AO501" t="s">
        <v>26</v>
      </c>
      <c r="AP501">
        <v>2006</v>
      </c>
      <c r="AQ501" t="s">
        <v>36</v>
      </c>
      <c r="AR501" t="s">
        <v>306</v>
      </c>
      <c r="AS501" t="s">
        <v>319</v>
      </c>
      <c r="AT501" t="s">
        <v>242</v>
      </c>
      <c r="AU501" t="s">
        <v>311</v>
      </c>
      <c r="AV501">
        <v>8</v>
      </c>
    </row>
    <row r="502" spans="40:48" x14ac:dyDescent="0.25">
      <c r="AN502" t="s">
        <v>48</v>
      </c>
      <c r="AO502" t="s">
        <v>26</v>
      </c>
      <c r="AP502">
        <v>2006</v>
      </c>
      <c r="AQ502" t="s">
        <v>36</v>
      </c>
      <c r="AR502" t="s">
        <v>306</v>
      </c>
      <c r="AS502" t="s">
        <v>319</v>
      </c>
      <c r="AT502" t="s">
        <v>242</v>
      </c>
      <c r="AU502" t="s">
        <v>268</v>
      </c>
      <c r="AV502">
        <v>9.9</v>
      </c>
    </row>
    <row r="503" spans="40:48" x14ac:dyDescent="0.25">
      <c r="AN503" t="s">
        <v>48</v>
      </c>
      <c r="AO503" t="s">
        <v>26</v>
      </c>
      <c r="AP503">
        <v>2006</v>
      </c>
      <c r="AQ503" t="s">
        <v>36</v>
      </c>
      <c r="AR503" t="s">
        <v>306</v>
      </c>
      <c r="AS503" t="s">
        <v>319</v>
      </c>
      <c r="AT503" t="s">
        <v>243</v>
      </c>
      <c r="AU503" t="s">
        <v>247</v>
      </c>
      <c r="AV503">
        <v>16.3</v>
      </c>
    </row>
    <row r="504" spans="40:48" x14ac:dyDescent="0.25">
      <c r="AN504" t="s">
        <v>48</v>
      </c>
      <c r="AO504" t="s">
        <v>26</v>
      </c>
      <c r="AP504">
        <v>2006</v>
      </c>
      <c r="AQ504" t="s">
        <v>36</v>
      </c>
      <c r="AR504" t="s">
        <v>306</v>
      </c>
      <c r="AS504" t="s">
        <v>319</v>
      </c>
      <c r="AT504" t="s">
        <v>243</v>
      </c>
      <c r="AU504" t="s">
        <v>248</v>
      </c>
      <c r="AV504">
        <v>42.8</v>
      </c>
    </row>
    <row r="505" spans="40:48" x14ac:dyDescent="0.25">
      <c r="AN505" t="s">
        <v>48</v>
      </c>
      <c r="AO505" t="s">
        <v>26</v>
      </c>
      <c r="AP505">
        <v>2006</v>
      </c>
      <c r="AQ505" t="s">
        <v>36</v>
      </c>
      <c r="AR505" t="s">
        <v>306</v>
      </c>
      <c r="AS505" t="s">
        <v>319</v>
      </c>
      <c r="AT505" t="s">
        <v>243</v>
      </c>
      <c r="AU505" t="s">
        <v>314</v>
      </c>
      <c r="AV505">
        <v>59.099999999999994</v>
      </c>
    </row>
    <row r="506" spans="40:48" x14ac:dyDescent="0.25">
      <c r="AN506" t="s">
        <v>57</v>
      </c>
      <c r="AO506" t="s">
        <v>26</v>
      </c>
      <c r="AP506">
        <v>2007</v>
      </c>
      <c r="AQ506" t="s">
        <v>36</v>
      </c>
      <c r="AR506" t="s">
        <v>306</v>
      </c>
      <c r="AS506" t="s">
        <v>319</v>
      </c>
      <c r="AT506" t="s">
        <v>218</v>
      </c>
      <c r="AU506" t="s">
        <v>310</v>
      </c>
      <c r="AV506">
        <v>3.2</v>
      </c>
    </row>
    <row r="507" spans="40:48" x14ac:dyDescent="0.25">
      <c r="AN507" t="s">
        <v>57</v>
      </c>
      <c r="AO507" t="s">
        <v>26</v>
      </c>
      <c r="AP507">
        <v>2007</v>
      </c>
      <c r="AQ507" t="s">
        <v>36</v>
      </c>
      <c r="AR507" t="s">
        <v>306</v>
      </c>
      <c r="AS507" t="s">
        <v>319</v>
      </c>
      <c r="AT507" t="s">
        <v>218</v>
      </c>
      <c r="AU507" t="s">
        <v>311</v>
      </c>
      <c r="AV507">
        <v>7.3</v>
      </c>
    </row>
    <row r="508" spans="40:48" x14ac:dyDescent="0.25">
      <c r="AN508" t="s">
        <v>57</v>
      </c>
      <c r="AO508" t="s">
        <v>26</v>
      </c>
      <c r="AP508">
        <v>2007</v>
      </c>
      <c r="AQ508" t="s">
        <v>36</v>
      </c>
      <c r="AR508" t="s">
        <v>306</v>
      </c>
      <c r="AS508" t="s">
        <v>319</v>
      </c>
      <c r="AT508" t="s">
        <v>218</v>
      </c>
      <c r="AU508" t="s">
        <v>268</v>
      </c>
      <c r="AV508">
        <v>10.5</v>
      </c>
    </row>
    <row r="509" spans="40:48" x14ac:dyDescent="0.25">
      <c r="AN509" t="s">
        <v>57</v>
      </c>
      <c r="AO509" t="s">
        <v>26</v>
      </c>
      <c r="AP509">
        <v>2007</v>
      </c>
      <c r="AQ509" t="s">
        <v>36</v>
      </c>
      <c r="AR509" t="s">
        <v>306</v>
      </c>
      <c r="AS509" t="s">
        <v>319</v>
      </c>
      <c r="AT509" t="s">
        <v>238</v>
      </c>
      <c r="AU509" t="s">
        <v>310</v>
      </c>
      <c r="AV509">
        <v>2.6</v>
      </c>
    </row>
    <row r="510" spans="40:48" x14ac:dyDescent="0.25">
      <c r="AN510" t="s">
        <v>57</v>
      </c>
      <c r="AO510" t="s">
        <v>26</v>
      </c>
      <c r="AP510">
        <v>2007</v>
      </c>
      <c r="AQ510" t="s">
        <v>36</v>
      </c>
      <c r="AR510" t="s">
        <v>306</v>
      </c>
      <c r="AS510" t="s">
        <v>319</v>
      </c>
      <c r="AT510" t="s">
        <v>238</v>
      </c>
      <c r="AU510" t="s">
        <v>311</v>
      </c>
      <c r="AV510">
        <v>6</v>
      </c>
    </row>
    <row r="511" spans="40:48" x14ac:dyDescent="0.25">
      <c r="AN511" t="s">
        <v>57</v>
      </c>
      <c r="AO511" t="s">
        <v>26</v>
      </c>
      <c r="AP511">
        <v>2007</v>
      </c>
      <c r="AQ511" t="s">
        <v>36</v>
      </c>
      <c r="AR511" t="s">
        <v>306</v>
      </c>
      <c r="AS511" t="s">
        <v>319</v>
      </c>
      <c r="AT511" t="s">
        <v>238</v>
      </c>
      <c r="AU511" t="s">
        <v>268</v>
      </c>
      <c r="AV511">
        <v>8.6</v>
      </c>
    </row>
    <row r="512" spans="40:48" x14ac:dyDescent="0.25">
      <c r="AN512" t="s">
        <v>57</v>
      </c>
      <c r="AO512" t="s">
        <v>26</v>
      </c>
      <c r="AP512">
        <v>2007</v>
      </c>
      <c r="AQ512" t="s">
        <v>36</v>
      </c>
      <c r="AR512" t="s">
        <v>306</v>
      </c>
      <c r="AS512" t="s">
        <v>319</v>
      </c>
      <c r="AT512" t="s">
        <v>239</v>
      </c>
      <c r="AU512" t="s">
        <v>310</v>
      </c>
      <c r="AV512">
        <v>2.8</v>
      </c>
    </row>
    <row r="513" spans="40:48" x14ac:dyDescent="0.25">
      <c r="AN513" t="s">
        <v>57</v>
      </c>
      <c r="AO513" t="s">
        <v>26</v>
      </c>
      <c r="AP513">
        <v>2007</v>
      </c>
      <c r="AQ513" t="s">
        <v>36</v>
      </c>
      <c r="AR513" t="s">
        <v>306</v>
      </c>
      <c r="AS513" t="s">
        <v>319</v>
      </c>
      <c r="AT513" t="s">
        <v>239</v>
      </c>
      <c r="AU513" t="s">
        <v>311</v>
      </c>
      <c r="AV513">
        <v>8.1</v>
      </c>
    </row>
    <row r="514" spans="40:48" x14ac:dyDescent="0.25">
      <c r="AN514" t="s">
        <v>57</v>
      </c>
      <c r="AO514" t="s">
        <v>26</v>
      </c>
      <c r="AP514">
        <v>2007</v>
      </c>
      <c r="AQ514" t="s">
        <v>36</v>
      </c>
      <c r="AR514" t="s">
        <v>306</v>
      </c>
      <c r="AS514" t="s">
        <v>319</v>
      </c>
      <c r="AT514" t="s">
        <v>239</v>
      </c>
      <c r="AU514" t="s">
        <v>268</v>
      </c>
      <c r="AV514">
        <v>10.9</v>
      </c>
    </row>
    <row r="515" spans="40:48" x14ac:dyDescent="0.25">
      <c r="AN515" t="s">
        <v>57</v>
      </c>
      <c r="AO515" t="s">
        <v>26</v>
      </c>
      <c r="AP515">
        <v>2007</v>
      </c>
      <c r="AQ515" t="s">
        <v>36</v>
      </c>
      <c r="AR515" t="s">
        <v>306</v>
      </c>
      <c r="AS515" t="s">
        <v>319</v>
      </c>
      <c r="AT515" t="s">
        <v>240</v>
      </c>
      <c r="AU515" t="s">
        <v>310</v>
      </c>
      <c r="AV515">
        <v>1.6</v>
      </c>
    </row>
    <row r="516" spans="40:48" x14ac:dyDescent="0.25">
      <c r="AN516" t="s">
        <v>57</v>
      </c>
      <c r="AO516" t="s">
        <v>26</v>
      </c>
      <c r="AP516">
        <v>2007</v>
      </c>
      <c r="AQ516" t="s">
        <v>36</v>
      </c>
      <c r="AR516" t="s">
        <v>306</v>
      </c>
      <c r="AS516" t="s">
        <v>319</v>
      </c>
      <c r="AT516" t="s">
        <v>240</v>
      </c>
      <c r="AU516" t="s">
        <v>311</v>
      </c>
      <c r="AV516">
        <v>8.6999999999999993</v>
      </c>
    </row>
    <row r="517" spans="40:48" x14ac:dyDescent="0.25">
      <c r="AN517" t="s">
        <v>57</v>
      </c>
      <c r="AO517" t="s">
        <v>26</v>
      </c>
      <c r="AP517">
        <v>2007</v>
      </c>
      <c r="AQ517" t="s">
        <v>36</v>
      </c>
      <c r="AR517" t="s">
        <v>306</v>
      </c>
      <c r="AS517" t="s">
        <v>319</v>
      </c>
      <c r="AT517" t="s">
        <v>240</v>
      </c>
      <c r="AU517" t="s">
        <v>268</v>
      </c>
      <c r="AV517">
        <v>10.3</v>
      </c>
    </row>
    <row r="518" spans="40:48" x14ac:dyDescent="0.25">
      <c r="AN518" t="s">
        <v>57</v>
      </c>
      <c r="AO518" t="s">
        <v>26</v>
      </c>
      <c r="AP518">
        <v>2007</v>
      </c>
      <c r="AQ518" t="s">
        <v>36</v>
      </c>
      <c r="AR518" t="s">
        <v>306</v>
      </c>
      <c r="AS518" t="s">
        <v>319</v>
      </c>
      <c r="AT518" t="s">
        <v>316</v>
      </c>
      <c r="AU518" t="s">
        <v>310</v>
      </c>
      <c r="AV518">
        <v>2.5</v>
      </c>
    </row>
    <row r="519" spans="40:48" x14ac:dyDescent="0.25">
      <c r="AN519" t="s">
        <v>57</v>
      </c>
      <c r="AO519" t="s">
        <v>26</v>
      </c>
      <c r="AP519">
        <v>2007</v>
      </c>
      <c r="AQ519" t="s">
        <v>36</v>
      </c>
      <c r="AR519" t="s">
        <v>306</v>
      </c>
      <c r="AS519" t="s">
        <v>319</v>
      </c>
      <c r="AT519" t="s">
        <v>316</v>
      </c>
      <c r="AU519" t="s">
        <v>311</v>
      </c>
      <c r="AV519">
        <v>5.7</v>
      </c>
    </row>
    <row r="520" spans="40:48" x14ac:dyDescent="0.25">
      <c r="AN520" t="s">
        <v>57</v>
      </c>
      <c r="AO520" t="s">
        <v>26</v>
      </c>
      <c r="AP520">
        <v>2007</v>
      </c>
      <c r="AQ520" t="s">
        <v>36</v>
      </c>
      <c r="AR520" t="s">
        <v>306</v>
      </c>
      <c r="AS520" t="s">
        <v>319</v>
      </c>
      <c r="AT520" t="s">
        <v>316</v>
      </c>
      <c r="AU520" t="s">
        <v>268</v>
      </c>
      <c r="AV520">
        <v>8.1999999999999993</v>
      </c>
    </row>
    <row r="521" spans="40:48" x14ac:dyDescent="0.25">
      <c r="AN521" t="s">
        <v>57</v>
      </c>
      <c r="AO521" t="s">
        <v>26</v>
      </c>
      <c r="AP521">
        <v>2007</v>
      </c>
      <c r="AQ521" t="s">
        <v>36</v>
      </c>
      <c r="AR521" t="s">
        <v>306</v>
      </c>
      <c r="AS521" t="s">
        <v>319</v>
      </c>
      <c r="AT521" t="s">
        <v>242</v>
      </c>
      <c r="AU521" t="s">
        <v>310</v>
      </c>
      <c r="AV521">
        <v>1.9</v>
      </c>
    </row>
    <row r="522" spans="40:48" x14ac:dyDescent="0.25">
      <c r="AN522" t="s">
        <v>57</v>
      </c>
      <c r="AO522" t="s">
        <v>26</v>
      </c>
      <c r="AP522">
        <v>2007</v>
      </c>
      <c r="AQ522" t="s">
        <v>36</v>
      </c>
      <c r="AR522" t="s">
        <v>306</v>
      </c>
      <c r="AS522" t="s">
        <v>319</v>
      </c>
      <c r="AT522" t="s">
        <v>242</v>
      </c>
      <c r="AU522" t="s">
        <v>311</v>
      </c>
      <c r="AV522">
        <v>8.1</v>
      </c>
    </row>
    <row r="523" spans="40:48" x14ac:dyDescent="0.25">
      <c r="AN523" t="s">
        <v>57</v>
      </c>
      <c r="AO523" t="s">
        <v>26</v>
      </c>
      <c r="AP523">
        <v>2007</v>
      </c>
      <c r="AQ523" t="s">
        <v>36</v>
      </c>
      <c r="AR523" t="s">
        <v>306</v>
      </c>
      <c r="AS523" t="s">
        <v>319</v>
      </c>
      <c r="AT523" t="s">
        <v>242</v>
      </c>
      <c r="AU523" t="s">
        <v>268</v>
      </c>
      <c r="AV523">
        <v>10</v>
      </c>
    </row>
    <row r="524" spans="40:48" x14ac:dyDescent="0.25">
      <c r="AN524" t="s">
        <v>57</v>
      </c>
      <c r="AO524" t="s">
        <v>26</v>
      </c>
      <c r="AP524">
        <v>2007</v>
      </c>
      <c r="AQ524" t="s">
        <v>36</v>
      </c>
      <c r="AR524" t="s">
        <v>306</v>
      </c>
      <c r="AS524" t="s">
        <v>319</v>
      </c>
      <c r="AT524" t="s">
        <v>243</v>
      </c>
      <c r="AU524" t="s">
        <v>247</v>
      </c>
      <c r="AV524">
        <v>14.600000000000001</v>
      </c>
    </row>
    <row r="525" spans="40:48" x14ac:dyDescent="0.25">
      <c r="AN525" t="s">
        <v>57</v>
      </c>
      <c r="AO525" t="s">
        <v>26</v>
      </c>
      <c r="AP525">
        <v>2007</v>
      </c>
      <c r="AQ525" t="s">
        <v>36</v>
      </c>
      <c r="AR525" t="s">
        <v>306</v>
      </c>
      <c r="AS525" t="s">
        <v>319</v>
      </c>
      <c r="AT525" t="s">
        <v>243</v>
      </c>
      <c r="AU525" t="s">
        <v>248</v>
      </c>
      <c r="AV525">
        <v>43.9</v>
      </c>
    </row>
    <row r="526" spans="40:48" x14ac:dyDescent="0.25">
      <c r="AN526" t="s">
        <v>57</v>
      </c>
      <c r="AO526" t="s">
        <v>26</v>
      </c>
      <c r="AP526">
        <v>2007</v>
      </c>
      <c r="AQ526" t="s">
        <v>36</v>
      </c>
      <c r="AR526" t="s">
        <v>306</v>
      </c>
      <c r="AS526" t="s">
        <v>319</v>
      </c>
      <c r="AT526" t="s">
        <v>243</v>
      </c>
      <c r="AU526" t="s">
        <v>314</v>
      </c>
      <c r="AV526">
        <v>58.5</v>
      </c>
    </row>
    <row r="527" spans="40:48" x14ac:dyDescent="0.25">
      <c r="AN527" t="s">
        <v>120</v>
      </c>
      <c r="AO527" t="s">
        <v>26</v>
      </c>
      <c r="AP527">
        <v>2006</v>
      </c>
      <c r="AQ527" t="s">
        <v>39</v>
      </c>
      <c r="AR527" t="s">
        <v>307</v>
      </c>
      <c r="AS527" t="s">
        <v>319</v>
      </c>
      <c r="AT527" t="s">
        <v>218</v>
      </c>
      <c r="AU527" t="s">
        <v>310</v>
      </c>
      <c r="AV527">
        <v>3</v>
      </c>
    </row>
    <row r="528" spans="40:48" x14ac:dyDescent="0.25">
      <c r="AN528" t="s">
        <v>120</v>
      </c>
      <c r="AO528" t="s">
        <v>26</v>
      </c>
      <c r="AP528">
        <v>2006</v>
      </c>
      <c r="AQ528" t="s">
        <v>39</v>
      </c>
      <c r="AR528" t="s">
        <v>307</v>
      </c>
      <c r="AS528" t="s">
        <v>319</v>
      </c>
      <c r="AT528" t="s">
        <v>218</v>
      </c>
      <c r="AU528" t="s">
        <v>311</v>
      </c>
      <c r="AV528">
        <v>8.3000000000000007</v>
      </c>
    </row>
    <row r="529" spans="40:48" x14ac:dyDescent="0.25">
      <c r="AN529" t="s">
        <v>120</v>
      </c>
      <c r="AO529" t="s">
        <v>26</v>
      </c>
      <c r="AP529">
        <v>2006</v>
      </c>
      <c r="AQ529" t="s">
        <v>39</v>
      </c>
      <c r="AR529" t="s">
        <v>307</v>
      </c>
      <c r="AS529" t="s">
        <v>319</v>
      </c>
      <c r="AT529" t="s">
        <v>218</v>
      </c>
      <c r="AU529" t="s">
        <v>268</v>
      </c>
      <c r="AV529">
        <v>11.3</v>
      </c>
    </row>
    <row r="530" spans="40:48" x14ac:dyDescent="0.25">
      <c r="AN530" t="s">
        <v>120</v>
      </c>
      <c r="AO530" t="s">
        <v>26</v>
      </c>
      <c r="AP530">
        <v>2006</v>
      </c>
      <c r="AQ530" t="s">
        <v>39</v>
      </c>
      <c r="AR530" t="s">
        <v>307</v>
      </c>
      <c r="AS530" t="s">
        <v>319</v>
      </c>
      <c r="AT530" t="s">
        <v>238</v>
      </c>
      <c r="AU530" t="s">
        <v>310</v>
      </c>
      <c r="AV530">
        <v>2.6</v>
      </c>
    </row>
    <row r="531" spans="40:48" x14ac:dyDescent="0.25">
      <c r="AN531" t="s">
        <v>120</v>
      </c>
      <c r="AO531" t="s">
        <v>26</v>
      </c>
      <c r="AP531">
        <v>2006</v>
      </c>
      <c r="AQ531" t="s">
        <v>39</v>
      </c>
      <c r="AR531" t="s">
        <v>307</v>
      </c>
      <c r="AS531" t="s">
        <v>319</v>
      </c>
      <c r="AT531" t="s">
        <v>238</v>
      </c>
      <c r="AU531" t="s">
        <v>311</v>
      </c>
      <c r="AV531">
        <v>4.4000000000000004</v>
      </c>
    </row>
    <row r="532" spans="40:48" x14ac:dyDescent="0.25">
      <c r="AN532" t="s">
        <v>120</v>
      </c>
      <c r="AO532" t="s">
        <v>26</v>
      </c>
      <c r="AP532">
        <v>2006</v>
      </c>
      <c r="AQ532" t="s">
        <v>39</v>
      </c>
      <c r="AR532" t="s">
        <v>307</v>
      </c>
      <c r="AS532" t="s">
        <v>319</v>
      </c>
      <c r="AT532" t="s">
        <v>238</v>
      </c>
      <c r="AU532" t="s">
        <v>268</v>
      </c>
      <c r="AV532">
        <v>7</v>
      </c>
    </row>
    <row r="533" spans="40:48" x14ac:dyDescent="0.25">
      <c r="AN533" t="s">
        <v>120</v>
      </c>
      <c r="AO533" t="s">
        <v>26</v>
      </c>
      <c r="AP533">
        <v>2006</v>
      </c>
      <c r="AQ533" t="s">
        <v>39</v>
      </c>
      <c r="AR533" t="s">
        <v>307</v>
      </c>
      <c r="AS533" t="s">
        <v>319</v>
      </c>
      <c r="AT533" t="s">
        <v>239</v>
      </c>
      <c r="AU533" t="s">
        <v>310</v>
      </c>
      <c r="AV533">
        <v>2.9</v>
      </c>
    </row>
    <row r="534" spans="40:48" x14ac:dyDescent="0.25">
      <c r="AN534" t="s">
        <v>120</v>
      </c>
      <c r="AO534" t="s">
        <v>26</v>
      </c>
      <c r="AP534">
        <v>2006</v>
      </c>
      <c r="AQ534" t="s">
        <v>39</v>
      </c>
      <c r="AR534" t="s">
        <v>307</v>
      </c>
      <c r="AS534" t="s">
        <v>319</v>
      </c>
      <c r="AT534" t="s">
        <v>239</v>
      </c>
      <c r="AU534" t="s">
        <v>311</v>
      </c>
      <c r="AV534">
        <v>6.7</v>
      </c>
    </row>
    <row r="535" spans="40:48" x14ac:dyDescent="0.25">
      <c r="AN535" t="s">
        <v>120</v>
      </c>
      <c r="AO535" t="s">
        <v>26</v>
      </c>
      <c r="AP535">
        <v>2006</v>
      </c>
      <c r="AQ535" t="s">
        <v>39</v>
      </c>
      <c r="AR535" t="s">
        <v>307</v>
      </c>
      <c r="AS535" t="s">
        <v>319</v>
      </c>
      <c r="AT535" t="s">
        <v>239</v>
      </c>
      <c r="AU535" t="s">
        <v>268</v>
      </c>
      <c r="AV535">
        <v>9.6</v>
      </c>
    </row>
    <row r="536" spans="40:48" x14ac:dyDescent="0.25">
      <c r="AN536" t="s">
        <v>120</v>
      </c>
      <c r="AO536" t="s">
        <v>26</v>
      </c>
      <c r="AP536">
        <v>2006</v>
      </c>
      <c r="AQ536" t="s">
        <v>39</v>
      </c>
      <c r="AR536" t="s">
        <v>307</v>
      </c>
      <c r="AS536" t="s">
        <v>319</v>
      </c>
      <c r="AT536" t="s">
        <v>240</v>
      </c>
      <c r="AU536" t="s">
        <v>310</v>
      </c>
      <c r="AV536">
        <v>3.2</v>
      </c>
    </row>
    <row r="537" spans="40:48" x14ac:dyDescent="0.25">
      <c r="AN537" t="s">
        <v>120</v>
      </c>
      <c r="AO537" t="s">
        <v>26</v>
      </c>
      <c r="AP537">
        <v>2006</v>
      </c>
      <c r="AQ537" t="s">
        <v>39</v>
      </c>
      <c r="AR537" t="s">
        <v>307</v>
      </c>
      <c r="AS537" t="s">
        <v>319</v>
      </c>
      <c r="AT537" t="s">
        <v>240</v>
      </c>
      <c r="AU537" t="s">
        <v>311</v>
      </c>
      <c r="AV537">
        <v>9</v>
      </c>
    </row>
    <row r="538" spans="40:48" x14ac:dyDescent="0.25">
      <c r="AN538" t="s">
        <v>120</v>
      </c>
      <c r="AO538" t="s">
        <v>26</v>
      </c>
      <c r="AP538">
        <v>2006</v>
      </c>
      <c r="AQ538" t="s">
        <v>39</v>
      </c>
      <c r="AR538" t="s">
        <v>307</v>
      </c>
      <c r="AS538" t="s">
        <v>319</v>
      </c>
      <c r="AT538" t="s">
        <v>240</v>
      </c>
      <c r="AU538" t="s">
        <v>268</v>
      </c>
      <c r="AV538">
        <v>12.2</v>
      </c>
    </row>
    <row r="539" spans="40:48" x14ac:dyDescent="0.25">
      <c r="AN539" t="s">
        <v>120</v>
      </c>
      <c r="AO539" t="s">
        <v>26</v>
      </c>
      <c r="AP539">
        <v>2006</v>
      </c>
      <c r="AQ539" t="s">
        <v>39</v>
      </c>
      <c r="AR539" t="s">
        <v>307</v>
      </c>
      <c r="AS539" t="s">
        <v>319</v>
      </c>
      <c r="AT539" t="s">
        <v>316</v>
      </c>
      <c r="AU539" t="s">
        <v>310</v>
      </c>
      <c r="AV539">
        <v>3.1</v>
      </c>
    </row>
    <row r="540" spans="40:48" x14ac:dyDescent="0.25">
      <c r="AN540" t="s">
        <v>120</v>
      </c>
      <c r="AO540" t="s">
        <v>26</v>
      </c>
      <c r="AP540">
        <v>2006</v>
      </c>
      <c r="AQ540" t="s">
        <v>39</v>
      </c>
      <c r="AR540" t="s">
        <v>307</v>
      </c>
      <c r="AS540" t="s">
        <v>319</v>
      </c>
      <c r="AT540" t="s">
        <v>316</v>
      </c>
      <c r="AU540" t="s">
        <v>311</v>
      </c>
      <c r="AV540">
        <v>7.45</v>
      </c>
    </row>
    <row r="541" spans="40:48" x14ac:dyDescent="0.25">
      <c r="AN541" t="s">
        <v>120</v>
      </c>
      <c r="AO541" t="s">
        <v>26</v>
      </c>
      <c r="AP541">
        <v>2006</v>
      </c>
      <c r="AQ541" t="s">
        <v>39</v>
      </c>
      <c r="AR541" t="s">
        <v>307</v>
      </c>
      <c r="AS541" t="s">
        <v>319</v>
      </c>
      <c r="AT541" t="s">
        <v>316</v>
      </c>
      <c r="AU541" t="s">
        <v>268</v>
      </c>
      <c r="AV541">
        <v>10.55</v>
      </c>
    </row>
    <row r="542" spans="40:48" x14ac:dyDescent="0.25">
      <c r="AN542" t="s">
        <v>120</v>
      </c>
      <c r="AO542" t="s">
        <v>26</v>
      </c>
      <c r="AP542">
        <v>2006</v>
      </c>
      <c r="AQ542" t="s">
        <v>39</v>
      </c>
      <c r="AR542" t="s">
        <v>307</v>
      </c>
      <c r="AS542" t="s">
        <v>319</v>
      </c>
      <c r="AT542" t="s">
        <v>242</v>
      </c>
      <c r="AU542" t="s">
        <v>310</v>
      </c>
      <c r="AV542">
        <v>0</v>
      </c>
    </row>
    <row r="543" spans="40:48" x14ac:dyDescent="0.25">
      <c r="AN543" t="s">
        <v>120</v>
      </c>
      <c r="AO543" t="s">
        <v>26</v>
      </c>
      <c r="AP543">
        <v>2006</v>
      </c>
      <c r="AQ543" t="s">
        <v>39</v>
      </c>
      <c r="AR543" t="s">
        <v>307</v>
      </c>
      <c r="AS543" t="s">
        <v>319</v>
      </c>
      <c r="AT543" t="s">
        <v>242</v>
      </c>
      <c r="AU543" t="s">
        <v>311</v>
      </c>
      <c r="AV543">
        <v>0</v>
      </c>
    </row>
    <row r="544" spans="40:48" x14ac:dyDescent="0.25">
      <c r="AN544" t="s">
        <v>120</v>
      </c>
      <c r="AO544" t="s">
        <v>26</v>
      </c>
      <c r="AP544">
        <v>2006</v>
      </c>
      <c r="AQ544" t="s">
        <v>39</v>
      </c>
      <c r="AR544" t="s">
        <v>307</v>
      </c>
      <c r="AS544" t="s">
        <v>319</v>
      </c>
      <c r="AT544" t="s">
        <v>242</v>
      </c>
      <c r="AU544" t="s">
        <v>268</v>
      </c>
      <c r="AV544">
        <v>0</v>
      </c>
    </row>
    <row r="545" spans="40:48" x14ac:dyDescent="0.25">
      <c r="AN545" t="s">
        <v>120</v>
      </c>
      <c r="AO545" t="s">
        <v>26</v>
      </c>
      <c r="AP545">
        <v>2006</v>
      </c>
      <c r="AQ545" t="s">
        <v>39</v>
      </c>
      <c r="AR545" t="s">
        <v>307</v>
      </c>
      <c r="AS545" t="s">
        <v>319</v>
      </c>
      <c r="AT545" t="s">
        <v>243</v>
      </c>
      <c r="AU545" t="s">
        <v>247</v>
      </c>
      <c r="AV545">
        <v>0</v>
      </c>
    </row>
    <row r="546" spans="40:48" x14ac:dyDescent="0.25">
      <c r="AN546" t="s">
        <v>120</v>
      </c>
      <c r="AO546" t="s">
        <v>26</v>
      </c>
      <c r="AP546">
        <v>2006</v>
      </c>
      <c r="AQ546" t="s">
        <v>39</v>
      </c>
      <c r="AR546" t="s">
        <v>307</v>
      </c>
      <c r="AS546" t="s">
        <v>319</v>
      </c>
      <c r="AT546" t="s">
        <v>243</v>
      </c>
      <c r="AU546" t="s">
        <v>248</v>
      </c>
      <c r="AV546">
        <v>0</v>
      </c>
    </row>
    <row r="547" spans="40:48" x14ac:dyDescent="0.25">
      <c r="AN547" t="s">
        <v>120</v>
      </c>
      <c r="AO547" t="s">
        <v>26</v>
      </c>
      <c r="AP547">
        <v>2006</v>
      </c>
      <c r="AQ547" t="s">
        <v>39</v>
      </c>
      <c r="AR547" t="s">
        <v>307</v>
      </c>
      <c r="AS547" t="s">
        <v>319</v>
      </c>
      <c r="AT547" t="s">
        <v>243</v>
      </c>
      <c r="AU547" t="s">
        <v>314</v>
      </c>
      <c r="AV547">
        <v>50.649999999999991</v>
      </c>
    </row>
    <row r="548" spans="40:48" x14ac:dyDescent="0.25">
      <c r="AN548" t="s">
        <v>42</v>
      </c>
      <c r="AO548" t="s">
        <v>26</v>
      </c>
      <c r="AP548">
        <v>2007</v>
      </c>
      <c r="AQ548" t="s">
        <v>36</v>
      </c>
      <c r="AR548" t="s">
        <v>307</v>
      </c>
      <c r="AS548" t="s">
        <v>319</v>
      </c>
      <c r="AT548" t="s">
        <v>218</v>
      </c>
      <c r="AU548" t="s">
        <v>310</v>
      </c>
      <c r="AV548">
        <v>4</v>
      </c>
    </row>
    <row r="549" spans="40:48" x14ac:dyDescent="0.25">
      <c r="AN549" t="s">
        <v>42</v>
      </c>
      <c r="AO549" t="s">
        <v>26</v>
      </c>
      <c r="AP549">
        <v>2007</v>
      </c>
      <c r="AQ549" t="s">
        <v>36</v>
      </c>
      <c r="AR549" t="s">
        <v>307</v>
      </c>
      <c r="AS549" t="s">
        <v>319</v>
      </c>
      <c r="AT549" t="s">
        <v>218</v>
      </c>
      <c r="AU549" t="s">
        <v>311</v>
      </c>
      <c r="AV549">
        <v>8.1999999999999993</v>
      </c>
    </row>
    <row r="550" spans="40:48" x14ac:dyDescent="0.25">
      <c r="AN550" t="s">
        <v>42</v>
      </c>
      <c r="AO550" t="s">
        <v>26</v>
      </c>
      <c r="AP550">
        <v>2007</v>
      </c>
      <c r="AQ550" t="s">
        <v>36</v>
      </c>
      <c r="AR550" t="s">
        <v>307</v>
      </c>
      <c r="AS550" t="s">
        <v>319</v>
      </c>
      <c r="AT550" t="s">
        <v>218</v>
      </c>
      <c r="AU550" t="s">
        <v>268</v>
      </c>
      <c r="AV550">
        <v>12.2</v>
      </c>
    </row>
    <row r="551" spans="40:48" x14ac:dyDescent="0.25">
      <c r="AN551" t="s">
        <v>42</v>
      </c>
      <c r="AO551" t="s">
        <v>26</v>
      </c>
      <c r="AP551">
        <v>2007</v>
      </c>
      <c r="AQ551" t="s">
        <v>36</v>
      </c>
      <c r="AR551" t="s">
        <v>307</v>
      </c>
      <c r="AS551" t="s">
        <v>319</v>
      </c>
      <c r="AT551" t="s">
        <v>238</v>
      </c>
      <c r="AU551" t="s">
        <v>310</v>
      </c>
      <c r="AV551">
        <v>2.6</v>
      </c>
    </row>
    <row r="552" spans="40:48" x14ac:dyDescent="0.25">
      <c r="AN552" t="s">
        <v>42</v>
      </c>
      <c r="AO552" t="s">
        <v>26</v>
      </c>
      <c r="AP552">
        <v>2007</v>
      </c>
      <c r="AQ552" t="s">
        <v>36</v>
      </c>
      <c r="AR552" t="s">
        <v>307</v>
      </c>
      <c r="AS552" t="s">
        <v>319</v>
      </c>
      <c r="AT552" t="s">
        <v>238</v>
      </c>
      <c r="AU552" t="s">
        <v>311</v>
      </c>
      <c r="AV552">
        <v>7.7</v>
      </c>
    </row>
    <row r="553" spans="40:48" x14ac:dyDescent="0.25">
      <c r="AN553" t="s">
        <v>42</v>
      </c>
      <c r="AO553" t="s">
        <v>26</v>
      </c>
      <c r="AP553">
        <v>2007</v>
      </c>
      <c r="AQ553" t="s">
        <v>36</v>
      </c>
      <c r="AR553" t="s">
        <v>307</v>
      </c>
      <c r="AS553" t="s">
        <v>319</v>
      </c>
      <c r="AT553" t="s">
        <v>238</v>
      </c>
      <c r="AU553" t="s">
        <v>268</v>
      </c>
      <c r="AV553">
        <v>10.3</v>
      </c>
    </row>
    <row r="554" spans="40:48" x14ac:dyDescent="0.25">
      <c r="AN554" t="s">
        <v>42</v>
      </c>
      <c r="AO554" t="s">
        <v>26</v>
      </c>
      <c r="AP554">
        <v>2007</v>
      </c>
      <c r="AQ554" t="s">
        <v>36</v>
      </c>
      <c r="AR554" t="s">
        <v>307</v>
      </c>
      <c r="AS554" t="s">
        <v>319</v>
      </c>
      <c r="AT554" t="s">
        <v>239</v>
      </c>
      <c r="AU554" t="s">
        <v>310</v>
      </c>
      <c r="AV554">
        <v>2.4</v>
      </c>
    </row>
    <row r="555" spans="40:48" x14ac:dyDescent="0.25">
      <c r="AN555" t="s">
        <v>42</v>
      </c>
      <c r="AO555" t="s">
        <v>26</v>
      </c>
      <c r="AP555">
        <v>2007</v>
      </c>
      <c r="AQ555" t="s">
        <v>36</v>
      </c>
      <c r="AR555" t="s">
        <v>307</v>
      </c>
      <c r="AS555" t="s">
        <v>319</v>
      </c>
      <c r="AT555" t="s">
        <v>239</v>
      </c>
      <c r="AU555" t="s">
        <v>311</v>
      </c>
      <c r="AV555">
        <v>7.8</v>
      </c>
    </row>
    <row r="556" spans="40:48" x14ac:dyDescent="0.25">
      <c r="AN556" t="s">
        <v>42</v>
      </c>
      <c r="AO556" t="s">
        <v>26</v>
      </c>
      <c r="AP556">
        <v>2007</v>
      </c>
      <c r="AQ556" t="s">
        <v>36</v>
      </c>
      <c r="AR556" t="s">
        <v>307</v>
      </c>
      <c r="AS556" t="s">
        <v>319</v>
      </c>
      <c r="AT556" t="s">
        <v>239</v>
      </c>
      <c r="AU556" t="s">
        <v>268</v>
      </c>
      <c r="AV556">
        <v>10.199999999999999</v>
      </c>
    </row>
    <row r="557" spans="40:48" x14ac:dyDescent="0.25">
      <c r="AN557" t="s">
        <v>42</v>
      </c>
      <c r="AO557" t="s">
        <v>26</v>
      </c>
      <c r="AP557">
        <v>2007</v>
      </c>
      <c r="AQ557" t="s">
        <v>36</v>
      </c>
      <c r="AR557" t="s">
        <v>307</v>
      </c>
      <c r="AS557" t="s">
        <v>319</v>
      </c>
      <c r="AT557" t="s">
        <v>240</v>
      </c>
      <c r="AU557" t="s">
        <v>310</v>
      </c>
      <c r="AV557">
        <v>4</v>
      </c>
    </row>
    <row r="558" spans="40:48" x14ac:dyDescent="0.25">
      <c r="AN558" t="s">
        <v>42</v>
      </c>
      <c r="AO558" t="s">
        <v>26</v>
      </c>
      <c r="AP558">
        <v>2007</v>
      </c>
      <c r="AQ558" t="s">
        <v>36</v>
      </c>
      <c r="AR558" t="s">
        <v>307</v>
      </c>
      <c r="AS558" t="s">
        <v>319</v>
      </c>
      <c r="AT558" t="s">
        <v>240</v>
      </c>
      <c r="AU558" t="s">
        <v>311</v>
      </c>
      <c r="AV558">
        <v>7.9</v>
      </c>
    </row>
    <row r="559" spans="40:48" x14ac:dyDescent="0.25">
      <c r="AN559" t="s">
        <v>42</v>
      </c>
      <c r="AO559" t="s">
        <v>26</v>
      </c>
      <c r="AP559">
        <v>2007</v>
      </c>
      <c r="AQ559" t="s">
        <v>36</v>
      </c>
      <c r="AR559" t="s">
        <v>307</v>
      </c>
      <c r="AS559" t="s">
        <v>319</v>
      </c>
      <c r="AT559" t="s">
        <v>240</v>
      </c>
      <c r="AU559" t="s">
        <v>268</v>
      </c>
      <c r="AV559">
        <v>11.9</v>
      </c>
    </row>
    <row r="560" spans="40:48" x14ac:dyDescent="0.25">
      <c r="AN560" t="s">
        <v>42</v>
      </c>
      <c r="AO560" t="s">
        <v>26</v>
      </c>
      <c r="AP560">
        <v>2007</v>
      </c>
      <c r="AQ560" t="s">
        <v>36</v>
      </c>
      <c r="AR560" t="s">
        <v>307</v>
      </c>
      <c r="AS560" t="s">
        <v>319</v>
      </c>
      <c r="AT560" t="s">
        <v>316</v>
      </c>
      <c r="AU560" t="s">
        <v>310</v>
      </c>
      <c r="AV560">
        <v>0</v>
      </c>
    </row>
    <row r="561" spans="40:48" x14ac:dyDescent="0.25">
      <c r="AN561" t="s">
        <v>42</v>
      </c>
      <c r="AO561" t="s">
        <v>26</v>
      </c>
      <c r="AP561">
        <v>2007</v>
      </c>
      <c r="AQ561" t="s">
        <v>36</v>
      </c>
      <c r="AR561" t="s">
        <v>307</v>
      </c>
      <c r="AS561" t="s">
        <v>319</v>
      </c>
      <c r="AT561" t="s">
        <v>316</v>
      </c>
      <c r="AU561" t="s">
        <v>311</v>
      </c>
      <c r="AV561">
        <v>0</v>
      </c>
    </row>
    <row r="562" spans="40:48" x14ac:dyDescent="0.25">
      <c r="AN562" t="s">
        <v>42</v>
      </c>
      <c r="AO562" t="s">
        <v>26</v>
      </c>
      <c r="AP562">
        <v>2007</v>
      </c>
      <c r="AQ562" t="s">
        <v>36</v>
      </c>
      <c r="AR562" t="s">
        <v>307</v>
      </c>
      <c r="AS562" t="s">
        <v>319</v>
      </c>
      <c r="AT562" t="s">
        <v>316</v>
      </c>
      <c r="AU562" t="s">
        <v>268</v>
      </c>
      <c r="AV562">
        <v>0</v>
      </c>
    </row>
    <row r="563" spans="40:48" x14ac:dyDescent="0.25">
      <c r="AN563" t="s">
        <v>42</v>
      </c>
      <c r="AO563" t="s">
        <v>26</v>
      </c>
      <c r="AP563">
        <v>2007</v>
      </c>
      <c r="AQ563" t="s">
        <v>36</v>
      </c>
      <c r="AR563" t="s">
        <v>307</v>
      </c>
      <c r="AS563" t="s">
        <v>319</v>
      </c>
      <c r="AT563" t="s">
        <v>242</v>
      </c>
      <c r="AU563" t="s">
        <v>310</v>
      </c>
      <c r="AV563">
        <v>0</v>
      </c>
    </row>
    <row r="564" spans="40:48" x14ac:dyDescent="0.25">
      <c r="AN564" t="s">
        <v>42</v>
      </c>
      <c r="AO564" t="s">
        <v>26</v>
      </c>
      <c r="AP564">
        <v>2007</v>
      </c>
      <c r="AQ564" t="s">
        <v>36</v>
      </c>
      <c r="AR564" t="s">
        <v>307</v>
      </c>
      <c r="AS564" t="s">
        <v>319</v>
      </c>
      <c r="AT564" t="s">
        <v>242</v>
      </c>
      <c r="AU564" t="s">
        <v>311</v>
      </c>
      <c r="AV564">
        <v>0</v>
      </c>
    </row>
    <row r="565" spans="40:48" x14ac:dyDescent="0.25">
      <c r="AN565" t="s">
        <v>42</v>
      </c>
      <c r="AO565" t="s">
        <v>26</v>
      </c>
      <c r="AP565">
        <v>2007</v>
      </c>
      <c r="AQ565" t="s">
        <v>36</v>
      </c>
      <c r="AR565" t="s">
        <v>307</v>
      </c>
      <c r="AS565" t="s">
        <v>319</v>
      </c>
      <c r="AT565" t="s">
        <v>242</v>
      </c>
      <c r="AU565" t="s">
        <v>268</v>
      </c>
      <c r="AV565">
        <v>0</v>
      </c>
    </row>
    <row r="566" spans="40:48" x14ac:dyDescent="0.25">
      <c r="AN566" t="s">
        <v>42</v>
      </c>
      <c r="AO566" t="s">
        <v>26</v>
      </c>
      <c r="AP566">
        <v>2007</v>
      </c>
      <c r="AQ566" t="s">
        <v>36</v>
      </c>
      <c r="AR566" t="s">
        <v>307</v>
      </c>
      <c r="AS566" t="s">
        <v>319</v>
      </c>
      <c r="AT566" t="s">
        <v>243</v>
      </c>
      <c r="AU566" t="s">
        <v>247</v>
      </c>
      <c r="AV566">
        <v>0</v>
      </c>
    </row>
    <row r="567" spans="40:48" x14ac:dyDescent="0.25">
      <c r="AN567" t="s">
        <v>42</v>
      </c>
      <c r="AO567" t="s">
        <v>26</v>
      </c>
      <c r="AP567">
        <v>2007</v>
      </c>
      <c r="AQ567" t="s">
        <v>36</v>
      </c>
      <c r="AR567" t="s">
        <v>307</v>
      </c>
      <c r="AS567" t="s">
        <v>319</v>
      </c>
      <c r="AT567" t="s">
        <v>243</v>
      </c>
      <c r="AU567" t="s">
        <v>248</v>
      </c>
      <c r="AV567">
        <v>0</v>
      </c>
    </row>
    <row r="568" spans="40:48" x14ac:dyDescent="0.25">
      <c r="AN568" t="s">
        <v>42</v>
      </c>
      <c r="AO568" t="s">
        <v>26</v>
      </c>
      <c r="AP568">
        <v>2007</v>
      </c>
      <c r="AQ568" t="s">
        <v>36</v>
      </c>
      <c r="AR568" t="s">
        <v>307</v>
      </c>
      <c r="AS568" t="s">
        <v>319</v>
      </c>
      <c r="AT568" t="s">
        <v>243</v>
      </c>
      <c r="AU568" t="s">
        <v>314</v>
      </c>
      <c r="AV568">
        <v>44.6</v>
      </c>
    </row>
    <row r="569" spans="40:48" x14ac:dyDescent="0.25">
      <c r="AN569" t="s">
        <v>134</v>
      </c>
      <c r="AO569" t="s">
        <v>26</v>
      </c>
      <c r="AP569">
        <v>2006</v>
      </c>
      <c r="AQ569" t="s">
        <v>36</v>
      </c>
      <c r="AR569" t="s">
        <v>307</v>
      </c>
      <c r="AS569" t="s">
        <v>319</v>
      </c>
      <c r="AT569" t="s">
        <v>218</v>
      </c>
      <c r="AU569" t="s">
        <v>310</v>
      </c>
      <c r="AV569">
        <v>0</v>
      </c>
    </row>
    <row r="570" spans="40:48" x14ac:dyDescent="0.25">
      <c r="AN570" t="s">
        <v>134</v>
      </c>
      <c r="AO570" t="s">
        <v>26</v>
      </c>
      <c r="AP570">
        <v>2006</v>
      </c>
      <c r="AQ570" t="s">
        <v>36</v>
      </c>
      <c r="AR570" t="s">
        <v>307</v>
      </c>
      <c r="AS570" t="s">
        <v>319</v>
      </c>
      <c r="AT570" t="s">
        <v>218</v>
      </c>
      <c r="AU570" t="s">
        <v>311</v>
      </c>
      <c r="AV570">
        <v>0</v>
      </c>
    </row>
    <row r="571" spans="40:48" x14ac:dyDescent="0.25">
      <c r="AN571" t="s">
        <v>134</v>
      </c>
      <c r="AO571" t="s">
        <v>26</v>
      </c>
      <c r="AP571">
        <v>2006</v>
      </c>
      <c r="AQ571" t="s">
        <v>36</v>
      </c>
      <c r="AR571" t="s">
        <v>307</v>
      </c>
      <c r="AS571" t="s">
        <v>319</v>
      </c>
      <c r="AT571" t="s">
        <v>218</v>
      </c>
      <c r="AU571" t="s">
        <v>268</v>
      </c>
      <c r="AV571">
        <v>0</v>
      </c>
    </row>
    <row r="572" spans="40:48" x14ac:dyDescent="0.25">
      <c r="AN572" t="s">
        <v>134</v>
      </c>
      <c r="AO572" t="s">
        <v>26</v>
      </c>
      <c r="AP572">
        <v>2006</v>
      </c>
      <c r="AQ572" t="s">
        <v>36</v>
      </c>
      <c r="AR572" t="s">
        <v>307</v>
      </c>
      <c r="AS572" t="s">
        <v>319</v>
      </c>
      <c r="AT572" t="s">
        <v>238</v>
      </c>
      <c r="AU572" t="s">
        <v>310</v>
      </c>
      <c r="AV572">
        <v>2.6</v>
      </c>
    </row>
    <row r="573" spans="40:48" x14ac:dyDescent="0.25">
      <c r="AN573" t="s">
        <v>134</v>
      </c>
      <c r="AO573" t="s">
        <v>26</v>
      </c>
      <c r="AP573">
        <v>2006</v>
      </c>
      <c r="AQ573" t="s">
        <v>36</v>
      </c>
      <c r="AR573" t="s">
        <v>307</v>
      </c>
      <c r="AS573" t="s">
        <v>319</v>
      </c>
      <c r="AT573" t="s">
        <v>238</v>
      </c>
      <c r="AU573" t="s">
        <v>311</v>
      </c>
      <c r="AV573">
        <v>4.9000000000000004</v>
      </c>
    </row>
    <row r="574" spans="40:48" x14ac:dyDescent="0.25">
      <c r="AN574" t="s">
        <v>134</v>
      </c>
      <c r="AO574" t="s">
        <v>26</v>
      </c>
      <c r="AP574">
        <v>2006</v>
      </c>
      <c r="AQ574" t="s">
        <v>36</v>
      </c>
      <c r="AR574" t="s">
        <v>307</v>
      </c>
      <c r="AS574" t="s">
        <v>319</v>
      </c>
      <c r="AT574" t="s">
        <v>238</v>
      </c>
      <c r="AU574" t="s">
        <v>268</v>
      </c>
      <c r="AV574">
        <v>7.5</v>
      </c>
    </row>
    <row r="575" spans="40:48" x14ac:dyDescent="0.25">
      <c r="AN575" t="s">
        <v>134</v>
      </c>
      <c r="AO575" t="s">
        <v>26</v>
      </c>
      <c r="AP575">
        <v>2006</v>
      </c>
      <c r="AQ575" t="s">
        <v>36</v>
      </c>
      <c r="AR575" t="s">
        <v>307</v>
      </c>
      <c r="AS575" t="s">
        <v>319</v>
      </c>
      <c r="AT575" t="s">
        <v>239</v>
      </c>
      <c r="AU575" t="s">
        <v>310</v>
      </c>
      <c r="AV575">
        <v>0</v>
      </c>
    </row>
    <row r="576" spans="40:48" x14ac:dyDescent="0.25">
      <c r="AN576" t="s">
        <v>134</v>
      </c>
      <c r="AO576" t="s">
        <v>26</v>
      </c>
      <c r="AP576">
        <v>2006</v>
      </c>
      <c r="AQ576" t="s">
        <v>36</v>
      </c>
      <c r="AR576" t="s">
        <v>307</v>
      </c>
      <c r="AS576" t="s">
        <v>319</v>
      </c>
      <c r="AT576" t="s">
        <v>239</v>
      </c>
      <c r="AU576" t="s">
        <v>311</v>
      </c>
      <c r="AV576">
        <v>0</v>
      </c>
    </row>
    <row r="577" spans="40:48" x14ac:dyDescent="0.25">
      <c r="AN577" t="s">
        <v>134</v>
      </c>
      <c r="AO577" t="s">
        <v>26</v>
      </c>
      <c r="AP577">
        <v>2006</v>
      </c>
      <c r="AQ577" t="s">
        <v>36</v>
      </c>
      <c r="AR577" t="s">
        <v>307</v>
      </c>
      <c r="AS577" t="s">
        <v>319</v>
      </c>
      <c r="AT577" t="s">
        <v>239</v>
      </c>
      <c r="AU577" t="s">
        <v>268</v>
      </c>
      <c r="AV577">
        <v>0</v>
      </c>
    </row>
    <row r="578" spans="40:48" x14ac:dyDescent="0.25">
      <c r="AN578" t="s">
        <v>134</v>
      </c>
      <c r="AO578" t="s">
        <v>26</v>
      </c>
      <c r="AP578">
        <v>2006</v>
      </c>
      <c r="AQ578" t="s">
        <v>36</v>
      </c>
      <c r="AR578" t="s">
        <v>307</v>
      </c>
      <c r="AS578" t="s">
        <v>319</v>
      </c>
      <c r="AT578" t="s">
        <v>240</v>
      </c>
      <c r="AU578" t="s">
        <v>310</v>
      </c>
      <c r="AV578">
        <v>2.4</v>
      </c>
    </row>
    <row r="579" spans="40:48" x14ac:dyDescent="0.25">
      <c r="AN579" t="s">
        <v>134</v>
      </c>
      <c r="AO579" t="s">
        <v>26</v>
      </c>
      <c r="AP579">
        <v>2006</v>
      </c>
      <c r="AQ579" t="s">
        <v>36</v>
      </c>
      <c r="AR579" t="s">
        <v>307</v>
      </c>
      <c r="AS579" t="s">
        <v>319</v>
      </c>
      <c r="AT579" t="s">
        <v>240</v>
      </c>
      <c r="AU579" t="s">
        <v>311</v>
      </c>
      <c r="AV579">
        <v>8.8000000000000007</v>
      </c>
    </row>
    <row r="580" spans="40:48" x14ac:dyDescent="0.25">
      <c r="AN580" t="s">
        <v>134</v>
      </c>
      <c r="AO580" t="s">
        <v>26</v>
      </c>
      <c r="AP580">
        <v>2006</v>
      </c>
      <c r="AQ580" t="s">
        <v>36</v>
      </c>
      <c r="AR580" t="s">
        <v>307</v>
      </c>
      <c r="AS580" t="s">
        <v>319</v>
      </c>
      <c r="AT580" t="s">
        <v>240</v>
      </c>
      <c r="AU580" t="s">
        <v>268</v>
      </c>
      <c r="AV580">
        <v>11.2</v>
      </c>
    </row>
    <row r="581" spans="40:48" x14ac:dyDescent="0.25">
      <c r="AN581" t="s">
        <v>134</v>
      </c>
      <c r="AO581" t="s">
        <v>26</v>
      </c>
      <c r="AP581">
        <v>2006</v>
      </c>
      <c r="AQ581" t="s">
        <v>36</v>
      </c>
      <c r="AR581" t="s">
        <v>307</v>
      </c>
      <c r="AS581" t="s">
        <v>319</v>
      </c>
      <c r="AT581" t="s">
        <v>316</v>
      </c>
      <c r="AU581" t="s">
        <v>310</v>
      </c>
      <c r="AV581">
        <v>2.4</v>
      </c>
    </row>
    <row r="582" spans="40:48" x14ac:dyDescent="0.25">
      <c r="AN582" t="s">
        <v>134</v>
      </c>
      <c r="AO582" t="s">
        <v>26</v>
      </c>
      <c r="AP582">
        <v>2006</v>
      </c>
      <c r="AQ582" t="s">
        <v>36</v>
      </c>
      <c r="AR582" t="s">
        <v>307</v>
      </c>
      <c r="AS582" t="s">
        <v>319</v>
      </c>
      <c r="AT582" t="s">
        <v>316</v>
      </c>
      <c r="AU582" t="s">
        <v>311</v>
      </c>
      <c r="AV582">
        <v>8.1</v>
      </c>
    </row>
    <row r="583" spans="40:48" x14ac:dyDescent="0.25">
      <c r="AN583" t="s">
        <v>134</v>
      </c>
      <c r="AO583" t="s">
        <v>26</v>
      </c>
      <c r="AP583">
        <v>2006</v>
      </c>
      <c r="AQ583" t="s">
        <v>36</v>
      </c>
      <c r="AR583" t="s">
        <v>307</v>
      </c>
      <c r="AS583" t="s">
        <v>319</v>
      </c>
      <c r="AT583" t="s">
        <v>316</v>
      </c>
      <c r="AU583" t="s">
        <v>268</v>
      </c>
      <c r="AV583">
        <v>10.5</v>
      </c>
    </row>
    <row r="584" spans="40:48" x14ac:dyDescent="0.25">
      <c r="AN584" t="s">
        <v>134</v>
      </c>
      <c r="AO584" t="s">
        <v>26</v>
      </c>
      <c r="AP584">
        <v>2006</v>
      </c>
      <c r="AQ584" t="s">
        <v>36</v>
      </c>
      <c r="AR584" t="s">
        <v>307</v>
      </c>
      <c r="AS584" t="s">
        <v>319</v>
      </c>
      <c r="AT584" t="s">
        <v>242</v>
      </c>
      <c r="AU584" t="s">
        <v>310</v>
      </c>
      <c r="AV584">
        <v>1.8</v>
      </c>
    </row>
    <row r="585" spans="40:48" x14ac:dyDescent="0.25">
      <c r="AN585" t="s">
        <v>134</v>
      </c>
      <c r="AO585" t="s">
        <v>26</v>
      </c>
      <c r="AP585">
        <v>2006</v>
      </c>
      <c r="AQ585" t="s">
        <v>36</v>
      </c>
      <c r="AR585" t="s">
        <v>307</v>
      </c>
      <c r="AS585" t="s">
        <v>319</v>
      </c>
      <c r="AT585" t="s">
        <v>242</v>
      </c>
      <c r="AU585" t="s">
        <v>311</v>
      </c>
      <c r="AV585">
        <v>8</v>
      </c>
    </row>
    <row r="586" spans="40:48" x14ac:dyDescent="0.25">
      <c r="AN586" t="s">
        <v>134</v>
      </c>
      <c r="AO586" t="s">
        <v>26</v>
      </c>
      <c r="AP586">
        <v>2006</v>
      </c>
      <c r="AQ586" t="s">
        <v>36</v>
      </c>
      <c r="AR586" t="s">
        <v>307</v>
      </c>
      <c r="AS586" t="s">
        <v>319</v>
      </c>
      <c r="AT586" t="s">
        <v>242</v>
      </c>
      <c r="AU586" t="s">
        <v>268</v>
      </c>
      <c r="AV586">
        <v>9.8000000000000007</v>
      </c>
    </row>
    <row r="587" spans="40:48" x14ac:dyDescent="0.25">
      <c r="AN587" t="s">
        <v>134</v>
      </c>
      <c r="AO587" t="s">
        <v>26</v>
      </c>
      <c r="AP587">
        <v>2006</v>
      </c>
      <c r="AQ587" t="s">
        <v>36</v>
      </c>
      <c r="AR587" t="s">
        <v>307</v>
      </c>
      <c r="AS587" t="s">
        <v>319</v>
      </c>
      <c r="AT587" t="s">
        <v>243</v>
      </c>
      <c r="AU587" t="s">
        <v>247</v>
      </c>
      <c r="AV587">
        <v>0</v>
      </c>
    </row>
    <row r="588" spans="40:48" x14ac:dyDescent="0.25">
      <c r="AN588" t="s">
        <v>134</v>
      </c>
      <c r="AO588" t="s">
        <v>26</v>
      </c>
      <c r="AP588">
        <v>2006</v>
      </c>
      <c r="AQ588" t="s">
        <v>36</v>
      </c>
      <c r="AR588" t="s">
        <v>307</v>
      </c>
      <c r="AS588" t="s">
        <v>319</v>
      </c>
      <c r="AT588" t="s">
        <v>243</v>
      </c>
      <c r="AU588" t="s">
        <v>248</v>
      </c>
      <c r="AV588">
        <v>0</v>
      </c>
    </row>
    <row r="589" spans="40:48" x14ac:dyDescent="0.25">
      <c r="AN589" t="s">
        <v>134</v>
      </c>
      <c r="AO589" t="s">
        <v>26</v>
      </c>
      <c r="AP589">
        <v>2006</v>
      </c>
      <c r="AQ589" t="s">
        <v>36</v>
      </c>
      <c r="AR589" t="s">
        <v>307</v>
      </c>
      <c r="AS589" t="s">
        <v>319</v>
      </c>
      <c r="AT589" t="s">
        <v>243</v>
      </c>
      <c r="AU589" t="s">
        <v>314</v>
      </c>
      <c r="AV589">
        <v>39</v>
      </c>
    </row>
    <row r="590" spans="40:48" x14ac:dyDescent="0.25">
      <c r="AN590" t="s">
        <v>135</v>
      </c>
      <c r="AO590" t="s">
        <v>26</v>
      </c>
      <c r="AP590">
        <v>2007</v>
      </c>
      <c r="AQ590" t="s">
        <v>124</v>
      </c>
      <c r="AR590" t="s">
        <v>306</v>
      </c>
      <c r="AS590" t="s">
        <v>319</v>
      </c>
      <c r="AT590" t="s">
        <v>218</v>
      </c>
      <c r="AU590" t="s">
        <v>310</v>
      </c>
      <c r="AV590">
        <v>2.9</v>
      </c>
    </row>
    <row r="591" spans="40:48" x14ac:dyDescent="0.25">
      <c r="AN591" t="s">
        <v>135</v>
      </c>
      <c r="AO591" t="s">
        <v>26</v>
      </c>
      <c r="AP591">
        <v>2007</v>
      </c>
      <c r="AQ591" t="s">
        <v>124</v>
      </c>
      <c r="AR591" t="s">
        <v>306</v>
      </c>
      <c r="AS591" t="s">
        <v>319</v>
      </c>
      <c r="AT591" t="s">
        <v>218</v>
      </c>
      <c r="AU591" t="s">
        <v>311</v>
      </c>
      <c r="AV591">
        <v>7.8</v>
      </c>
    </row>
    <row r="592" spans="40:48" x14ac:dyDescent="0.25">
      <c r="AN592" t="s">
        <v>135</v>
      </c>
      <c r="AO592" t="s">
        <v>26</v>
      </c>
      <c r="AP592">
        <v>2007</v>
      </c>
      <c r="AQ592" t="s">
        <v>124</v>
      </c>
      <c r="AR592" t="s">
        <v>306</v>
      </c>
      <c r="AS592" t="s">
        <v>319</v>
      </c>
      <c r="AT592" t="s">
        <v>218</v>
      </c>
      <c r="AU592" t="s">
        <v>268</v>
      </c>
      <c r="AV592">
        <v>10.7</v>
      </c>
    </row>
    <row r="593" spans="40:48" x14ac:dyDescent="0.25">
      <c r="AN593" t="s">
        <v>135</v>
      </c>
      <c r="AO593" t="s">
        <v>26</v>
      </c>
      <c r="AP593">
        <v>2007</v>
      </c>
      <c r="AQ593" t="s">
        <v>124</v>
      </c>
      <c r="AR593" t="s">
        <v>306</v>
      </c>
      <c r="AS593" t="s">
        <v>319</v>
      </c>
      <c r="AT593" t="s">
        <v>238</v>
      </c>
      <c r="AU593" t="s">
        <v>310</v>
      </c>
      <c r="AV593">
        <v>1.3</v>
      </c>
    </row>
    <row r="594" spans="40:48" x14ac:dyDescent="0.25">
      <c r="AN594" t="s">
        <v>135</v>
      </c>
      <c r="AO594" t="s">
        <v>26</v>
      </c>
      <c r="AP594">
        <v>2007</v>
      </c>
      <c r="AQ594" t="s">
        <v>124</v>
      </c>
      <c r="AR594" t="s">
        <v>306</v>
      </c>
      <c r="AS594" t="s">
        <v>319</v>
      </c>
      <c r="AT594" t="s">
        <v>238</v>
      </c>
      <c r="AU594" t="s">
        <v>311</v>
      </c>
      <c r="AV594">
        <v>0</v>
      </c>
    </row>
    <row r="595" spans="40:48" x14ac:dyDescent="0.25">
      <c r="AN595" t="s">
        <v>135</v>
      </c>
      <c r="AO595" t="s">
        <v>26</v>
      </c>
      <c r="AP595">
        <v>2007</v>
      </c>
      <c r="AQ595" t="s">
        <v>124</v>
      </c>
      <c r="AR595" t="s">
        <v>306</v>
      </c>
      <c r="AS595" t="s">
        <v>319</v>
      </c>
      <c r="AT595" t="s">
        <v>238</v>
      </c>
      <c r="AU595" t="s">
        <v>268</v>
      </c>
      <c r="AV595">
        <v>1.3</v>
      </c>
    </row>
    <row r="596" spans="40:48" x14ac:dyDescent="0.25">
      <c r="AN596" t="s">
        <v>135</v>
      </c>
      <c r="AO596" t="s">
        <v>26</v>
      </c>
      <c r="AP596">
        <v>2007</v>
      </c>
      <c r="AQ596" t="s">
        <v>124</v>
      </c>
      <c r="AR596" t="s">
        <v>306</v>
      </c>
      <c r="AS596" t="s">
        <v>319</v>
      </c>
      <c r="AT596" t="s">
        <v>239</v>
      </c>
      <c r="AU596" t="s">
        <v>310</v>
      </c>
      <c r="AV596">
        <v>2.1</v>
      </c>
    </row>
    <row r="597" spans="40:48" x14ac:dyDescent="0.25">
      <c r="AN597" t="s">
        <v>135</v>
      </c>
      <c r="AO597" t="s">
        <v>26</v>
      </c>
      <c r="AP597">
        <v>2007</v>
      </c>
      <c r="AQ597" t="s">
        <v>124</v>
      </c>
      <c r="AR597" t="s">
        <v>306</v>
      </c>
      <c r="AS597" t="s">
        <v>319</v>
      </c>
      <c r="AT597" t="s">
        <v>239</v>
      </c>
      <c r="AU597" t="s">
        <v>311</v>
      </c>
      <c r="AV597">
        <v>5.2</v>
      </c>
    </row>
    <row r="598" spans="40:48" x14ac:dyDescent="0.25">
      <c r="AN598" t="s">
        <v>135</v>
      </c>
      <c r="AO598" t="s">
        <v>26</v>
      </c>
      <c r="AP598">
        <v>2007</v>
      </c>
      <c r="AQ598" t="s">
        <v>124</v>
      </c>
      <c r="AR598" t="s">
        <v>306</v>
      </c>
      <c r="AS598" t="s">
        <v>319</v>
      </c>
      <c r="AT598" t="s">
        <v>239</v>
      </c>
      <c r="AU598" t="s">
        <v>268</v>
      </c>
      <c r="AV598">
        <v>7.3</v>
      </c>
    </row>
    <row r="599" spans="40:48" x14ac:dyDescent="0.25">
      <c r="AN599" t="s">
        <v>135</v>
      </c>
      <c r="AO599" t="s">
        <v>26</v>
      </c>
      <c r="AP599">
        <v>2007</v>
      </c>
      <c r="AQ599" t="s">
        <v>124</v>
      </c>
      <c r="AR599" t="s">
        <v>306</v>
      </c>
      <c r="AS599" t="s">
        <v>319</v>
      </c>
      <c r="AT599" t="s">
        <v>240</v>
      </c>
      <c r="AU599" t="s">
        <v>310</v>
      </c>
      <c r="AV599">
        <v>2.4</v>
      </c>
    </row>
    <row r="600" spans="40:48" x14ac:dyDescent="0.25">
      <c r="AN600" t="s">
        <v>135</v>
      </c>
      <c r="AO600" t="s">
        <v>26</v>
      </c>
      <c r="AP600">
        <v>2007</v>
      </c>
      <c r="AQ600" t="s">
        <v>124</v>
      </c>
      <c r="AR600" t="s">
        <v>306</v>
      </c>
      <c r="AS600" t="s">
        <v>319</v>
      </c>
      <c r="AT600" t="s">
        <v>240</v>
      </c>
      <c r="AU600" t="s">
        <v>311</v>
      </c>
      <c r="AV600">
        <v>7.5</v>
      </c>
    </row>
    <row r="601" spans="40:48" x14ac:dyDescent="0.25">
      <c r="AN601" t="s">
        <v>135</v>
      </c>
      <c r="AO601" t="s">
        <v>26</v>
      </c>
      <c r="AP601">
        <v>2007</v>
      </c>
      <c r="AQ601" t="s">
        <v>124</v>
      </c>
      <c r="AR601" t="s">
        <v>306</v>
      </c>
      <c r="AS601" t="s">
        <v>319</v>
      </c>
      <c r="AT601" t="s">
        <v>240</v>
      </c>
      <c r="AU601" t="s">
        <v>268</v>
      </c>
      <c r="AV601">
        <v>9.9</v>
      </c>
    </row>
    <row r="602" spans="40:48" x14ac:dyDescent="0.25">
      <c r="AN602" t="s">
        <v>135</v>
      </c>
      <c r="AO602" t="s">
        <v>26</v>
      </c>
      <c r="AP602">
        <v>2007</v>
      </c>
      <c r="AQ602" t="s">
        <v>124</v>
      </c>
      <c r="AR602" t="s">
        <v>306</v>
      </c>
      <c r="AS602" t="s">
        <v>319</v>
      </c>
      <c r="AT602" t="s">
        <v>316</v>
      </c>
      <c r="AU602" t="s">
        <v>310</v>
      </c>
      <c r="AV602">
        <v>1.4</v>
      </c>
    </row>
    <row r="603" spans="40:48" x14ac:dyDescent="0.25">
      <c r="AN603" t="s">
        <v>135</v>
      </c>
      <c r="AO603" t="s">
        <v>26</v>
      </c>
      <c r="AP603">
        <v>2007</v>
      </c>
      <c r="AQ603" t="s">
        <v>124</v>
      </c>
      <c r="AR603" t="s">
        <v>306</v>
      </c>
      <c r="AS603" t="s">
        <v>319</v>
      </c>
      <c r="AT603" t="s">
        <v>316</v>
      </c>
      <c r="AU603" t="s">
        <v>311</v>
      </c>
      <c r="AV603">
        <v>1.7</v>
      </c>
    </row>
    <row r="604" spans="40:48" x14ac:dyDescent="0.25">
      <c r="AN604" t="s">
        <v>135</v>
      </c>
      <c r="AO604" t="s">
        <v>26</v>
      </c>
      <c r="AP604">
        <v>2007</v>
      </c>
      <c r="AQ604" t="s">
        <v>124</v>
      </c>
      <c r="AR604" t="s">
        <v>306</v>
      </c>
      <c r="AS604" t="s">
        <v>319</v>
      </c>
      <c r="AT604" t="s">
        <v>316</v>
      </c>
      <c r="AU604" t="s">
        <v>268</v>
      </c>
      <c r="AV604">
        <v>3.1</v>
      </c>
    </row>
    <row r="605" spans="40:48" x14ac:dyDescent="0.25">
      <c r="AN605" t="s">
        <v>135</v>
      </c>
      <c r="AO605" t="s">
        <v>26</v>
      </c>
      <c r="AP605">
        <v>2007</v>
      </c>
      <c r="AQ605" t="s">
        <v>124</v>
      </c>
      <c r="AR605" t="s">
        <v>306</v>
      </c>
      <c r="AS605" t="s">
        <v>319</v>
      </c>
      <c r="AT605" t="s">
        <v>242</v>
      </c>
      <c r="AU605" t="s">
        <v>310</v>
      </c>
      <c r="AV605">
        <v>1.5</v>
      </c>
    </row>
    <row r="606" spans="40:48" x14ac:dyDescent="0.25">
      <c r="AN606" t="s">
        <v>135</v>
      </c>
      <c r="AO606" t="s">
        <v>26</v>
      </c>
      <c r="AP606">
        <v>2007</v>
      </c>
      <c r="AQ606" t="s">
        <v>124</v>
      </c>
      <c r="AR606" t="s">
        <v>306</v>
      </c>
      <c r="AS606" t="s">
        <v>319</v>
      </c>
      <c r="AT606" t="s">
        <v>242</v>
      </c>
      <c r="AU606" t="s">
        <v>311</v>
      </c>
      <c r="AV606">
        <v>5</v>
      </c>
    </row>
    <row r="607" spans="40:48" x14ac:dyDescent="0.25">
      <c r="AN607" t="s">
        <v>135</v>
      </c>
      <c r="AO607" t="s">
        <v>26</v>
      </c>
      <c r="AP607">
        <v>2007</v>
      </c>
      <c r="AQ607" t="s">
        <v>124</v>
      </c>
      <c r="AR607" t="s">
        <v>306</v>
      </c>
      <c r="AS607" t="s">
        <v>319</v>
      </c>
      <c r="AT607" t="s">
        <v>242</v>
      </c>
      <c r="AU607" t="s">
        <v>268</v>
      </c>
      <c r="AV607">
        <v>6.5</v>
      </c>
    </row>
    <row r="608" spans="40:48" x14ac:dyDescent="0.25">
      <c r="AN608" t="s">
        <v>135</v>
      </c>
      <c r="AO608" t="s">
        <v>26</v>
      </c>
      <c r="AP608">
        <v>2007</v>
      </c>
      <c r="AQ608" t="s">
        <v>124</v>
      </c>
      <c r="AR608" t="s">
        <v>306</v>
      </c>
      <c r="AS608" t="s">
        <v>319</v>
      </c>
      <c r="AT608" t="s">
        <v>243</v>
      </c>
      <c r="AU608" t="s">
        <v>247</v>
      </c>
      <c r="AV608">
        <v>11.600000000000001</v>
      </c>
    </row>
    <row r="609" spans="40:48" x14ac:dyDescent="0.25">
      <c r="AN609" t="s">
        <v>135</v>
      </c>
      <c r="AO609" t="s">
        <v>26</v>
      </c>
      <c r="AP609">
        <v>2007</v>
      </c>
      <c r="AQ609" t="s">
        <v>124</v>
      </c>
      <c r="AR609" t="s">
        <v>306</v>
      </c>
      <c r="AS609" t="s">
        <v>319</v>
      </c>
      <c r="AT609" t="s">
        <v>243</v>
      </c>
      <c r="AU609" t="s">
        <v>248</v>
      </c>
      <c r="AV609">
        <v>27.2</v>
      </c>
    </row>
    <row r="610" spans="40:48" x14ac:dyDescent="0.25">
      <c r="AN610" t="s">
        <v>135</v>
      </c>
      <c r="AO610" t="s">
        <v>26</v>
      </c>
      <c r="AP610">
        <v>2007</v>
      </c>
      <c r="AQ610" t="s">
        <v>124</v>
      </c>
      <c r="AR610" t="s">
        <v>306</v>
      </c>
      <c r="AS610" t="s">
        <v>319</v>
      </c>
      <c r="AT610" t="s">
        <v>243</v>
      </c>
      <c r="AU610" t="s">
        <v>314</v>
      </c>
      <c r="AV610">
        <v>38.800000000000004</v>
      </c>
    </row>
    <row r="611" spans="40:48" x14ac:dyDescent="0.25">
      <c r="AN611" t="s">
        <v>137</v>
      </c>
      <c r="AO611" t="s">
        <v>26</v>
      </c>
      <c r="AP611">
        <v>2007</v>
      </c>
      <c r="AQ611" t="s">
        <v>124</v>
      </c>
      <c r="AR611" t="s">
        <v>306</v>
      </c>
      <c r="AS611" t="s">
        <v>319</v>
      </c>
      <c r="AT611" t="s">
        <v>218</v>
      </c>
      <c r="AU611" t="s">
        <v>310</v>
      </c>
      <c r="AV611">
        <v>2.5</v>
      </c>
    </row>
    <row r="612" spans="40:48" x14ac:dyDescent="0.25">
      <c r="AN612" t="s">
        <v>137</v>
      </c>
      <c r="AO612" t="s">
        <v>26</v>
      </c>
      <c r="AP612">
        <v>2007</v>
      </c>
      <c r="AQ612" t="s">
        <v>124</v>
      </c>
      <c r="AR612" t="s">
        <v>306</v>
      </c>
      <c r="AS612" t="s">
        <v>319</v>
      </c>
      <c r="AT612" t="s">
        <v>218</v>
      </c>
      <c r="AU612" t="s">
        <v>311</v>
      </c>
      <c r="AV612">
        <v>8.3000000000000007</v>
      </c>
    </row>
    <row r="613" spans="40:48" x14ac:dyDescent="0.25">
      <c r="AN613" t="s">
        <v>137</v>
      </c>
      <c r="AO613" t="s">
        <v>26</v>
      </c>
      <c r="AP613">
        <v>2007</v>
      </c>
      <c r="AQ613" t="s">
        <v>124</v>
      </c>
      <c r="AR613" t="s">
        <v>306</v>
      </c>
      <c r="AS613" t="s">
        <v>319</v>
      </c>
      <c r="AT613" t="s">
        <v>218</v>
      </c>
      <c r="AU613" t="s">
        <v>268</v>
      </c>
      <c r="AV613">
        <v>10.8</v>
      </c>
    </row>
    <row r="614" spans="40:48" x14ac:dyDescent="0.25">
      <c r="AN614" t="s">
        <v>137</v>
      </c>
      <c r="AO614" t="s">
        <v>26</v>
      </c>
      <c r="AP614">
        <v>2007</v>
      </c>
      <c r="AQ614" t="s">
        <v>124</v>
      </c>
      <c r="AR614" t="s">
        <v>306</v>
      </c>
      <c r="AS614" t="s">
        <v>319</v>
      </c>
      <c r="AT614" t="s">
        <v>238</v>
      </c>
      <c r="AU614" t="s">
        <v>310</v>
      </c>
      <c r="AV614">
        <v>0.6</v>
      </c>
    </row>
    <row r="615" spans="40:48" x14ac:dyDescent="0.25">
      <c r="AN615" t="s">
        <v>137</v>
      </c>
      <c r="AO615" t="s">
        <v>26</v>
      </c>
      <c r="AP615">
        <v>2007</v>
      </c>
      <c r="AQ615" t="s">
        <v>124</v>
      </c>
      <c r="AR615" t="s">
        <v>306</v>
      </c>
      <c r="AS615" t="s">
        <v>319</v>
      </c>
      <c r="AT615" t="s">
        <v>238</v>
      </c>
      <c r="AU615" t="s">
        <v>311</v>
      </c>
      <c r="AV615">
        <v>0</v>
      </c>
    </row>
    <row r="616" spans="40:48" x14ac:dyDescent="0.25">
      <c r="AN616" t="s">
        <v>137</v>
      </c>
      <c r="AO616" t="s">
        <v>26</v>
      </c>
      <c r="AP616">
        <v>2007</v>
      </c>
      <c r="AQ616" t="s">
        <v>124</v>
      </c>
      <c r="AR616" t="s">
        <v>306</v>
      </c>
      <c r="AS616" t="s">
        <v>319</v>
      </c>
      <c r="AT616" t="s">
        <v>238</v>
      </c>
      <c r="AU616" t="s">
        <v>268</v>
      </c>
      <c r="AV616">
        <v>0.6</v>
      </c>
    </row>
    <row r="617" spans="40:48" x14ac:dyDescent="0.25">
      <c r="AN617" t="s">
        <v>137</v>
      </c>
      <c r="AO617" t="s">
        <v>26</v>
      </c>
      <c r="AP617">
        <v>2007</v>
      </c>
      <c r="AQ617" t="s">
        <v>124</v>
      </c>
      <c r="AR617" t="s">
        <v>306</v>
      </c>
      <c r="AS617" t="s">
        <v>319</v>
      </c>
      <c r="AT617" t="s">
        <v>239</v>
      </c>
      <c r="AU617" t="s">
        <v>310</v>
      </c>
      <c r="AV617">
        <v>1.5</v>
      </c>
    </row>
    <row r="618" spans="40:48" x14ac:dyDescent="0.25">
      <c r="AN618" t="s">
        <v>137</v>
      </c>
      <c r="AO618" t="s">
        <v>26</v>
      </c>
      <c r="AP618">
        <v>2007</v>
      </c>
      <c r="AQ618" t="s">
        <v>124</v>
      </c>
      <c r="AR618" t="s">
        <v>306</v>
      </c>
      <c r="AS618" t="s">
        <v>319</v>
      </c>
      <c r="AT618" t="s">
        <v>239</v>
      </c>
      <c r="AU618" t="s">
        <v>311</v>
      </c>
      <c r="AV618">
        <v>3.3</v>
      </c>
    </row>
    <row r="619" spans="40:48" x14ac:dyDescent="0.25">
      <c r="AN619" t="s">
        <v>137</v>
      </c>
      <c r="AO619" t="s">
        <v>26</v>
      </c>
      <c r="AP619">
        <v>2007</v>
      </c>
      <c r="AQ619" t="s">
        <v>124</v>
      </c>
      <c r="AR619" t="s">
        <v>306</v>
      </c>
      <c r="AS619" t="s">
        <v>319</v>
      </c>
      <c r="AT619" t="s">
        <v>239</v>
      </c>
      <c r="AU619" t="s">
        <v>268</v>
      </c>
      <c r="AV619">
        <v>4.8</v>
      </c>
    </row>
    <row r="620" spans="40:48" x14ac:dyDescent="0.25">
      <c r="AN620" t="s">
        <v>137</v>
      </c>
      <c r="AO620" t="s">
        <v>26</v>
      </c>
      <c r="AP620">
        <v>2007</v>
      </c>
      <c r="AQ620" t="s">
        <v>124</v>
      </c>
      <c r="AR620" t="s">
        <v>306</v>
      </c>
      <c r="AS620" t="s">
        <v>319</v>
      </c>
      <c r="AT620" t="s">
        <v>240</v>
      </c>
      <c r="AU620" t="s">
        <v>310</v>
      </c>
      <c r="AV620">
        <v>1.6</v>
      </c>
    </row>
    <row r="621" spans="40:48" x14ac:dyDescent="0.25">
      <c r="AN621" t="s">
        <v>137</v>
      </c>
      <c r="AO621" t="s">
        <v>26</v>
      </c>
      <c r="AP621">
        <v>2007</v>
      </c>
      <c r="AQ621" t="s">
        <v>124</v>
      </c>
      <c r="AR621" t="s">
        <v>306</v>
      </c>
      <c r="AS621" t="s">
        <v>319</v>
      </c>
      <c r="AT621" t="s">
        <v>240</v>
      </c>
      <c r="AU621" t="s">
        <v>311</v>
      </c>
      <c r="AV621">
        <v>9</v>
      </c>
    </row>
    <row r="622" spans="40:48" x14ac:dyDescent="0.25">
      <c r="AN622" t="s">
        <v>137</v>
      </c>
      <c r="AO622" t="s">
        <v>26</v>
      </c>
      <c r="AP622">
        <v>2007</v>
      </c>
      <c r="AQ622" t="s">
        <v>124</v>
      </c>
      <c r="AR622" t="s">
        <v>306</v>
      </c>
      <c r="AS622" t="s">
        <v>319</v>
      </c>
      <c r="AT622" t="s">
        <v>240</v>
      </c>
      <c r="AU622" t="s">
        <v>268</v>
      </c>
      <c r="AV622">
        <v>10.6</v>
      </c>
    </row>
    <row r="623" spans="40:48" x14ac:dyDescent="0.25">
      <c r="AN623" t="s">
        <v>137</v>
      </c>
      <c r="AO623" t="s">
        <v>26</v>
      </c>
      <c r="AP623">
        <v>2007</v>
      </c>
      <c r="AQ623" t="s">
        <v>124</v>
      </c>
      <c r="AR623" t="s">
        <v>306</v>
      </c>
      <c r="AS623" t="s">
        <v>319</v>
      </c>
      <c r="AT623" t="s">
        <v>316</v>
      </c>
      <c r="AU623" t="s">
        <v>310</v>
      </c>
      <c r="AV623">
        <v>1.9</v>
      </c>
    </row>
    <row r="624" spans="40:48" x14ac:dyDescent="0.25">
      <c r="AN624" t="s">
        <v>137</v>
      </c>
      <c r="AO624" t="s">
        <v>26</v>
      </c>
      <c r="AP624">
        <v>2007</v>
      </c>
      <c r="AQ624" t="s">
        <v>124</v>
      </c>
      <c r="AR624" t="s">
        <v>306</v>
      </c>
      <c r="AS624" t="s">
        <v>319</v>
      </c>
      <c r="AT624" t="s">
        <v>316</v>
      </c>
      <c r="AU624" t="s">
        <v>311</v>
      </c>
      <c r="AV624">
        <v>2.85</v>
      </c>
    </row>
    <row r="625" spans="40:48" x14ac:dyDescent="0.25">
      <c r="AN625" t="s">
        <v>137</v>
      </c>
      <c r="AO625" t="s">
        <v>26</v>
      </c>
      <c r="AP625">
        <v>2007</v>
      </c>
      <c r="AQ625" t="s">
        <v>124</v>
      </c>
      <c r="AR625" t="s">
        <v>306</v>
      </c>
      <c r="AS625" t="s">
        <v>319</v>
      </c>
      <c r="AT625" t="s">
        <v>316</v>
      </c>
      <c r="AU625" t="s">
        <v>268</v>
      </c>
      <c r="AV625">
        <v>4.75</v>
      </c>
    </row>
    <row r="626" spans="40:48" x14ac:dyDescent="0.25">
      <c r="AN626" t="s">
        <v>137</v>
      </c>
      <c r="AO626" t="s">
        <v>26</v>
      </c>
      <c r="AP626">
        <v>2007</v>
      </c>
      <c r="AQ626" t="s">
        <v>124</v>
      </c>
      <c r="AR626" t="s">
        <v>306</v>
      </c>
      <c r="AS626" t="s">
        <v>319</v>
      </c>
      <c r="AT626" t="s">
        <v>242</v>
      </c>
      <c r="AU626" t="s">
        <v>310</v>
      </c>
      <c r="AV626">
        <v>0.1</v>
      </c>
    </row>
    <row r="627" spans="40:48" x14ac:dyDescent="0.25">
      <c r="AN627" t="s">
        <v>137</v>
      </c>
      <c r="AO627" t="s">
        <v>26</v>
      </c>
      <c r="AP627">
        <v>2007</v>
      </c>
      <c r="AQ627" t="s">
        <v>124</v>
      </c>
      <c r="AR627" t="s">
        <v>306</v>
      </c>
      <c r="AS627" t="s">
        <v>319</v>
      </c>
      <c r="AT627" t="s">
        <v>242</v>
      </c>
      <c r="AU627" t="s">
        <v>311</v>
      </c>
      <c r="AV627">
        <v>1</v>
      </c>
    </row>
    <row r="628" spans="40:48" x14ac:dyDescent="0.25">
      <c r="AN628" t="s">
        <v>137</v>
      </c>
      <c r="AO628" t="s">
        <v>26</v>
      </c>
      <c r="AP628">
        <v>2007</v>
      </c>
      <c r="AQ628" t="s">
        <v>124</v>
      </c>
      <c r="AR628" t="s">
        <v>306</v>
      </c>
      <c r="AS628" t="s">
        <v>319</v>
      </c>
      <c r="AT628" t="s">
        <v>242</v>
      </c>
      <c r="AU628" t="s">
        <v>268</v>
      </c>
      <c r="AV628">
        <v>1.1000000000000001</v>
      </c>
    </row>
    <row r="629" spans="40:48" x14ac:dyDescent="0.25">
      <c r="AN629" t="s">
        <v>137</v>
      </c>
      <c r="AO629" t="s">
        <v>26</v>
      </c>
      <c r="AP629">
        <v>2007</v>
      </c>
      <c r="AQ629" t="s">
        <v>124</v>
      </c>
      <c r="AR629" t="s">
        <v>306</v>
      </c>
      <c r="AS629" t="s">
        <v>319</v>
      </c>
      <c r="AT629" t="s">
        <v>243</v>
      </c>
      <c r="AU629" t="s">
        <v>247</v>
      </c>
      <c r="AV629">
        <v>8.1999999999999993</v>
      </c>
    </row>
    <row r="630" spans="40:48" x14ac:dyDescent="0.25">
      <c r="AN630" t="s">
        <v>137</v>
      </c>
      <c r="AO630" t="s">
        <v>26</v>
      </c>
      <c r="AP630">
        <v>2007</v>
      </c>
      <c r="AQ630" t="s">
        <v>124</v>
      </c>
      <c r="AR630" t="s">
        <v>306</v>
      </c>
      <c r="AS630" t="s">
        <v>319</v>
      </c>
      <c r="AT630" t="s">
        <v>243</v>
      </c>
      <c r="AU630" t="s">
        <v>248</v>
      </c>
      <c r="AV630">
        <v>24.450000000000003</v>
      </c>
    </row>
    <row r="631" spans="40:48" x14ac:dyDescent="0.25">
      <c r="AN631" t="s">
        <v>137</v>
      </c>
      <c r="AO631" t="s">
        <v>26</v>
      </c>
      <c r="AP631">
        <v>2007</v>
      </c>
      <c r="AQ631" t="s">
        <v>124</v>
      </c>
      <c r="AR631" t="s">
        <v>306</v>
      </c>
      <c r="AS631" t="s">
        <v>319</v>
      </c>
      <c r="AT631" t="s">
        <v>243</v>
      </c>
      <c r="AU631" t="s">
        <v>314</v>
      </c>
      <c r="AV631">
        <v>32.65</v>
      </c>
    </row>
    <row r="632" spans="40:48" x14ac:dyDescent="0.25">
      <c r="AN632" t="s">
        <v>139</v>
      </c>
      <c r="AO632" t="s">
        <v>26</v>
      </c>
      <c r="AP632">
        <v>2008</v>
      </c>
      <c r="AQ632" t="s">
        <v>124</v>
      </c>
      <c r="AR632" t="s">
        <v>307</v>
      </c>
      <c r="AS632" t="s">
        <v>319</v>
      </c>
      <c r="AT632" t="s">
        <v>218</v>
      </c>
      <c r="AU632" t="s">
        <v>310</v>
      </c>
      <c r="AV632">
        <v>3</v>
      </c>
    </row>
    <row r="633" spans="40:48" x14ac:dyDescent="0.25">
      <c r="AN633" t="s">
        <v>139</v>
      </c>
      <c r="AO633" t="s">
        <v>26</v>
      </c>
      <c r="AP633">
        <v>2008</v>
      </c>
      <c r="AQ633" t="s">
        <v>124</v>
      </c>
      <c r="AR633" t="s">
        <v>307</v>
      </c>
      <c r="AS633" t="s">
        <v>319</v>
      </c>
      <c r="AT633" t="s">
        <v>218</v>
      </c>
      <c r="AU633" t="s">
        <v>311</v>
      </c>
      <c r="AV633">
        <v>8.1999999999999993</v>
      </c>
    </row>
    <row r="634" spans="40:48" x14ac:dyDescent="0.25">
      <c r="AN634" t="s">
        <v>139</v>
      </c>
      <c r="AO634" t="s">
        <v>26</v>
      </c>
      <c r="AP634">
        <v>2008</v>
      </c>
      <c r="AQ634" t="s">
        <v>124</v>
      </c>
      <c r="AR634" t="s">
        <v>307</v>
      </c>
      <c r="AS634" t="s">
        <v>319</v>
      </c>
      <c r="AT634" t="s">
        <v>218</v>
      </c>
      <c r="AU634" t="s">
        <v>268</v>
      </c>
      <c r="AV634">
        <v>11.2</v>
      </c>
    </row>
    <row r="635" spans="40:48" x14ac:dyDescent="0.25">
      <c r="AN635" t="s">
        <v>139</v>
      </c>
      <c r="AO635" t="s">
        <v>26</v>
      </c>
      <c r="AP635">
        <v>2008</v>
      </c>
      <c r="AQ635" t="s">
        <v>124</v>
      </c>
      <c r="AR635" t="s">
        <v>307</v>
      </c>
      <c r="AS635" t="s">
        <v>319</v>
      </c>
      <c r="AT635" t="s">
        <v>238</v>
      </c>
      <c r="AU635" t="s">
        <v>310</v>
      </c>
      <c r="AV635">
        <v>1.5</v>
      </c>
    </row>
    <row r="636" spans="40:48" x14ac:dyDescent="0.25">
      <c r="AN636" t="s">
        <v>139</v>
      </c>
      <c r="AO636" t="s">
        <v>26</v>
      </c>
      <c r="AP636">
        <v>2008</v>
      </c>
      <c r="AQ636" t="s">
        <v>124</v>
      </c>
      <c r="AR636" t="s">
        <v>307</v>
      </c>
      <c r="AS636" t="s">
        <v>319</v>
      </c>
      <c r="AT636" t="s">
        <v>238</v>
      </c>
      <c r="AU636" t="s">
        <v>311</v>
      </c>
      <c r="AV636">
        <v>0</v>
      </c>
    </row>
    <row r="637" spans="40:48" x14ac:dyDescent="0.25">
      <c r="AN637" t="s">
        <v>139</v>
      </c>
      <c r="AO637" t="s">
        <v>26</v>
      </c>
      <c r="AP637">
        <v>2008</v>
      </c>
      <c r="AQ637" t="s">
        <v>124</v>
      </c>
      <c r="AR637" t="s">
        <v>307</v>
      </c>
      <c r="AS637" t="s">
        <v>319</v>
      </c>
      <c r="AT637" t="s">
        <v>238</v>
      </c>
      <c r="AU637" t="s">
        <v>268</v>
      </c>
      <c r="AV637">
        <v>1.5</v>
      </c>
    </row>
    <row r="638" spans="40:48" x14ac:dyDescent="0.25">
      <c r="AN638" t="s">
        <v>139</v>
      </c>
      <c r="AO638" t="s">
        <v>26</v>
      </c>
      <c r="AP638">
        <v>2008</v>
      </c>
      <c r="AQ638" t="s">
        <v>124</v>
      </c>
      <c r="AR638" t="s">
        <v>307</v>
      </c>
      <c r="AS638" t="s">
        <v>319</v>
      </c>
      <c r="AT638" t="s">
        <v>239</v>
      </c>
      <c r="AU638" t="s">
        <v>310</v>
      </c>
      <c r="AV638">
        <v>2.1</v>
      </c>
    </row>
    <row r="639" spans="40:48" x14ac:dyDescent="0.25">
      <c r="AN639" t="s">
        <v>139</v>
      </c>
      <c r="AO639" t="s">
        <v>26</v>
      </c>
      <c r="AP639">
        <v>2008</v>
      </c>
      <c r="AQ639" t="s">
        <v>124</v>
      </c>
      <c r="AR639" t="s">
        <v>307</v>
      </c>
      <c r="AS639" t="s">
        <v>319</v>
      </c>
      <c r="AT639" t="s">
        <v>239</v>
      </c>
      <c r="AU639" t="s">
        <v>311</v>
      </c>
      <c r="AV639">
        <v>6.5</v>
      </c>
    </row>
    <row r="640" spans="40:48" x14ac:dyDescent="0.25">
      <c r="AN640" t="s">
        <v>139</v>
      </c>
      <c r="AO640" t="s">
        <v>26</v>
      </c>
      <c r="AP640">
        <v>2008</v>
      </c>
      <c r="AQ640" t="s">
        <v>124</v>
      </c>
      <c r="AR640" t="s">
        <v>307</v>
      </c>
      <c r="AS640" t="s">
        <v>319</v>
      </c>
      <c r="AT640" t="s">
        <v>239</v>
      </c>
      <c r="AU640" t="s">
        <v>268</v>
      </c>
      <c r="AV640">
        <v>8.6</v>
      </c>
    </row>
    <row r="641" spans="40:48" x14ac:dyDescent="0.25">
      <c r="AN641" t="s">
        <v>139</v>
      </c>
      <c r="AO641" t="s">
        <v>26</v>
      </c>
      <c r="AP641">
        <v>2008</v>
      </c>
      <c r="AQ641" t="s">
        <v>124</v>
      </c>
      <c r="AR641" t="s">
        <v>307</v>
      </c>
      <c r="AS641" t="s">
        <v>319</v>
      </c>
      <c r="AT641" t="s">
        <v>240</v>
      </c>
      <c r="AU641" t="s">
        <v>310</v>
      </c>
      <c r="AV641">
        <v>0</v>
      </c>
    </row>
    <row r="642" spans="40:48" x14ac:dyDescent="0.25">
      <c r="AN642" t="s">
        <v>139</v>
      </c>
      <c r="AO642" t="s">
        <v>26</v>
      </c>
      <c r="AP642">
        <v>2008</v>
      </c>
      <c r="AQ642" t="s">
        <v>124</v>
      </c>
      <c r="AR642" t="s">
        <v>307</v>
      </c>
      <c r="AS642" t="s">
        <v>319</v>
      </c>
      <c r="AT642" t="s">
        <v>240</v>
      </c>
      <c r="AU642" t="s">
        <v>311</v>
      </c>
      <c r="AV642">
        <v>0</v>
      </c>
    </row>
    <row r="643" spans="40:48" x14ac:dyDescent="0.25">
      <c r="AN643" t="s">
        <v>139</v>
      </c>
      <c r="AO643" t="s">
        <v>26</v>
      </c>
      <c r="AP643">
        <v>2008</v>
      </c>
      <c r="AQ643" t="s">
        <v>124</v>
      </c>
      <c r="AR643" t="s">
        <v>307</v>
      </c>
      <c r="AS643" t="s">
        <v>319</v>
      </c>
      <c r="AT643" t="s">
        <v>240</v>
      </c>
      <c r="AU643" t="s">
        <v>268</v>
      </c>
      <c r="AV643">
        <v>0</v>
      </c>
    </row>
    <row r="644" spans="40:48" x14ac:dyDescent="0.25">
      <c r="AN644" t="s">
        <v>139</v>
      </c>
      <c r="AO644" t="s">
        <v>26</v>
      </c>
      <c r="AP644">
        <v>2008</v>
      </c>
      <c r="AQ644" t="s">
        <v>124</v>
      </c>
      <c r="AR644" t="s">
        <v>307</v>
      </c>
      <c r="AS644" t="s">
        <v>319</v>
      </c>
      <c r="AT644" t="s">
        <v>316</v>
      </c>
      <c r="AU644" t="s">
        <v>310</v>
      </c>
      <c r="AV644">
        <v>2</v>
      </c>
    </row>
    <row r="645" spans="40:48" x14ac:dyDescent="0.25">
      <c r="AN645" t="s">
        <v>139</v>
      </c>
      <c r="AO645" t="s">
        <v>26</v>
      </c>
      <c r="AP645">
        <v>2008</v>
      </c>
      <c r="AQ645" t="s">
        <v>124</v>
      </c>
      <c r="AR645" t="s">
        <v>307</v>
      </c>
      <c r="AS645" t="s">
        <v>319</v>
      </c>
      <c r="AT645" t="s">
        <v>316</v>
      </c>
      <c r="AU645" t="s">
        <v>311</v>
      </c>
      <c r="AV645">
        <v>3.45</v>
      </c>
    </row>
    <row r="646" spans="40:48" x14ac:dyDescent="0.25">
      <c r="AN646" t="s">
        <v>139</v>
      </c>
      <c r="AO646" t="s">
        <v>26</v>
      </c>
      <c r="AP646">
        <v>2008</v>
      </c>
      <c r="AQ646" t="s">
        <v>124</v>
      </c>
      <c r="AR646" t="s">
        <v>307</v>
      </c>
      <c r="AS646" t="s">
        <v>319</v>
      </c>
      <c r="AT646" t="s">
        <v>316</v>
      </c>
      <c r="AU646" t="s">
        <v>268</v>
      </c>
      <c r="AV646">
        <v>5.45</v>
      </c>
    </row>
    <row r="647" spans="40:48" x14ac:dyDescent="0.25">
      <c r="AN647" t="s">
        <v>139</v>
      </c>
      <c r="AO647" t="s">
        <v>26</v>
      </c>
      <c r="AP647">
        <v>2008</v>
      </c>
      <c r="AQ647" t="s">
        <v>124</v>
      </c>
      <c r="AR647" t="s">
        <v>307</v>
      </c>
      <c r="AS647" t="s">
        <v>319</v>
      </c>
      <c r="AT647" t="s">
        <v>242</v>
      </c>
      <c r="AU647" t="s">
        <v>310</v>
      </c>
      <c r="AV647">
        <v>1</v>
      </c>
    </row>
    <row r="648" spans="40:48" x14ac:dyDescent="0.25">
      <c r="AN648" t="s">
        <v>139</v>
      </c>
      <c r="AO648" t="s">
        <v>26</v>
      </c>
      <c r="AP648">
        <v>2008</v>
      </c>
      <c r="AQ648" t="s">
        <v>124</v>
      </c>
      <c r="AR648" t="s">
        <v>307</v>
      </c>
      <c r="AS648" t="s">
        <v>319</v>
      </c>
      <c r="AT648" t="s">
        <v>242</v>
      </c>
      <c r="AU648" t="s">
        <v>311</v>
      </c>
      <c r="AV648">
        <v>3.1</v>
      </c>
    </row>
    <row r="649" spans="40:48" x14ac:dyDescent="0.25">
      <c r="AN649" t="s">
        <v>139</v>
      </c>
      <c r="AO649" t="s">
        <v>26</v>
      </c>
      <c r="AP649">
        <v>2008</v>
      </c>
      <c r="AQ649" t="s">
        <v>124</v>
      </c>
      <c r="AR649" t="s">
        <v>307</v>
      </c>
      <c r="AS649" t="s">
        <v>319</v>
      </c>
      <c r="AT649" t="s">
        <v>242</v>
      </c>
      <c r="AU649" t="s">
        <v>268</v>
      </c>
      <c r="AV649">
        <v>4.0999999999999996</v>
      </c>
    </row>
    <row r="650" spans="40:48" x14ac:dyDescent="0.25">
      <c r="AN650" t="s">
        <v>139</v>
      </c>
      <c r="AO650" t="s">
        <v>26</v>
      </c>
      <c r="AP650">
        <v>2008</v>
      </c>
      <c r="AQ650" t="s">
        <v>124</v>
      </c>
      <c r="AR650" t="s">
        <v>307</v>
      </c>
      <c r="AS650" t="s">
        <v>319</v>
      </c>
      <c r="AT650" t="s">
        <v>243</v>
      </c>
      <c r="AU650" t="s">
        <v>247</v>
      </c>
      <c r="AV650">
        <v>0</v>
      </c>
    </row>
    <row r="651" spans="40:48" x14ac:dyDescent="0.25">
      <c r="AN651" t="s">
        <v>139</v>
      </c>
      <c r="AO651" t="s">
        <v>26</v>
      </c>
      <c r="AP651">
        <v>2008</v>
      </c>
      <c r="AQ651" t="s">
        <v>124</v>
      </c>
      <c r="AR651" t="s">
        <v>307</v>
      </c>
      <c r="AS651" t="s">
        <v>319</v>
      </c>
      <c r="AT651" t="s">
        <v>243</v>
      </c>
      <c r="AU651" t="s">
        <v>248</v>
      </c>
      <c r="AV651">
        <v>0</v>
      </c>
    </row>
    <row r="652" spans="40:48" x14ac:dyDescent="0.25">
      <c r="AN652" t="s">
        <v>139</v>
      </c>
      <c r="AO652" t="s">
        <v>26</v>
      </c>
      <c r="AP652">
        <v>2008</v>
      </c>
      <c r="AQ652" t="s">
        <v>124</v>
      </c>
      <c r="AR652" t="s">
        <v>307</v>
      </c>
      <c r="AS652" t="s">
        <v>319</v>
      </c>
      <c r="AT652" t="s">
        <v>243</v>
      </c>
      <c r="AU652" t="s">
        <v>314</v>
      </c>
      <c r="AV652">
        <v>30.849999999999994</v>
      </c>
    </row>
    <row r="653" spans="40:48" x14ac:dyDescent="0.25">
      <c r="AN653" t="s">
        <v>52</v>
      </c>
      <c r="AO653" t="s">
        <v>26</v>
      </c>
      <c r="AP653">
        <v>2006</v>
      </c>
      <c r="AQ653" t="s">
        <v>36</v>
      </c>
      <c r="AR653" t="s">
        <v>307</v>
      </c>
      <c r="AS653" t="s">
        <v>319</v>
      </c>
      <c r="AT653" t="s">
        <v>218</v>
      </c>
      <c r="AU653" t="s">
        <v>310</v>
      </c>
      <c r="AV653">
        <v>0</v>
      </c>
    </row>
    <row r="654" spans="40:48" x14ac:dyDescent="0.25">
      <c r="AN654" t="s">
        <v>52</v>
      </c>
      <c r="AO654" t="s">
        <v>26</v>
      </c>
      <c r="AP654">
        <v>2006</v>
      </c>
      <c r="AQ654" t="s">
        <v>36</v>
      </c>
      <c r="AR654" t="s">
        <v>307</v>
      </c>
      <c r="AS654" t="s">
        <v>319</v>
      </c>
      <c r="AT654" t="s">
        <v>218</v>
      </c>
      <c r="AU654" t="s">
        <v>311</v>
      </c>
      <c r="AV654">
        <v>0</v>
      </c>
    </row>
    <row r="655" spans="40:48" x14ac:dyDescent="0.25">
      <c r="AN655" t="s">
        <v>52</v>
      </c>
      <c r="AO655" t="s">
        <v>26</v>
      </c>
      <c r="AP655">
        <v>2006</v>
      </c>
      <c r="AQ655" t="s">
        <v>36</v>
      </c>
      <c r="AR655" t="s">
        <v>307</v>
      </c>
      <c r="AS655" t="s">
        <v>319</v>
      </c>
      <c r="AT655" t="s">
        <v>218</v>
      </c>
      <c r="AU655" t="s">
        <v>268</v>
      </c>
      <c r="AV655">
        <v>0</v>
      </c>
    </row>
    <row r="656" spans="40:48" x14ac:dyDescent="0.25">
      <c r="AN656" t="s">
        <v>52</v>
      </c>
      <c r="AO656" t="s">
        <v>26</v>
      </c>
      <c r="AP656">
        <v>2006</v>
      </c>
      <c r="AQ656" t="s">
        <v>36</v>
      </c>
      <c r="AR656" t="s">
        <v>307</v>
      </c>
      <c r="AS656" t="s">
        <v>319</v>
      </c>
      <c r="AT656" t="s">
        <v>238</v>
      </c>
      <c r="AU656" t="s">
        <v>310</v>
      </c>
      <c r="AV656">
        <v>2.1</v>
      </c>
    </row>
    <row r="657" spans="40:48" x14ac:dyDescent="0.25">
      <c r="AN657" t="s">
        <v>52</v>
      </c>
      <c r="AO657" t="s">
        <v>26</v>
      </c>
      <c r="AP657">
        <v>2006</v>
      </c>
      <c r="AQ657" t="s">
        <v>36</v>
      </c>
      <c r="AR657" t="s">
        <v>307</v>
      </c>
      <c r="AS657" t="s">
        <v>319</v>
      </c>
      <c r="AT657" t="s">
        <v>238</v>
      </c>
      <c r="AU657" t="s">
        <v>311</v>
      </c>
      <c r="AV657">
        <v>4.5</v>
      </c>
    </row>
    <row r="658" spans="40:48" x14ac:dyDescent="0.25">
      <c r="AN658" t="s">
        <v>52</v>
      </c>
      <c r="AO658" t="s">
        <v>26</v>
      </c>
      <c r="AP658">
        <v>2006</v>
      </c>
      <c r="AQ658" t="s">
        <v>36</v>
      </c>
      <c r="AR658" t="s">
        <v>307</v>
      </c>
      <c r="AS658" t="s">
        <v>319</v>
      </c>
      <c r="AT658" t="s">
        <v>238</v>
      </c>
      <c r="AU658" t="s">
        <v>268</v>
      </c>
      <c r="AV658">
        <v>6.6</v>
      </c>
    </row>
    <row r="659" spans="40:48" x14ac:dyDescent="0.25">
      <c r="AN659" t="s">
        <v>52</v>
      </c>
      <c r="AO659" t="s">
        <v>26</v>
      </c>
      <c r="AP659">
        <v>2006</v>
      </c>
      <c r="AQ659" t="s">
        <v>36</v>
      </c>
      <c r="AR659" t="s">
        <v>307</v>
      </c>
      <c r="AS659" t="s">
        <v>319</v>
      </c>
      <c r="AT659" t="s">
        <v>239</v>
      </c>
      <c r="AU659" t="s">
        <v>310</v>
      </c>
      <c r="AV659">
        <v>0</v>
      </c>
    </row>
    <row r="660" spans="40:48" x14ac:dyDescent="0.25">
      <c r="AN660" t="s">
        <v>52</v>
      </c>
      <c r="AO660" t="s">
        <v>26</v>
      </c>
      <c r="AP660">
        <v>2006</v>
      </c>
      <c r="AQ660" t="s">
        <v>36</v>
      </c>
      <c r="AR660" t="s">
        <v>307</v>
      </c>
      <c r="AS660" t="s">
        <v>319</v>
      </c>
      <c r="AT660" t="s">
        <v>239</v>
      </c>
      <c r="AU660" t="s">
        <v>311</v>
      </c>
      <c r="AV660">
        <v>0</v>
      </c>
    </row>
    <row r="661" spans="40:48" x14ac:dyDescent="0.25">
      <c r="AN661" t="s">
        <v>52</v>
      </c>
      <c r="AO661" t="s">
        <v>26</v>
      </c>
      <c r="AP661">
        <v>2006</v>
      </c>
      <c r="AQ661" t="s">
        <v>36</v>
      </c>
      <c r="AR661" t="s">
        <v>307</v>
      </c>
      <c r="AS661" t="s">
        <v>319</v>
      </c>
      <c r="AT661" t="s">
        <v>239</v>
      </c>
      <c r="AU661" t="s">
        <v>268</v>
      </c>
      <c r="AV661">
        <v>0</v>
      </c>
    </row>
    <row r="662" spans="40:48" x14ac:dyDescent="0.25">
      <c r="AN662" t="s">
        <v>52</v>
      </c>
      <c r="AO662" t="s">
        <v>26</v>
      </c>
      <c r="AP662">
        <v>2006</v>
      </c>
      <c r="AQ662" t="s">
        <v>36</v>
      </c>
      <c r="AR662" t="s">
        <v>307</v>
      </c>
      <c r="AS662" t="s">
        <v>319</v>
      </c>
      <c r="AT662" t="s">
        <v>240</v>
      </c>
      <c r="AU662" t="s">
        <v>310</v>
      </c>
      <c r="AV662">
        <v>2.4</v>
      </c>
    </row>
    <row r="663" spans="40:48" x14ac:dyDescent="0.25">
      <c r="AN663" t="s">
        <v>52</v>
      </c>
      <c r="AO663" t="s">
        <v>26</v>
      </c>
      <c r="AP663">
        <v>2006</v>
      </c>
      <c r="AQ663" t="s">
        <v>36</v>
      </c>
      <c r="AR663" t="s">
        <v>307</v>
      </c>
      <c r="AS663" t="s">
        <v>319</v>
      </c>
      <c r="AT663" t="s">
        <v>240</v>
      </c>
      <c r="AU663" t="s">
        <v>311</v>
      </c>
      <c r="AV663">
        <v>7.7</v>
      </c>
    </row>
    <row r="664" spans="40:48" x14ac:dyDescent="0.25">
      <c r="AN664" t="s">
        <v>52</v>
      </c>
      <c r="AO664" t="s">
        <v>26</v>
      </c>
      <c r="AP664">
        <v>2006</v>
      </c>
      <c r="AQ664" t="s">
        <v>36</v>
      </c>
      <c r="AR664" t="s">
        <v>307</v>
      </c>
      <c r="AS664" t="s">
        <v>319</v>
      </c>
      <c r="AT664" t="s">
        <v>240</v>
      </c>
      <c r="AU664" t="s">
        <v>268</v>
      </c>
      <c r="AV664">
        <v>10.1</v>
      </c>
    </row>
    <row r="665" spans="40:48" x14ac:dyDescent="0.25">
      <c r="AN665" t="s">
        <v>52</v>
      </c>
      <c r="AO665" t="s">
        <v>26</v>
      </c>
      <c r="AP665">
        <v>2006</v>
      </c>
      <c r="AQ665" t="s">
        <v>36</v>
      </c>
      <c r="AR665" t="s">
        <v>307</v>
      </c>
      <c r="AS665" t="s">
        <v>319</v>
      </c>
      <c r="AT665" t="s">
        <v>316</v>
      </c>
      <c r="AU665" t="s">
        <v>310</v>
      </c>
      <c r="AV665">
        <v>3.1</v>
      </c>
    </row>
    <row r="666" spans="40:48" x14ac:dyDescent="0.25">
      <c r="AN666" t="s">
        <v>52</v>
      </c>
      <c r="AO666" t="s">
        <v>26</v>
      </c>
      <c r="AP666">
        <v>2006</v>
      </c>
      <c r="AQ666" t="s">
        <v>36</v>
      </c>
      <c r="AR666" t="s">
        <v>307</v>
      </c>
      <c r="AS666" t="s">
        <v>319</v>
      </c>
      <c r="AT666" t="s">
        <v>316</v>
      </c>
      <c r="AU666" t="s">
        <v>311</v>
      </c>
      <c r="AV666">
        <v>8.75</v>
      </c>
    </row>
    <row r="667" spans="40:48" x14ac:dyDescent="0.25">
      <c r="AN667" t="s">
        <v>52</v>
      </c>
      <c r="AO667" t="s">
        <v>26</v>
      </c>
      <c r="AP667">
        <v>2006</v>
      </c>
      <c r="AQ667" t="s">
        <v>36</v>
      </c>
      <c r="AR667" t="s">
        <v>307</v>
      </c>
      <c r="AS667" t="s">
        <v>319</v>
      </c>
      <c r="AT667" t="s">
        <v>316</v>
      </c>
      <c r="AU667" t="s">
        <v>268</v>
      </c>
      <c r="AV667">
        <v>11.85</v>
      </c>
    </row>
    <row r="668" spans="40:48" x14ac:dyDescent="0.25">
      <c r="AN668" t="s">
        <v>52</v>
      </c>
      <c r="AO668" t="s">
        <v>26</v>
      </c>
      <c r="AP668">
        <v>2006</v>
      </c>
      <c r="AQ668" t="s">
        <v>36</v>
      </c>
      <c r="AR668" t="s">
        <v>307</v>
      </c>
      <c r="AS668" t="s">
        <v>319</v>
      </c>
      <c r="AT668" t="s">
        <v>242</v>
      </c>
      <c r="AU668" t="s">
        <v>310</v>
      </c>
      <c r="AV668">
        <v>0</v>
      </c>
    </row>
    <row r="669" spans="40:48" x14ac:dyDescent="0.25">
      <c r="AN669" t="s">
        <v>52</v>
      </c>
      <c r="AO669" t="s">
        <v>26</v>
      </c>
      <c r="AP669">
        <v>2006</v>
      </c>
      <c r="AQ669" t="s">
        <v>36</v>
      </c>
      <c r="AR669" t="s">
        <v>307</v>
      </c>
      <c r="AS669" t="s">
        <v>319</v>
      </c>
      <c r="AT669" t="s">
        <v>242</v>
      </c>
      <c r="AU669" t="s">
        <v>311</v>
      </c>
      <c r="AV669">
        <v>0</v>
      </c>
    </row>
    <row r="670" spans="40:48" x14ac:dyDescent="0.25">
      <c r="AN670" t="s">
        <v>52</v>
      </c>
      <c r="AO670" t="s">
        <v>26</v>
      </c>
      <c r="AP670">
        <v>2006</v>
      </c>
      <c r="AQ670" t="s">
        <v>36</v>
      </c>
      <c r="AR670" t="s">
        <v>307</v>
      </c>
      <c r="AS670" t="s">
        <v>319</v>
      </c>
      <c r="AT670" t="s">
        <v>242</v>
      </c>
      <c r="AU670" t="s">
        <v>268</v>
      </c>
      <c r="AV670">
        <v>0</v>
      </c>
    </row>
    <row r="671" spans="40:48" x14ac:dyDescent="0.25">
      <c r="AN671" t="s">
        <v>52</v>
      </c>
      <c r="AO671" t="s">
        <v>26</v>
      </c>
      <c r="AP671">
        <v>2006</v>
      </c>
      <c r="AQ671" t="s">
        <v>36</v>
      </c>
      <c r="AR671" t="s">
        <v>307</v>
      </c>
      <c r="AS671" t="s">
        <v>319</v>
      </c>
      <c r="AT671" t="s">
        <v>243</v>
      </c>
      <c r="AU671" t="s">
        <v>247</v>
      </c>
      <c r="AV671">
        <v>0</v>
      </c>
    </row>
    <row r="672" spans="40:48" x14ac:dyDescent="0.25">
      <c r="AN672" t="s">
        <v>52</v>
      </c>
      <c r="AO672" t="s">
        <v>26</v>
      </c>
      <c r="AP672">
        <v>2006</v>
      </c>
      <c r="AQ672" t="s">
        <v>36</v>
      </c>
      <c r="AR672" t="s">
        <v>307</v>
      </c>
      <c r="AS672" t="s">
        <v>319</v>
      </c>
      <c r="AT672" t="s">
        <v>243</v>
      </c>
      <c r="AU672" t="s">
        <v>248</v>
      </c>
      <c r="AV672">
        <v>0</v>
      </c>
    </row>
    <row r="673" spans="40:48" x14ac:dyDescent="0.25">
      <c r="AN673" t="s">
        <v>52</v>
      </c>
      <c r="AO673" t="s">
        <v>26</v>
      </c>
      <c r="AP673">
        <v>2006</v>
      </c>
      <c r="AQ673" t="s">
        <v>36</v>
      </c>
      <c r="AR673" t="s">
        <v>307</v>
      </c>
      <c r="AS673" t="s">
        <v>319</v>
      </c>
      <c r="AT673" t="s">
        <v>243</v>
      </c>
      <c r="AU673" t="s">
        <v>314</v>
      </c>
      <c r="AV673">
        <v>28.549999999999997</v>
      </c>
    </row>
  </sheetData>
  <dataConsolidate/>
  <mergeCells count="8">
    <mergeCell ref="AD2:AD8"/>
    <mergeCell ref="AD9:AD15"/>
    <mergeCell ref="M35:P35"/>
    <mergeCell ref="M36:N36"/>
    <mergeCell ref="O36:P36"/>
    <mergeCell ref="R35:U35"/>
    <mergeCell ref="R36:S36"/>
    <mergeCell ref="T36:U36"/>
  </mergeCells>
  <conditionalFormatting sqref="B2:B33">
    <cfRule type="expression" dxfId="249" priority="473">
      <formula>IF($C2="junior",$AB2=MAX(_xlfn._xlws.FILTER($AB$2:$AB$37,$C$2:$C$37="junior")),$AB2=MAX(_xlfn._xlws.FILTER($AB$2:$AB$37,$C$2:$C$37="senior")))</formula>
    </cfRule>
    <cfRule type="expression" dxfId="248" priority="474">
      <formula>IF($C2="junior",$AB2=LARGE(_xlfn._xlws.FILTER($AB$2:$AB$37,$C$2:$C$37="junior"),2),$AB2=LARGE(_xlfn._xlws.FILTER($AB$2:$AB$37,$C$2:$C$37="senior"),2))</formula>
    </cfRule>
    <cfRule type="expression" dxfId="247" priority="475">
      <formula>IF($C2="junior",$AB2=LARGE(_xlfn._xlws.FILTER($AB$2:$AB$37,$C$2:$C$37="junior"),3),$AB2=LARGE(_xlfn._xlws.FILTER($AB$2:$AB$37,$C$2:$C$37="senior"),3))</formula>
    </cfRule>
    <cfRule type="expression" dxfId="246" priority="476">
      <formula>IF($C2="junior",Z2=MAX(_xlfn._xlws.FILTER($Z$2:$Z$37,$C$2:$C$37="junior")),Z2=MAX(_xlfn._xlws.FILTER($Z$2:$Z$37,$C$2:$C$37="senior")))</formula>
    </cfRule>
    <cfRule type="expression" dxfId="245" priority="477">
      <formula>IF($C2="junior",$AA2=MAX(_xlfn._xlws.FILTER($AA$2:$AA$37,$C$2:$C$37="junior")),$AA2=MAX(_xlfn._xlws.FILTER($AA$2:$AA$37,$C$2:$C$37="junior")))</formula>
    </cfRule>
  </conditionalFormatting>
  <conditionalFormatting sqref="H2:H33 K2:K33 N2:N33 Q2:Q33 T2:T33 W2:W33">
    <cfRule type="expression" dxfId="244" priority="38">
      <formula>AND(AND($C2="junior",H2&lt;2.6),H2&gt;0)</formula>
    </cfRule>
    <cfRule type="expression" dxfId="243" priority="40">
      <formula>AND(AND($C2="senior",H2&lt;2.9),H2&gt;0)</formula>
    </cfRule>
  </conditionalFormatting>
  <conditionalFormatting sqref="H2:H33">
    <cfRule type="expression" dxfId="242" priority="26">
      <formula>IF($C2="junior",H2&gt;=$AF$10+$AG$10,H2&gt;=$AF$3+$AG$3)</formula>
    </cfRule>
  </conditionalFormatting>
  <conditionalFormatting sqref="H2:AB33">
    <cfRule type="cellIs" dxfId="241" priority="41" operator="equal">
      <formula>0</formula>
    </cfRule>
  </conditionalFormatting>
  <conditionalFormatting sqref="J2:J33">
    <cfRule type="expression" dxfId="240" priority="42">
      <formula>IF($C2="junior",J2=MAX(_xlfn._xlws.FILTER(J$2:J$37,$C$2:$C$37="junior")),J2=MAX(_xlfn._xlws.FILTER(J$2:J$37,$C$2:$C$37="senior")))</formula>
    </cfRule>
    <cfRule type="expression" dxfId="239" priority="366">
      <formula>IF($C2="junior",J2&gt;=$AJ$10+$AK$10,J2&gt;=$AJ$3+$AK$3)</formula>
    </cfRule>
  </conditionalFormatting>
  <conditionalFormatting sqref="K2:K33">
    <cfRule type="expression" dxfId="238" priority="22">
      <formula>IF($C2="junior",K2&gt;=$AF$13+$AG$13,K2&gt;=$AF$6+$AG$6)</formula>
    </cfRule>
  </conditionalFormatting>
  <conditionalFormatting sqref="M2:M33">
    <cfRule type="expression" dxfId="237" priority="514">
      <formula>IF($C2="junior",M2=MAX(_xlfn._xlws.FILTER(M$2:M$36,$C$2:$C$37="junior")),M2=MAX(_xlfn._xlws.FILTER(M$2:M$36,$C$2:$C$37="senior")))</formula>
    </cfRule>
    <cfRule type="expression" dxfId="236" priority="515">
      <formula>IF($C2="junior",M2&gt;=$AJ$13+$AK$13,M2&gt;=$AJ$6+$AK$6)</formula>
    </cfRule>
  </conditionalFormatting>
  <conditionalFormatting sqref="N2:N33">
    <cfRule type="expression" dxfId="235" priority="21">
      <formula>IF($C2="junior",N2&gt;=$AF$14+$AG$14,N2&gt;=$AF$7+$AG$7)</formula>
    </cfRule>
  </conditionalFormatting>
  <conditionalFormatting sqref="P2:P33">
    <cfRule type="expression" dxfId="234" priority="401">
      <formula>IF($C2="junior",P2=MAX(_xlfn._xlws.FILTER(P$2:P$37,$C$2:$C$37="junior")),P2=MAX(_xlfn._xlws.FILTER(P$2:P$37,$C$2:$C$37="senior")))</formula>
    </cfRule>
    <cfRule type="expression" dxfId="233" priority="402">
      <formula>IF($C2="junior",P2&gt;=$AJ$14+$AK$14,P2&gt;=$AJ$7+$AK$7)</formula>
    </cfRule>
  </conditionalFormatting>
  <conditionalFormatting sqref="Q2:Q33">
    <cfRule type="expression" dxfId="232" priority="20">
      <formula>IF($C2="junior",Q2&gt;=$AF$15+$AG$15,Q2&gt;=$AF$8+$AG$8)</formula>
    </cfRule>
  </conditionalFormatting>
  <conditionalFormatting sqref="S2:S33">
    <cfRule type="expression" dxfId="231" priority="419">
      <formula>IF($C2="junior",S2=MAX(_xlfn._xlws.FILTER(S$2:S$37,$C$2:$C$37="junior")),S2=MAX(_xlfn._xlws.FILTER(S$2:S$37,$C$2:$C$37="senior")))</formula>
    </cfRule>
    <cfRule type="expression" dxfId="230" priority="420">
      <formula>IF($C2="junior",S2&gt;=$AJ$15+$AK$15,S2&gt;=$AJ$8+$AK$8)</formula>
    </cfRule>
  </conditionalFormatting>
  <conditionalFormatting sqref="T2:T33">
    <cfRule type="expression" dxfId="229" priority="19">
      <formula>IF($C2="junior",T2&gt;=$AF$12+$AG$12,T2&gt;=$AF$5+$AG$5)</formula>
    </cfRule>
  </conditionalFormatting>
  <conditionalFormatting sqref="V2:V33">
    <cfRule type="expression" dxfId="228" priority="437">
      <formula>IF($C2="junior",V2=MAX(_xlfn._xlws.FILTER(V$2:V$37,$C$2:$C$37="junior")),V2=MAX(_xlfn._xlws.FILTER(V$2:V$37,$C$2:$C$37="senior")))</formula>
    </cfRule>
    <cfRule type="expression" dxfId="227" priority="438">
      <formula>IF($C2="junior",V2&gt;=$AJ$12+$AK$12,V2&gt;=$AJ$5+$AK$5)</formula>
    </cfRule>
  </conditionalFormatting>
  <conditionalFormatting sqref="W2:W33">
    <cfRule type="expression" dxfId="226" priority="18">
      <formula>IF($C2="junior",W2&gt;=$AF$11+$AG$11,W2&gt;=$AF$4+$AG$4)</formula>
    </cfRule>
  </conditionalFormatting>
  <conditionalFormatting sqref="Y2:Y33">
    <cfRule type="expression" dxfId="225" priority="455">
      <formula>IF($C2="junior",Y2=MAX(_xlfn._xlws.FILTER(Y$2:Y$37,$C$2:$C$37="junior")),Y2=MAX(_xlfn._xlws.FILTER(Y$2:Y$37,$C$2:$C$37="senior")))</formula>
    </cfRule>
    <cfRule type="expression" dxfId="224" priority="456">
      <formula>IF($C2="junior",Y2&gt;=$AJ$11+$AK$11,Y2&gt;=$AJ$4+$AK$4)</formula>
    </cfRule>
  </conditionalFormatting>
  <conditionalFormatting sqref="Z2:Z33">
    <cfRule type="expression" dxfId="223" priority="2">
      <formula>IF($C2="junior",Z2&gt;=$AF$9+$AG$9,Z2&gt;=$AF$2+$AG$2)</formula>
    </cfRule>
  </conditionalFormatting>
  <conditionalFormatting sqref="AA2:AA33">
    <cfRule type="expression" dxfId="222" priority="23">
      <formula>IF($C2="junior",AA2&gt;=$AH$9+$AI$9,AA2&gt;=$AH$2+$AI$2)</formula>
    </cfRule>
  </conditionalFormatting>
  <conditionalFormatting sqref="AB2:AB33">
    <cfRule type="expression" dxfId="221" priority="24">
      <formula>IF($C2="junior",AB2=MAX(_xlfn._xlws.FILTER(AB$2:AB$33,$C$2:$C$33="junior",$G$2:$G$33="Yes")),AB2=MAX(_xlfn._xlws.FILTER(AB$2:AB$33,$C$2:$C$33="senior",$G$2:$G$33="Yes")))</formula>
    </cfRule>
    <cfRule type="expression" dxfId="220" priority="25">
      <formula>IF($C2="junior",AB2&gt;=$AJ$9+$AK$9,AB2&gt;=$AJ$2+$AK$2)</formula>
    </cfRule>
  </conditionalFormatting>
  <pageMargins left="0.7" right="0.7" top="0.75" bottom="0.75" header="0.3" footer="0.3"/>
  <pageSetup paperSize="9" orientation="portrait" r:id="rId2"/>
  <drawing r:id="rId3"/>
  <tableParts count="3">
    <tablePart r:id="rId4"/>
    <tablePart r:id="rId5"/>
    <tablePart r:id="rId6"/>
  </tableParts>
  <extLst>
    <ext xmlns:x14="http://schemas.microsoft.com/office/spreadsheetml/2009/9/main" uri="{A8765BA9-456A-4dab-B4F3-ACF838C121DE}">
      <x14:slicerList>
        <x14:slicer r:id="rId7"/>
      </x14:slicerList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8ED06-2471-6745-8B18-820FCAFC026A}">
  <sheetPr codeName="Arkusz3">
    <tabColor theme="4" tint="0.39997558519241921"/>
  </sheetPr>
  <dimension ref="A1:AV778"/>
  <sheetViews>
    <sheetView topLeftCell="AB1" zoomScale="75" zoomScaleNormal="75" workbookViewId="0">
      <selection activeCell="AV1" sqref="AT1:AV1"/>
    </sheetView>
  </sheetViews>
  <sheetFormatPr defaultColWidth="11" defaultRowHeight="15.75" x14ac:dyDescent="0.25"/>
  <cols>
    <col min="1" max="1" width="8.5" style="2" customWidth="1"/>
    <col min="2" max="2" width="21.125" bestFit="1" customWidth="1"/>
    <col min="3" max="3" width="16.5" style="2" customWidth="1"/>
    <col min="4" max="4" width="15.125" style="2" bestFit="1" customWidth="1"/>
    <col min="5" max="5" width="15.875" style="2" customWidth="1"/>
    <col min="6" max="7" width="25.125" customWidth="1"/>
    <col min="8" max="8" width="18.625" style="3" bestFit="1" customWidth="1"/>
    <col min="9" max="9" width="17.125" style="3" bestFit="1" customWidth="1"/>
    <col min="10" max="10" width="21.75" style="3" bestFit="1" customWidth="1"/>
    <col min="11" max="11" width="7.625" style="3" customWidth="1"/>
    <col min="12" max="12" width="18.5" style="3" bestFit="1" customWidth="1"/>
    <col min="13" max="28" width="7.625" style="3" customWidth="1"/>
    <col min="30" max="30" width="22.625" bestFit="1" customWidth="1"/>
    <col min="31" max="31" width="14.5" bestFit="1" customWidth="1"/>
    <col min="32" max="32" width="17.625" bestFit="1" customWidth="1"/>
    <col min="33" max="33" width="17.5" bestFit="1" customWidth="1"/>
    <col min="34" max="34" width="6.125" bestFit="1" customWidth="1"/>
    <col min="35" max="35" width="14" bestFit="1" customWidth="1"/>
  </cols>
  <sheetData>
    <row r="1" spans="1:48" s="2" customFormat="1" x14ac:dyDescent="0.25">
      <c r="A1" s="4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243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N1" t="s">
        <v>1</v>
      </c>
      <c r="AO1" t="s">
        <v>2</v>
      </c>
      <c r="AP1" t="s">
        <v>3</v>
      </c>
      <c r="AQ1" t="s">
        <v>5</v>
      </c>
      <c r="AR1" t="s">
        <v>318</v>
      </c>
      <c r="AS1" t="s">
        <v>243</v>
      </c>
      <c r="AT1" t="s">
        <v>217</v>
      </c>
      <c r="AU1" t="s">
        <v>315</v>
      </c>
      <c r="AV1" t="s">
        <v>309</v>
      </c>
    </row>
    <row r="2" spans="1:48" x14ac:dyDescent="0.25">
      <c r="A2" s="2">
        <v>1</v>
      </c>
      <c r="B2" t="s">
        <v>59</v>
      </c>
      <c r="C2" s="2" t="s">
        <v>60</v>
      </c>
      <c r="D2" s="2">
        <v>2002</v>
      </c>
      <c r="E2" s="2" t="s">
        <v>61</v>
      </c>
      <c r="F2" t="s">
        <v>62</v>
      </c>
      <c r="G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" s="4">
        <v>5.3</v>
      </c>
      <c r="I2" s="8">
        <v>8.15</v>
      </c>
      <c r="J2" s="7">
        <v>13.45</v>
      </c>
      <c r="K2" s="5">
        <v>4.9000000000000004</v>
      </c>
      <c r="L2" s="8">
        <v>7.4</v>
      </c>
      <c r="M2" s="7">
        <v>12.3</v>
      </c>
      <c r="N2" s="5">
        <v>4.0999999999999996</v>
      </c>
      <c r="O2" s="8">
        <v>8.35</v>
      </c>
      <c r="P2" s="7">
        <v>12.45</v>
      </c>
      <c r="Q2" s="5">
        <v>4.4000000000000004</v>
      </c>
      <c r="R2" s="8">
        <v>9.1</v>
      </c>
      <c r="S2" s="7">
        <v>13.5</v>
      </c>
      <c r="T2" s="5">
        <v>5</v>
      </c>
      <c r="U2" s="8">
        <v>7.45</v>
      </c>
      <c r="V2" s="7">
        <v>12.45</v>
      </c>
      <c r="W2" s="5">
        <v>4.5999999999999996</v>
      </c>
      <c r="X2" s="8">
        <v>7.4</v>
      </c>
      <c r="Y2" s="7">
        <v>12</v>
      </c>
      <c r="Z2" s="4">
        <f>IF(Zabrze_result[[#This Row],[All Around]]="Yes",SUM(H2,K2,N2,Q2,T2,W2),0)</f>
        <v>28.299999999999997</v>
      </c>
      <c r="AA2" s="7">
        <f>IF(Zabrze_result[[#This Row],[All Around]]="Yes",SUM(I2,L2,O2,R2,U2,X2),0)</f>
        <v>47.85</v>
      </c>
      <c r="AB2" s="7">
        <f>SUM(J2,M2,P2,S2,V2,Y2)</f>
        <v>76.150000000000006</v>
      </c>
      <c r="AD2" s="41" t="s">
        <v>60</v>
      </c>
      <c r="AE2" s="20" t="s">
        <v>243</v>
      </c>
      <c r="AF2" s="21">
        <f>AVERAGEIFS(Zabrze_result[AA_Dscore],Zabrze_result[[Category]:[Category]],"senior",Zabrze_result[AA_Dscore],"&lt;&gt;0",Zabrze_result[All Around],"Yes")</f>
        <v>22.863636363636363</v>
      </c>
      <c r="AG2" s="21" cm="1">
        <f t="array" ref="AG2">_xlfn.STDEV.S(_xlfn._xlws.FILTER(Zabrze_result[AA_Dscore],(Zabrze_result[Category]="senior")*(Zabrze_result[All Around]="yes")))</f>
        <v>3.0133943410289863</v>
      </c>
      <c r="AH2" s="22">
        <f>AVERAGEIFS(Zabrze_result[AA_Escore],Zabrze_result[[Category]:[Category]],"senior",Zabrze_result[AA_Escore],"&lt;&gt;0",Zabrze_result[All Around],"Yes")</f>
        <v>47.522727272727273</v>
      </c>
      <c r="AI2" s="22" cm="1">
        <f t="array" ref="AI2">_xlfn.STDEV.S(_xlfn._xlws.FILTER(Zabrze_result[AA_Escore],(Zabrze_result[Category]="senior")*(Zabrze_result[All Around]="yes"),""))</f>
        <v>2.2749025953173954</v>
      </c>
      <c r="AJ2" s="22">
        <f>AVERAGEIFS(Zabrze_result[Total_Score],Zabrze_result[[Category]:[Category]],"senior",Zabrze_result[Total_Score],"&lt;&gt;0",Zabrze_result[All Around],"Yes")</f>
        <v>70.38636363636364</v>
      </c>
      <c r="AK2" s="22" cm="1">
        <f t="array" ref="AK2">_xlfn.STDEV.S(_xlfn._xlws.FILTER(Zabrze_result[Total_Score],(Zabrze_result[Category]="senior")*(Zabrze_result[All Around]="yes")))</f>
        <v>3.1466721237754438</v>
      </c>
      <c r="AL2" s="22" cm="1">
        <f t="array" ref="AL2">MAX(_xlfn._xlws.FILTER(Zabrze_result[Total_Score],Zabrze_result[Category]="senior"))</f>
        <v>76.150000000000006</v>
      </c>
      <c r="AN2" t="s">
        <v>59</v>
      </c>
      <c r="AO2" t="s">
        <v>60</v>
      </c>
      <c r="AP2">
        <v>2002</v>
      </c>
      <c r="AQ2" t="s">
        <v>62</v>
      </c>
      <c r="AR2" t="s">
        <v>335</v>
      </c>
      <c r="AS2" t="s">
        <v>306</v>
      </c>
      <c r="AT2" t="s">
        <v>218</v>
      </c>
      <c r="AU2" t="s">
        <v>310</v>
      </c>
      <c r="AV2">
        <v>5.3</v>
      </c>
    </row>
    <row r="3" spans="1:48" x14ac:dyDescent="0.25">
      <c r="A3" s="2">
        <v>2</v>
      </c>
      <c r="B3" t="s">
        <v>63</v>
      </c>
      <c r="C3" s="2" t="s">
        <v>60</v>
      </c>
      <c r="D3" s="2">
        <v>1997</v>
      </c>
      <c r="E3" s="2" t="s">
        <v>64</v>
      </c>
      <c r="F3" t="s">
        <v>39</v>
      </c>
      <c r="G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" s="5">
        <v>6</v>
      </c>
      <c r="I3" s="8">
        <v>6.6</v>
      </c>
      <c r="J3" s="8">
        <v>12.6</v>
      </c>
      <c r="K3" s="5">
        <v>4.5999999999999996</v>
      </c>
      <c r="L3" s="8">
        <v>6.4</v>
      </c>
      <c r="M3" s="8">
        <v>11</v>
      </c>
      <c r="N3" s="5">
        <v>3.9</v>
      </c>
      <c r="O3" s="8">
        <v>8.1</v>
      </c>
      <c r="P3" s="8">
        <v>12</v>
      </c>
      <c r="Q3" s="5">
        <v>5.2</v>
      </c>
      <c r="R3" s="8">
        <v>9.6</v>
      </c>
      <c r="S3" s="8">
        <v>14.8</v>
      </c>
      <c r="T3" s="5">
        <v>4.2</v>
      </c>
      <c r="U3" s="8">
        <v>8.1999999999999993</v>
      </c>
      <c r="V3" s="8">
        <v>12.4</v>
      </c>
      <c r="W3" s="5">
        <v>4.4000000000000004</v>
      </c>
      <c r="X3" s="8">
        <v>6.8</v>
      </c>
      <c r="Y3" s="8">
        <v>11.2</v>
      </c>
      <c r="Z3" s="4">
        <f>IF(Zabrze_result[[#This Row],[All Around]]="Yes",SUM(H3,K3,N3,Q3,T3,W3),0)</f>
        <v>28.299999999999997</v>
      </c>
      <c r="AA3" s="7">
        <f>IF(Zabrze_result[[#This Row],[All Around]]="Yes",SUM(I3,L3,O3,R3,U3,X3),0)</f>
        <v>45.7</v>
      </c>
      <c r="AB3" s="7">
        <f t="shared" ref="AB3:AB38" si="0">SUM(J3,M3,P3,S3,V3,Y3)</f>
        <v>74</v>
      </c>
      <c r="AD3" s="42"/>
      <c r="AE3" s="20" t="s">
        <v>218</v>
      </c>
      <c r="AF3" s="21">
        <f>AVERAGEIFS(Zabrze_result[FX_Dscore],Zabrze_result[[Category]:[Category]],"senior",Zabrze_result[FX_Dscore],"&lt;&gt;0")</f>
        <v>4.2333333333333325</v>
      </c>
      <c r="AG3" s="21" cm="1">
        <f t="array" ref="AG3">_xlfn.STDEV.S(_xlfn._xlws.FILTER(Zabrze_result[FX_Dscore],(Zabrze_result[Category]="senior")*(Zabrze_result[FX_Dscore]&gt;0)))</f>
        <v>0.67475485744606734</v>
      </c>
      <c r="AH3" s="22">
        <f>AVERAGEIFS(Zabrze_result[FX_Escore],Zabrze_result[[Category]:[Category]],"senior",Zabrze_result[FX_Escore],"&lt;&gt;0")</f>
        <v>7.6055555555555561</v>
      </c>
      <c r="AI3" s="22" cm="1">
        <f t="array" ref="AI3">_xlfn.STDEV.S(_xlfn._xlws.FILTER(Zabrze_result[FX_Escore],(Zabrze_result[Category]="senior")*(Zabrze_result[FX_Escore]&gt;0)))</f>
        <v>0.88731069047876676</v>
      </c>
      <c r="AJ3" s="22">
        <f>AVERAGEIFS(Zabrze_result[FX_total_score],Zabrze_result[[Category]:[Category]],"senior",Zabrze_result[FX_total_score],"&lt;&gt;0")</f>
        <v>11.838888888888887</v>
      </c>
      <c r="AK3" s="22" cm="1">
        <f t="array" ref="AK3">_xlfn.STDEV.S(_xlfn._xlws.FILTER(Zabrze_result[FX_total_score],(Zabrze_result[Category]="senior")*(Zabrze_result[FX_total_score]&gt;0)))</f>
        <v>0.91964755965909473</v>
      </c>
      <c r="AL3" s="22" cm="1">
        <f t="array" ref="AL3">MAX(_xlfn._xlws.FILTER(Zabrze_result[FX_total_score],Zabrze_result[Category]="senior"))</f>
        <v>13.45</v>
      </c>
      <c r="AN3" t="s">
        <v>59</v>
      </c>
      <c r="AO3" t="s">
        <v>60</v>
      </c>
      <c r="AP3">
        <v>2002</v>
      </c>
      <c r="AQ3" t="s">
        <v>62</v>
      </c>
      <c r="AR3" t="s">
        <v>335</v>
      </c>
      <c r="AS3" t="s">
        <v>306</v>
      </c>
      <c r="AT3" t="s">
        <v>218</v>
      </c>
      <c r="AU3" t="s">
        <v>311</v>
      </c>
      <c r="AV3">
        <v>8.15</v>
      </c>
    </row>
    <row r="4" spans="1:48" x14ac:dyDescent="0.25">
      <c r="A4" s="2">
        <v>3</v>
      </c>
      <c r="B4" t="s">
        <v>65</v>
      </c>
      <c r="C4" s="2" t="s">
        <v>60</v>
      </c>
      <c r="D4" s="2">
        <v>2001</v>
      </c>
      <c r="E4" s="2" t="s">
        <v>66</v>
      </c>
      <c r="F4" t="s">
        <v>67</v>
      </c>
      <c r="G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4" s="5">
        <v>3.8</v>
      </c>
      <c r="I4" s="8">
        <v>8.4</v>
      </c>
      <c r="J4" s="8">
        <v>12.2</v>
      </c>
      <c r="K4" s="5">
        <v>3</v>
      </c>
      <c r="L4" s="8">
        <v>8.4</v>
      </c>
      <c r="M4" s="8">
        <v>11.4</v>
      </c>
      <c r="N4" s="5">
        <v>3.9</v>
      </c>
      <c r="O4" s="8">
        <v>8.4</v>
      </c>
      <c r="P4" s="8">
        <v>12.3</v>
      </c>
      <c r="Q4" s="5">
        <v>4</v>
      </c>
      <c r="R4" s="8">
        <v>9.1</v>
      </c>
      <c r="S4" s="8">
        <v>13.1</v>
      </c>
      <c r="T4" s="5">
        <v>3</v>
      </c>
      <c r="U4" s="8">
        <v>9.35</v>
      </c>
      <c r="V4" s="8">
        <v>12.35</v>
      </c>
      <c r="W4" s="5">
        <v>3.6</v>
      </c>
      <c r="X4" s="8">
        <v>7.1</v>
      </c>
      <c r="Y4" s="8">
        <v>10.7</v>
      </c>
      <c r="Z4" s="4">
        <f>IF(Zabrze_result[[#This Row],[All Around]]="Yes",SUM(H4,K4,N4,Q4,T4,W4),0)</f>
        <v>21.3</v>
      </c>
      <c r="AA4" s="7">
        <f>IF(Zabrze_result[[#This Row],[All Around]]="Yes",SUM(I4,L4,O4,R4,U4,X4),0)</f>
        <v>50.750000000000007</v>
      </c>
      <c r="AB4" s="7">
        <f t="shared" si="0"/>
        <v>72.050000000000011</v>
      </c>
      <c r="AD4" s="42"/>
      <c r="AE4" s="20" t="s">
        <v>242</v>
      </c>
      <c r="AF4" s="21">
        <f>AVERAGEIFS(Zabrze_result[HB_Dscore],Zabrze_result[[Category]:[Category]],"senior",Zabrze_result[HB_Dscore],"&lt;&gt;0")</f>
        <v>2.976923076923077</v>
      </c>
      <c r="AG4" s="21" cm="1">
        <f t="array" ref="AG4">_xlfn.STDEV.S(_xlfn._xlws.FILTER(Zabrze_result[HB_Dscore],(Zabrze_result[Category]="senior")*(Zabrze_result[HB_Dscore]&gt;0)))</f>
        <v>0.87001326249838074</v>
      </c>
      <c r="AH4" s="22">
        <f>AVERAGEIFS(Zabrze_result[HB_Escore],Zabrze_result[[Category]:[Category]],"senior",Zabrze_result[HB_Escore],"&lt;&gt;0")</f>
        <v>7.3884615384615397</v>
      </c>
      <c r="AI4" s="22" cm="1">
        <f t="array" ref="AI4">_xlfn.STDEV.S(_xlfn._xlws.FILTER(Zabrze_result[HB_Escore],(Zabrze_result[Category]="senior")*(Zabrze_result[HB_Escore]&gt;0)))</f>
        <v>0.78186578296027864</v>
      </c>
      <c r="AJ4" s="22">
        <f>AVERAGEIFS(Zabrze_result[HB_total_score],Zabrze_result[[Category]:[Category]],"senior",Zabrze_result[HB_total_score],"&lt;&gt;0")</f>
        <v>10.365384615384613</v>
      </c>
      <c r="AK4" s="22" cm="1">
        <f t="array" ref="AK4">_xlfn.STDEV.S(_xlfn._xlws.FILTER(Zabrze_result[HB_total_score],(Zabrze_result[Category]="senior")*(Zabrze_result[HB_total_score]&gt;0)))</f>
        <v>1.2224266534549073</v>
      </c>
      <c r="AL4" s="22" cm="1">
        <f t="array" ref="AL4">MAX(_xlfn._xlws.FILTER(Zabrze_result[HB_total_score],Zabrze_result[Category]="senior"))</f>
        <v>12</v>
      </c>
      <c r="AN4" t="s">
        <v>59</v>
      </c>
      <c r="AO4" t="s">
        <v>60</v>
      </c>
      <c r="AP4">
        <v>2002</v>
      </c>
      <c r="AQ4" t="s">
        <v>62</v>
      </c>
      <c r="AR4" t="s">
        <v>335</v>
      </c>
      <c r="AS4" t="s">
        <v>306</v>
      </c>
      <c r="AT4" t="s">
        <v>218</v>
      </c>
      <c r="AU4" t="s">
        <v>268</v>
      </c>
      <c r="AV4">
        <v>13.45</v>
      </c>
    </row>
    <row r="5" spans="1:48" x14ac:dyDescent="0.25">
      <c r="A5" s="2">
        <v>4</v>
      </c>
      <c r="B5" t="s">
        <v>68</v>
      </c>
      <c r="C5" s="2" t="s">
        <v>60</v>
      </c>
      <c r="D5" s="2">
        <v>2004</v>
      </c>
      <c r="E5" s="2" t="s">
        <v>69</v>
      </c>
      <c r="F5" t="s">
        <v>31</v>
      </c>
      <c r="G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5" s="5">
        <v>4.2</v>
      </c>
      <c r="I5" s="8">
        <v>8.35</v>
      </c>
      <c r="J5" s="8">
        <v>12.55</v>
      </c>
      <c r="K5" s="5">
        <v>3.8</v>
      </c>
      <c r="L5" s="8">
        <v>7.75</v>
      </c>
      <c r="M5" s="8">
        <v>11.55</v>
      </c>
      <c r="N5" s="5">
        <v>3.8</v>
      </c>
      <c r="O5" s="8">
        <v>7.7</v>
      </c>
      <c r="P5" s="8">
        <v>11.5</v>
      </c>
      <c r="Q5" s="5">
        <v>4</v>
      </c>
      <c r="R5" s="8">
        <v>9.6</v>
      </c>
      <c r="S5" s="8">
        <v>13.6</v>
      </c>
      <c r="T5" s="5">
        <v>3.5</v>
      </c>
      <c r="U5" s="8">
        <v>8.6999999999999993</v>
      </c>
      <c r="V5" s="8">
        <v>12.2</v>
      </c>
      <c r="W5" s="5">
        <v>2.2000000000000002</v>
      </c>
      <c r="X5" s="8">
        <v>7.85</v>
      </c>
      <c r="Y5" s="8">
        <v>10.050000000000001</v>
      </c>
      <c r="Z5" s="4">
        <f>IF(Zabrze_result[[#This Row],[All Around]]="Yes",SUM(H5,K5,N5,Q5,T5,W5),0)</f>
        <v>21.5</v>
      </c>
      <c r="AA5" s="7">
        <f>IF(Zabrze_result[[#This Row],[All Around]]="Yes",SUM(I5,L5,O5,R5,U5,X5),0)</f>
        <v>49.949999999999996</v>
      </c>
      <c r="AB5" s="7">
        <f t="shared" si="0"/>
        <v>71.45</v>
      </c>
      <c r="AD5" s="42"/>
      <c r="AE5" s="20" t="s">
        <v>241</v>
      </c>
      <c r="AF5" s="21">
        <f>AVERAGEIFS(Zabrze_result[PB_Dscore],Zabrze_result[[Category]:[Category]],"senior",Zabrze_result[PB_Dscore],"&lt;&gt;0")</f>
        <v>3.5117647058823529</v>
      </c>
      <c r="AG5" s="21" cm="1">
        <f t="array" ref="AG5">_xlfn.STDEV.S(_xlfn._xlws.FILTER(Zabrze_result[PB_Dscore],(Zabrze_result[Category]="senior")*(Zabrze_result[PB_Dscore]&gt;0)))</f>
        <v>0.73474685516609961</v>
      </c>
      <c r="AH5" s="22">
        <f>AVERAGEIFS(Zabrze_result[PB_Escore],Zabrze_result[[Category]:[Category]],"senior",Zabrze_result[PB_Escore],"&lt;&gt;0")</f>
        <v>8.147058823529413</v>
      </c>
      <c r="AI5" s="22" cm="1">
        <f t="array" ref="AI5">_xlfn.STDEV.S(_xlfn._xlws.FILTER(Zabrze_result[PB_Escore],(Zabrze_result[Category]="senior")*(Zabrze_result[PB_Escore]&gt;0)))</f>
        <v>0.69786965747446661</v>
      </c>
      <c r="AJ5" s="22">
        <f>AVERAGEIFS(Zabrze_result[PB_total_score],Zabrze_result[[Category]:[Category]],"senior",Zabrze_result[PB_total_score],"&lt;&gt;0")</f>
        <v>11.658823529411762</v>
      </c>
      <c r="AK5" s="22" cm="1">
        <f t="array" ref="AK5">_xlfn.STDEV.S(_xlfn._xlws.FILTER(Zabrze_result[PB_total_score],(Zabrze_result[Category]="senior")*(Zabrze_result[PB_total_score]&gt;0)))</f>
        <v>0.82957731973081617</v>
      </c>
      <c r="AL5" s="22" cm="1">
        <f t="array" ref="AL5">MAX(_xlfn._xlws.FILTER(Zabrze_result[PB_total_score],Zabrze_result[Category]="senior"))</f>
        <v>12.55</v>
      </c>
      <c r="AN5" t="s">
        <v>59</v>
      </c>
      <c r="AO5" t="s">
        <v>60</v>
      </c>
      <c r="AP5">
        <v>2002</v>
      </c>
      <c r="AQ5" t="s">
        <v>62</v>
      </c>
      <c r="AR5" t="s">
        <v>335</v>
      </c>
      <c r="AS5" t="s">
        <v>306</v>
      </c>
      <c r="AT5" t="s">
        <v>238</v>
      </c>
      <c r="AU5" t="s">
        <v>310</v>
      </c>
      <c r="AV5">
        <v>4.9000000000000004</v>
      </c>
    </row>
    <row r="6" spans="1:48" x14ac:dyDescent="0.25">
      <c r="A6" s="2">
        <v>5</v>
      </c>
      <c r="B6" t="s">
        <v>70</v>
      </c>
      <c r="C6" s="2" t="s">
        <v>60</v>
      </c>
      <c r="D6" s="2">
        <v>2001</v>
      </c>
      <c r="E6" s="2" t="s">
        <v>71</v>
      </c>
      <c r="F6" t="s">
        <v>72</v>
      </c>
      <c r="G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6" s="5">
        <v>5</v>
      </c>
      <c r="I6" s="8">
        <v>6.8</v>
      </c>
      <c r="J6" s="8">
        <v>11.8</v>
      </c>
      <c r="K6" s="5">
        <v>3.3</v>
      </c>
      <c r="L6" s="8">
        <v>6</v>
      </c>
      <c r="M6" s="8">
        <v>9.3000000000000007</v>
      </c>
      <c r="N6" s="5">
        <v>4.0999999999999996</v>
      </c>
      <c r="O6" s="8">
        <v>7.6</v>
      </c>
      <c r="P6" s="8">
        <v>11.7</v>
      </c>
      <c r="Q6" s="5">
        <v>5.2</v>
      </c>
      <c r="R6" s="8">
        <v>8.25</v>
      </c>
      <c r="S6" s="8">
        <v>13.45</v>
      </c>
      <c r="T6" s="5">
        <v>4.3</v>
      </c>
      <c r="U6" s="8">
        <v>8.1999999999999993</v>
      </c>
      <c r="V6" s="8">
        <v>12.5</v>
      </c>
      <c r="W6" s="5">
        <v>3.7</v>
      </c>
      <c r="X6" s="8">
        <v>7.95</v>
      </c>
      <c r="Y6" s="8">
        <v>11.65</v>
      </c>
      <c r="Z6" s="4">
        <f>IF(Zabrze_result[[#This Row],[All Around]]="Yes",SUM(H6,K6,N6,Q6,T6,W6),0)</f>
        <v>25.6</v>
      </c>
      <c r="AA6" s="7">
        <f>IF(Zabrze_result[[#This Row],[All Around]]="Yes",SUM(I6,L6,O6,R6,U6,X6),0)</f>
        <v>44.8</v>
      </c>
      <c r="AB6" s="7">
        <f t="shared" si="0"/>
        <v>70.400000000000006</v>
      </c>
      <c r="AD6" s="42"/>
      <c r="AE6" s="20" t="s">
        <v>238</v>
      </c>
      <c r="AF6" s="21">
        <f>AVERAGEIFS(Zabrze_result[PH_Dscore],Zabrze_result[[Category]:[Category]],"senior",Zabrze_result[PH_Dscore],"&lt;&gt;0")</f>
        <v>3.6277777777777782</v>
      </c>
      <c r="AG6" s="21" cm="1">
        <f t="array" ref="AG6">_xlfn.STDEV.S(_xlfn._xlws.FILTER(Zabrze_result[PH_Dscore],(Zabrze_result[Category]="senior")*(Zabrze_result[PH_Dscore]&gt;0)))</f>
        <v>0.66226487997011196</v>
      </c>
      <c r="AH6" s="22">
        <f>AVERAGEIFS(Zabrze_result[PH_Escore],Zabrze_result[[Category]:[Category]],"senior",Zabrze_result[PH_Escore],"&lt;&gt;0")</f>
        <v>6.973529411764706</v>
      </c>
      <c r="AI6" s="22" cm="1">
        <f t="array" ref="AI6">_xlfn.STDEV.S(_xlfn._xlws.FILTER(Zabrze_result[PH_Escore],(Zabrze_result[Category]="senior")*(Zabrze_result[PH_Escore]&gt;0)))</f>
        <v>1.0658209346348413</v>
      </c>
      <c r="AJ6" s="22">
        <f>AVERAGEIFS(Zabrze_result[PH_Total_Score],Zabrze_result[[Category]:[Category]],"senior",Zabrze_result[PH_Total_Score],"&lt;&gt;0")</f>
        <v>10.21388888888889</v>
      </c>
      <c r="AK6" s="22" cm="1">
        <f t="array" ref="AK6">_xlfn.STDEV.S(_xlfn._xlws.FILTER(Zabrze_result[PH_Total_Score],(Zabrze_result[Category]="senior")*(Zabrze_result[PH_Total_Score]&gt;0)))</f>
        <v>2.3036292054798757</v>
      </c>
      <c r="AL6" s="22" cm="1">
        <f t="array" ref="AL6">MAX(_xlfn._xlws.FILTER(Zabrze_result[PH_Total_Score],Zabrze_result[Category]="senior"))</f>
        <v>12.45</v>
      </c>
      <c r="AN6" t="s">
        <v>59</v>
      </c>
      <c r="AO6" t="s">
        <v>60</v>
      </c>
      <c r="AP6">
        <v>2002</v>
      </c>
      <c r="AQ6" t="s">
        <v>62</v>
      </c>
      <c r="AR6" t="s">
        <v>335</v>
      </c>
      <c r="AS6" t="s">
        <v>306</v>
      </c>
      <c r="AT6" t="s">
        <v>238</v>
      </c>
      <c r="AU6" t="s">
        <v>311</v>
      </c>
      <c r="AV6">
        <v>7.4</v>
      </c>
    </row>
    <row r="7" spans="1:48" x14ac:dyDescent="0.25">
      <c r="A7" s="2">
        <v>6</v>
      </c>
      <c r="B7" t="s">
        <v>73</v>
      </c>
      <c r="C7" s="2" t="s">
        <v>60</v>
      </c>
      <c r="D7" s="2">
        <v>2001</v>
      </c>
      <c r="E7" s="2" t="s">
        <v>74</v>
      </c>
      <c r="F7" t="s">
        <v>62</v>
      </c>
      <c r="G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7" s="5">
        <v>4.7</v>
      </c>
      <c r="I7" s="8">
        <v>8.6999999999999993</v>
      </c>
      <c r="J7" s="8">
        <v>13.4</v>
      </c>
      <c r="K7" s="5">
        <v>3</v>
      </c>
      <c r="L7" s="8">
        <v>7.5</v>
      </c>
      <c r="M7" s="8">
        <v>10.5</v>
      </c>
      <c r="N7" s="5">
        <v>2.5</v>
      </c>
      <c r="O7" s="8">
        <v>8.15</v>
      </c>
      <c r="P7" s="8">
        <v>10.65</v>
      </c>
      <c r="Q7" s="5">
        <v>4</v>
      </c>
      <c r="R7" s="8">
        <v>9.1</v>
      </c>
      <c r="S7" s="8">
        <v>13.1</v>
      </c>
      <c r="T7" s="5">
        <v>4.0999999999999996</v>
      </c>
      <c r="U7" s="8">
        <v>7.9</v>
      </c>
      <c r="V7" s="8">
        <v>12</v>
      </c>
      <c r="W7" s="5">
        <v>2.7</v>
      </c>
      <c r="X7" s="8">
        <v>7.55</v>
      </c>
      <c r="Y7" s="8">
        <v>10.25</v>
      </c>
      <c r="Z7" s="4">
        <f>IF(Zabrze_result[[#This Row],[All Around]]="Yes",SUM(H7,K7,N7,Q7,T7,W7),0)</f>
        <v>20.999999999999996</v>
      </c>
      <c r="AA7" s="7">
        <f>IF(Zabrze_result[[#This Row],[All Around]]="Yes",SUM(I7,L7,O7,R7,U7,X7),0)</f>
        <v>48.9</v>
      </c>
      <c r="AB7" s="7">
        <f t="shared" si="0"/>
        <v>69.900000000000006</v>
      </c>
      <c r="AD7" s="42"/>
      <c r="AE7" s="20" t="s">
        <v>239</v>
      </c>
      <c r="AF7" s="21">
        <f>AVERAGEIFS(Zabrze_result[SR_Dscore],Zabrze_result[[Category]:[Category]],"senior",Zabrze_result[SR_Dscore],"&lt;&gt;0")</f>
        <v>3.5263157894736836</v>
      </c>
      <c r="AG7" s="21" cm="1">
        <f t="array" ref="AG7">_xlfn.STDEV.S(_xlfn._xlws.FILTER(Zabrze_result[SR_Dscore],(Zabrze_result[Category]="senior")*(Zabrze_result[SR_Dscore]&gt;0)))</f>
        <v>0.62613639378791497</v>
      </c>
      <c r="AH7" s="22">
        <f>AVERAGEIFS(Zabrze_result[SR_Escore],Zabrze_result[[Category]:[Category]],"senior",Zabrze_result[SR_Escore],"&lt;&gt;0")</f>
        <v>7.1684210526315786</v>
      </c>
      <c r="AI7" s="22" cm="1">
        <f t="array" ref="AI7">_xlfn.STDEV.S(_xlfn._xlws.FILTER(Zabrze_result[SR_Escore],(Zabrze_result[Category]="senior")*(Zabrze_result[SR_Escore]&gt;0)))</f>
        <v>1.7915860854992114</v>
      </c>
      <c r="AJ7" s="22">
        <f>AVERAGEIFS(Zabrze_result[SR_Total_Score],Zabrze_result[[Category]:[Category]],"senior",Zabrze_result[SR_Total_Score],"&lt;&gt;0")</f>
        <v>10.694736842105263</v>
      </c>
      <c r="AK7" s="22" cm="1">
        <f t="array" ref="AK7">_xlfn.STDEV.S(_xlfn._xlws.FILTER(Zabrze_result[SR_Total_Score],(Zabrze_result[Category]="senior")*(Zabrze_result[SR_Total_Score]&gt;0)))</f>
        <v>2.2313980879485746</v>
      </c>
      <c r="AL7" s="22" cm="1">
        <f t="array" ref="AL7">MAX(_xlfn._xlws.FILTER(Zabrze_result[SR_Total_Score],Zabrze_result[Category]="senior"))</f>
        <v>12.7</v>
      </c>
      <c r="AN7" t="s">
        <v>59</v>
      </c>
      <c r="AO7" t="s">
        <v>60</v>
      </c>
      <c r="AP7">
        <v>2002</v>
      </c>
      <c r="AQ7" t="s">
        <v>62</v>
      </c>
      <c r="AR7" t="s">
        <v>335</v>
      </c>
      <c r="AS7" t="s">
        <v>306</v>
      </c>
      <c r="AT7" t="s">
        <v>238</v>
      </c>
      <c r="AU7" t="s">
        <v>268</v>
      </c>
      <c r="AV7">
        <v>12.3</v>
      </c>
    </row>
    <row r="8" spans="1:48" x14ac:dyDescent="0.25">
      <c r="A8" s="2">
        <v>7</v>
      </c>
      <c r="B8" t="s">
        <v>75</v>
      </c>
      <c r="C8" s="2" t="s">
        <v>60</v>
      </c>
      <c r="D8" s="2">
        <v>2003</v>
      </c>
      <c r="E8" s="2" t="s">
        <v>76</v>
      </c>
      <c r="F8" t="s">
        <v>28</v>
      </c>
      <c r="G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8" s="5">
        <v>3.8</v>
      </c>
      <c r="I8" s="8">
        <v>7.3</v>
      </c>
      <c r="J8" s="8">
        <v>11.1</v>
      </c>
      <c r="K8" s="5">
        <v>4.2</v>
      </c>
      <c r="L8" s="8">
        <v>8.25</v>
      </c>
      <c r="M8" s="8">
        <v>12.45</v>
      </c>
      <c r="N8" s="5">
        <v>3.8</v>
      </c>
      <c r="O8" s="8">
        <v>7.8</v>
      </c>
      <c r="P8" s="8">
        <v>11.6</v>
      </c>
      <c r="Q8" s="5">
        <v>3.2</v>
      </c>
      <c r="R8" s="8">
        <v>9.4499999999999993</v>
      </c>
      <c r="S8" s="8">
        <v>12.65</v>
      </c>
      <c r="T8" s="5">
        <v>3.5</v>
      </c>
      <c r="U8" s="8">
        <v>8.0500000000000007</v>
      </c>
      <c r="V8" s="8">
        <v>11.55</v>
      </c>
      <c r="W8" s="5">
        <v>2.2000000000000002</v>
      </c>
      <c r="X8" s="8">
        <v>8.1</v>
      </c>
      <c r="Y8" s="8">
        <v>10.3</v>
      </c>
      <c r="Z8" s="4">
        <f>IF(Zabrze_result[[#This Row],[All Around]]="Yes",SUM(H8,K8,N8,Q8,T8,W8),0)</f>
        <v>20.7</v>
      </c>
      <c r="AA8" s="7">
        <f>IF(Zabrze_result[[#This Row],[All Around]]="Yes",SUM(I8,L8,O8,R8,U8,X8),0)</f>
        <v>48.949999999999996</v>
      </c>
      <c r="AB8" s="7">
        <f t="shared" si="0"/>
        <v>69.649999999999991</v>
      </c>
      <c r="AD8" s="43"/>
      <c r="AE8" s="20" t="s">
        <v>240</v>
      </c>
      <c r="AF8" s="21">
        <f>AVERAGEIFS(Zabrze_result[VT_Dscore],Zabrze_result[[Category]:[Category]],"senior",Zabrze_result[VT_Dscore],"&lt;&gt;0")</f>
        <v>3.835294117647059</v>
      </c>
      <c r="AG8" s="21" cm="1">
        <f t="array" ref="AG8">_xlfn.STDEV.S(_xlfn._xlws.FILTER(Zabrze_result[VT_Dscore],(Zabrze_result[Category]="senior")*(Zabrze_result[VT_Dscore]&gt;0)))</f>
        <v>0.67909975010173473</v>
      </c>
      <c r="AH8" s="22">
        <f>AVERAGEIFS(Zabrze_result[VT_Escore],Zabrze_result[[Category]:[Category]],"senior",Zabrze_result[VT_Escore],"&lt;&gt;0")</f>
        <v>9.0264705882352967</v>
      </c>
      <c r="AI8" s="22" cm="1">
        <f t="array" ref="AI8">_xlfn.STDEV.S(_xlfn._xlws.FILTER(Zabrze_result[VT_Escore],(Zabrze_result[Category]="senior")*(Zabrze_result[VT_Escore]&gt;0)))</f>
        <v>0.43269419305773249</v>
      </c>
      <c r="AJ8" s="22">
        <f>AVERAGEIFS(Zabrze_result[VT_total_score],Zabrze_result[[Category]:[Category]],"senior",Zabrze_result[VT_total_score],"&lt;&gt;0")</f>
        <v>12.861764705882351</v>
      </c>
      <c r="AK8" s="22" cm="1">
        <f t="array" ref="AK8">_xlfn.STDEV.S(_xlfn._xlws.FILTER(Zabrze_result[VT_total_score],(Zabrze_result[Category]="senior")*(Zabrze_result[VT_total_score]&gt;0)))</f>
        <v>0.74341471681455884</v>
      </c>
      <c r="AL8" s="22" cm="1">
        <f t="array" ref="AL8">MAX(_xlfn._xlws.FILTER(Zabrze_result[VT_total_score],Zabrze_result[Category]="senior"))</f>
        <v>14.8</v>
      </c>
      <c r="AN8" t="s">
        <v>59</v>
      </c>
      <c r="AO8" t="s">
        <v>60</v>
      </c>
      <c r="AP8">
        <v>2002</v>
      </c>
      <c r="AQ8" t="s">
        <v>62</v>
      </c>
      <c r="AR8" t="s">
        <v>335</v>
      </c>
      <c r="AS8" t="s">
        <v>306</v>
      </c>
      <c r="AT8" t="s">
        <v>239</v>
      </c>
      <c r="AU8" t="s">
        <v>310</v>
      </c>
      <c r="AV8">
        <v>4.0999999999999996</v>
      </c>
    </row>
    <row r="9" spans="1:48" x14ac:dyDescent="0.25">
      <c r="A9" s="2">
        <v>8</v>
      </c>
      <c r="B9" t="s">
        <v>77</v>
      </c>
      <c r="C9" s="2" t="s">
        <v>60</v>
      </c>
      <c r="D9" s="2">
        <v>2002</v>
      </c>
      <c r="E9" s="2" t="s">
        <v>78</v>
      </c>
      <c r="F9" t="s">
        <v>79</v>
      </c>
      <c r="G9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9" s="5">
        <v>3.9</v>
      </c>
      <c r="I9" s="8">
        <v>7.85</v>
      </c>
      <c r="J9" s="8">
        <v>11.75</v>
      </c>
      <c r="K9" s="5">
        <v>3.8</v>
      </c>
      <c r="L9" s="8">
        <v>6.2</v>
      </c>
      <c r="M9" s="8">
        <v>10</v>
      </c>
      <c r="N9" s="5">
        <v>3.8</v>
      </c>
      <c r="O9" s="8">
        <v>8.4</v>
      </c>
      <c r="P9" s="8">
        <v>12.2</v>
      </c>
      <c r="Q9" s="5">
        <v>3.2</v>
      </c>
      <c r="R9" s="8">
        <v>9.15</v>
      </c>
      <c r="S9" s="8">
        <v>12.35</v>
      </c>
      <c r="T9" s="5">
        <v>3.8</v>
      </c>
      <c r="U9" s="8">
        <v>8.75</v>
      </c>
      <c r="V9" s="8">
        <v>12.55</v>
      </c>
      <c r="W9" s="5">
        <v>2.6</v>
      </c>
      <c r="X9" s="8">
        <v>7.5</v>
      </c>
      <c r="Y9" s="8">
        <v>10.1</v>
      </c>
      <c r="Z9" s="4">
        <f>IF(Zabrze_result[[#This Row],[All Around]]="Yes",SUM(H9,K9,N9,Q9,T9,W9),0)</f>
        <v>21.1</v>
      </c>
      <c r="AA9" s="7">
        <f>IF(Zabrze_result[[#This Row],[All Around]]="Yes",SUM(I9,L9,O9,R9,U9,X9),0)</f>
        <v>47.85</v>
      </c>
      <c r="AB9" s="7">
        <f t="shared" si="0"/>
        <v>68.95</v>
      </c>
      <c r="AD9" s="41" t="s">
        <v>26</v>
      </c>
      <c r="AE9" s="20" t="s">
        <v>243</v>
      </c>
      <c r="AF9" s="21">
        <f>AVERAGEIFS(Zabrze_result[AA_Dscore],Zabrze_result[[Category]:[Category]],"junior",Zabrze_result[AA_Dscore],"&lt;&gt;0",Zabrze_result[All Around],"Yes")</f>
        <v>18.149999999999999</v>
      </c>
      <c r="AG9" s="21" cm="1">
        <f t="array" ref="AG9">_xlfn.STDEV.S(_xlfn._xlws.FILTER(Zabrze_result[AA_Dscore],(Zabrze_result[Category]="junior")*(Zabrze_result[All Around]="yes")))</f>
        <v>2.9897045561950435</v>
      </c>
      <c r="AH9" s="22">
        <f>AVERAGEIFS(Zabrze_result[AA_Escore],Zabrze_result[[Category]:[Category]],"junior",Zabrze_result[AA_Escore],"&lt;&gt;0",Zabrze_result[All Around],"Yes")</f>
        <v>48.3</v>
      </c>
      <c r="AI9" s="22" cm="1">
        <f t="array" ref="AI9">_xlfn.STDEV.S(_xlfn._xlws.FILTER(Zabrze_result[AA_Escore],(Zabrze_result[Category]="junior")*(Zabrze_result[All Around]="yes"),""))</f>
        <v>2.9515532633965242</v>
      </c>
      <c r="AJ9" s="22">
        <f>AVERAGEIFS(Zabrze_result[Total_Score],Zabrze_result[[Category]:[Category]],"junior",Zabrze_result[Total_Score],"&lt;&gt;0",Zabrze_result[All Around],"Yes")</f>
        <v>66.45</v>
      </c>
      <c r="AK9" s="22" cm="1">
        <f t="array" ref="AK9">_xlfn.STDEV.S(_xlfn._xlws.FILTER(Zabrze_result[Total_Score],(Zabrze_result[Category]="junior")*(Zabrze_result[All Around]="yes")))</f>
        <v>4.9840857848868447</v>
      </c>
      <c r="AL9" s="22" cm="1">
        <f t="array" ref="AL9">MAX(_xlfn._xlws.FILTER(Zabrze_result[Total_Score],Zabrze_result[Category]="junior"))</f>
        <v>72.55</v>
      </c>
      <c r="AN9" t="s">
        <v>59</v>
      </c>
      <c r="AO9" t="s">
        <v>60</v>
      </c>
      <c r="AP9">
        <v>2002</v>
      </c>
      <c r="AQ9" t="s">
        <v>62</v>
      </c>
      <c r="AR9" t="s">
        <v>335</v>
      </c>
      <c r="AS9" t="s">
        <v>306</v>
      </c>
      <c r="AT9" t="s">
        <v>239</v>
      </c>
      <c r="AU9" t="s">
        <v>311</v>
      </c>
      <c r="AV9">
        <v>8.35</v>
      </c>
    </row>
    <row r="10" spans="1:48" x14ac:dyDescent="0.25">
      <c r="A10" s="2">
        <v>9</v>
      </c>
      <c r="B10" t="s">
        <v>80</v>
      </c>
      <c r="C10" s="2" t="s">
        <v>60</v>
      </c>
      <c r="D10" s="2">
        <v>2004</v>
      </c>
      <c r="E10" s="2" t="s">
        <v>81</v>
      </c>
      <c r="F10" t="s">
        <v>62</v>
      </c>
      <c r="G10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10" s="5">
        <v>3.4</v>
      </c>
      <c r="I10" s="8">
        <v>8.6999999999999993</v>
      </c>
      <c r="J10" s="8">
        <v>12.1</v>
      </c>
      <c r="K10" s="5">
        <v>4.0999999999999996</v>
      </c>
      <c r="L10" s="8">
        <v>6.7</v>
      </c>
      <c r="M10" s="8">
        <v>10.8</v>
      </c>
      <c r="N10" s="5">
        <v>3.7</v>
      </c>
      <c r="O10" s="8">
        <v>7.9</v>
      </c>
      <c r="P10" s="8">
        <v>11.6</v>
      </c>
      <c r="Q10" s="5">
        <v>3.6</v>
      </c>
      <c r="R10" s="8">
        <v>8.15</v>
      </c>
      <c r="S10" s="8">
        <v>11.75</v>
      </c>
      <c r="T10" s="5">
        <v>3.6</v>
      </c>
      <c r="U10" s="8">
        <v>8.65</v>
      </c>
      <c r="V10" s="8">
        <v>12.25</v>
      </c>
      <c r="W10" s="5">
        <v>2.5</v>
      </c>
      <c r="X10" s="8">
        <v>7.9</v>
      </c>
      <c r="Y10" s="8">
        <v>10.4</v>
      </c>
      <c r="Z10" s="4">
        <f>IF(Zabrze_result[[#This Row],[All Around]]="Yes",SUM(H10,K10,N10,Q10,T10,W10),0)</f>
        <v>20.9</v>
      </c>
      <c r="AA10" s="7">
        <f>IF(Zabrze_result[[#This Row],[All Around]]="Yes",SUM(I10,L10,O10,R10,U10,X10),0)</f>
        <v>47.999999999999993</v>
      </c>
      <c r="AB10" s="7">
        <f t="shared" si="0"/>
        <v>68.900000000000006</v>
      </c>
      <c r="AD10" s="42"/>
      <c r="AE10" s="20" t="s">
        <v>218</v>
      </c>
      <c r="AF10" s="21">
        <f>AVERAGEIFS(Zabrze_result[FX_Dscore],Zabrze_result[[Category]:[Category]],"junior",Zabrze_result[FX_Dscore],"&lt;&gt;0")</f>
        <v>3.5636363636363639</v>
      </c>
      <c r="AG10" s="21" cm="1">
        <f t="array" ref="AG10">_xlfn.STDEV.S(_xlfn._xlws.FILTER(Zabrze_result[FX_Dscore],(Zabrze_result[Category]="junior")*(Zabrze_result[FX_Dscore]&gt;0)))</f>
        <v>0.45666777261533625</v>
      </c>
      <c r="AH10" s="22">
        <f>AVERAGEIFS(Zabrze_result[FX_Escore],Zabrze_result[[Category]:[Category]],"junior",Zabrze_result[FX_Escore],"&lt;&gt;0")</f>
        <v>8.3090909090909104</v>
      </c>
      <c r="AI10" s="22" cm="1">
        <f t="array" ref="AI10">_xlfn.STDEV.S(_xlfn._xlws.FILTER(Zabrze_result[FX_Escore],(Zabrze_result[Category]="junior")*(Zabrze_result[FX_Escore]&gt;0)))</f>
        <v>0.18414421226063801</v>
      </c>
      <c r="AJ10" s="22">
        <f>AVERAGEIFS(Zabrze_result[FX_total_score],Zabrze_result[[Category]:[Category]],"junior",Zabrze_result[FX_total_score],"&lt;&gt;0")</f>
        <v>11.872727272727273</v>
      </c>
      <c r="AK10" s="22" cm="1">
        <f t="array" ref="AK10">_xlfn.STDEV.S(_xlfn._xlws.FILTER(Zabrze_result[FX_total_score],(Zabrze_result[Category]="junior")*(Zabrze_result[FX_total_score]&gt;0)))</f>
        <v>0.54880034455329763</v>
      </c>
      <c r="AL10" s="22" cm="1">
        <f t="array" ref="AL10">MAX(_xlfn._xlws.FILTER(Zabrze_result[FX_total_score],Zabrze_result[Category]="junior"))</f>
        <v>12.75</v>
      </c>
      <c r="AN10" t="s">
        <v>59</v>
      </c>
      <c r="AO10" t="s">
        <v>60</v>
      </c>
      <c r="AP10">
        <v>2002</v>
      </c>
      <c r="AQ10" t="s">
        <v>62</v>
      </c>
      <c r="AR10" t="s">
        <v>335</v>
      </c>
      <c r="AS10" t="s">
        <v>306</v>
      </c>
      <c r="AT10" t="s">
        <v>239</v>
      </c>
      <c r="AU10" t="s">
        <v>268</v>
      </c>
      <c r="AV10">
        <v>12.45</v>
      </c>
    </row>
    <row r="11" spans="1:48" x14ac:dyDescent="0.25">
      <c r="A11" s="2">
        <v>10</v>
      </c>
      <c r="B11" t="s">
        <v>82</v>
      </c>
      <c r="C11" s="2" t="s">
        <v>60</v>
      </c>
      <c r="D11" s="2">
        <v>2003</v>
      </c>
      <c r="E11" s="2" t="s">
        <v>83</v>
      </c>
      <c r="F11" t="s">
        <v>36</v>
      </c>
      <c r="G11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11" s="5">
        <v>4.4000000000000004</v>
      </c>
      <c r="I11" s="8">
        <v>8.1</v>
      </c>
      <c r="J11" s="8">
        <v>12.5</v>
      </c>
      <c r="K11" s="5">
        <v>3.4</v>
      </c>
      <c r="L11" s="8">
        <v>5.5</v>
      </c>
      <c r="M11" s="8">
        <v>8.9</v>
      </c>
      <c r="N11" s="5">
        <v>3.8</v>
      </c>
      <c r="O11" s="8">
        <v>7.5</v>
      </c>
      <c r="P11" s="8">
        <v>11.3</v>
      </c>
      <c r="Q11" s="5">
        <v>4</v>
      </c>
      <c r="R11" s="8">
        <v>9.3000000000000007</v>
      </c>
      <c r="S11" s="8">
        <v>13.3</v>
      </c>
      <c r="T11" s="5">
        <v>3</v>
      </c>
      <c r="U11" s="8">
        <v>8.75</v>
      </c>
      <c r="V11" s="8">
        <v>11.75</v>
      </c>
      <c r="W11" s="5">
        <v>3.3</v>
      </c>
      <c r="X11" s="8">
        <v>7.8</v>
      </c>
      <c r="Y11" s="8">
        <v>11.1</v>
      </c>
      <c r="Z11" s="4">
        <f>IF(Zabrze_result[[#This Row],[All Around]]="Yes",SUM(H11,K11,N11,Q11,T11,W11),0)</f>
        <v>21.900000000000002</v>
      </c>
      <c r="AA11" s="7">
        <f>IF(Zabrze_result[[#This Row],[All Around]]="Yes",SUM(I11,L11,O11,R11,U11,X11),0)</f>
        <v>46.95</v>
      </c>
      <c r="AB11" s="7">
        <f t="shared" si="0"/>
        <v>68.849999999999994</v>
      </c>
      <c r="AD11" s="42"/>
      <c r="AE11" s="20" t="s">
        <v>242</v>
      </c>
      <c r="AF11" s="21">
        <f>AVERAGEIFS(Zabrze_result[HB_Dscore],Zabrze_result[[Category]:[Category]],"junior",Zabrze_result[HB_Dscore],"&lt;&gt;0")</f>
        <v>2.5999999999999996</v>
      </c>
      <c r="AG11" s="21" cm="1">
        <f t="array" ref="AG11">_xlfn.STDEV.S(_xlfn._xlws.FILTER(Zabrze_result[HB_Dscore],(Zabrze_result[Category]="junior")*(Zabrze_result[HB_Dscore]&gt;0)))</f>
        <v>0.56213877290220882</v>
      </c>
      <c r="AH11" s="22">
        <f>AVERAGEIFS(Zabrze_result[HB_Escore],Zabrze_result[[Category]:[Category]],"junior",Zabrze_result[HB_Escore],"&lt;&gt;0")</f>
        <v>7.9727272727272727</v>
      </c>
      <c r="AI11" s="22" cm="1">
        <f t="array" ref="AI11">_xlfn.STDEV.S(_xlfn._xlws.FILTER(Zabrze_result[HB_Escore],(Zabrze_result[Category]="junior")*(Zabrze_result[HB_Escore]&gt;0)))</f>
        <v>0.49414756721228326</v>
      </c>
      <c r="AJ11" s="22">
        <f>AVERAGEIFS(Zabrze_result[HB_total_score],Zabrze_result[[Category]:[Category]],"junior",Zabrze_result[HB_total_score],"&lt;&gt;0")</f>
        <v>10.572727272727272</v>
      </c>
      <c r="AK11" s="22" cm="1">
        <f t="array" ref="AK11">_xlfn.STDEV.S(_xlfn._xlws.FILTER(Zabrze_result[HB_total_score],(Zabrze_result[Category]="junior")*(Zabrze_result[HB_total_score]&gt;0)))</f>
        <v>0.60512958792461846</v>
      </c>
      <c r="AL11" s="22" cm="1">
        <f t="array" ref="AL11">MAX(_xlfn._xlws.FILTER(Zabrze_result[HB_total_score],Zabrze_result[Category]="junior"))</f>
        <v>11.8</v>
      </c>
      <c r="AN11" t="s">
        <v>59</v>
      </c>
      <c r="AO11" t="s">
        <v>60</v>
      </c>
      <c r="AP11">
        <v>2002</v>
      </c>
      <c r="AQ11" t="s">
        <v>62</v>
      </c>
      <c r="AR11" t="s">
        <v>335</v>
      </c>
      <c r="AS11" t="s">
        <v>306</v>
      </c>
      <c r="AT11" t="s">
        <v>240</v>
      </c>
      <c r="AU11" t="s">
        <v>310</v>
      </c>
      <c r="AV11">
        <v>4.4000000000000004</v>
      </c>
    </row>
    <row r="12" spans="1:48" x14ac:dyDescent="0.25">
      <c r="A12" s="2">
        <v>11</v>
      </c>
      <c r="B12" t="s">
        <v>84</v>
      </c>
      <c r="C12" s="2" t="s">
        <v>60</v>
      </c>
      <c r="D12" s="2">
        <v>2004</v>
      </c>
      <c r="E12" s="2" t="s">
        <v>85</v>
      </c>
      <c r="F12" t="s">
        <v>39</v>
      </c>
      <c r="G1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12" s="5">
        <v>4.0999999999999996</v>
      </c>
      <c r="I12" s="8">
        <v>6.25</v>
      </c>
      <c r="J12" s="8">
        <v>10.35</v>
      </c>
      <c r="K12" s="5">
        <v>3.2</v>
      </c>
      <c r="L12" s="8">
        <v>4.75</v>
      </c>
      <c r="M12" s="8">
        <v>7.95</v>
      </c>
      <c r="N12" s="5">
        <v>3.4</v>
      </c>
      <c r="O12" s="8">
        <v>7.3</v>
      </c>
      <c r="P12" s="8">
        <v>10.7</v>
      </c>
      <c r="Q12" s="5">
        <v>3.2</v>
      </c>
      <c r="R12" s="8">
        <v>9.25</v>
      </c>
      <c r="S12" s="8">
        <v>12.45</v>
      </c>
      <c r="T12" s="5">
        <v>4.2</v>
      </c>
      <c r="U12" s="8">
        <v>7.5</v>
      </c>
      <c r="V12" s="8">
        <v>11.7</v>
      </c>
      <c r="W12" s="5">
        <v>2.8</v>
      </c>
      <c r="X12" s="8">
        <v>8</v>
      </c>
      <c r="Y12" s="8">
        <v>10.8</v>
      </c>
      <c r="Z12" s="4">
        <f>IF(Zabrze_result[[#This Row],[All Around]]="Yes",SUM(H12,K12,N12,Q12,T12,W12),0)</f>
        <v>20.9</v>
      </c>
      <c r="AA12" s="7">
        <f>IF(Zabrze_result[[#This Row],[All Around]]="Yes",SUM(I12,L12,O12,R12,U12,X12),0)</f>
        <v>43.05</v>
      </c>
      <c r="AB12" s="7">
        <f t="shared" si="0"/>
        <v>63.95</v>
      </c>
      <c r="AD12" s="42"/>
      <c r="AE12" s="20" t="s">
        <v>241</v>
      </c>
      <c r="AF12" s="21">
        <f>AVERAGEIFS(Zabrze_result[PB_Dscore],Zabrze_result[[Category]:[Category]],"junior",Zabrze_result[PB_Dscore],"&lt;&gt;0")</f>
        <v>3.2272727272727271</v>
      </c>
      <c r="AG12" s="21" cm="1">
        <f t="array" ref="AG12">_xlfn.STDEV.S(_xlfn._xlws.FILTER(Zabrze_result[PB_Dscore],(Zabrze_result[Category]="junior")*(Zabrze_result[PB_Dscore]&gt;0)))</f>
        <v>0.45626945786653228</v>
      </c>
      <c r="AH12" s="22">
        <f>AVERAGEIFS(Zabrze_result[PB_Escore],Zabrze_result[[Category]:[Category]],"junior",Zabrze_result[PB_Escore],"&lt;&gt;0")</f>
        <v>8.2727272727272716</v>
      </c>
      <c r="AI12" s="22" cm="1">
        <f t="array" ref="AI12">_xlfn.STDEV.S(_xlfn._xlws.FILTER(Zabrze_result[PB_Escore],(Zabrze_result[Category]="junior")*(Zabrze_result[PB_Escore]&gt;0)))</f>
        <v>0.50614406860282191</v>
      </c>
      <c r="AJ12" s="22">
        <f>AVERAGEIFS(Zabrze_result[PB_total_score],Zabrze_result[[Category]:[Category]],"junior",Zabrze_result[PB_total_score],"&lt;&gt;0")</f>
        <v>11.5</v>
      </c>
      <c r="AK12" s="22" cm="1">
        <f t="array" ref="AK12">_xlfn.STDEV.S(_xlfn._xlws.FILTER(Zabrze_result[PB_total_score],(Zabrze_result[Category]="junior")*(Zabrze_result[PB_total_score]&gt;0)))</f>
        <v>0.68847657912234039</v>
      </c>
      <c r="AL12" s="22" cm="1">
        <f t="array" ref="AL12">MAX(_xlfn._xlws.FILTER(Zabrze_result[PB_total_score],Zabrze_result[Category]="junior"))</f>
        <v>13.3</v>
      </c>
      <c r="AN12" t="s">
        <v>59</v>
      </c>
      <c r="AO12" t="s">
        <v>60</v>
      </c>
      <c r="AP12">
        <v>2002</v>
      </c>
      <c r="AQ12" t="s">
        <v>62</v>
      </c>
      <c r="AR12" t="s">
        <v>335</v>
      </c>
      <c r="AS12" t="s">
        <v>306</v>
      </c>
      <c r="AT12" t="s">
        <v>240</v>
      </c>
      <c r="AU12" t="s">
        <v>311</v>
      </c>
      <c r="AV12">
        <v>9.1</v>
      </c>
    </row>
    <row r="13" spans="1:48" x14ac:dyDescent="0.25">
      <c r="A13" s="2">
        <v>12</v>
      </c>
      <c r="B13" t="s">
        <v>86</v>
      </c>
      <c r="C13" s="2" t="s">
        <v>60</v>
      </c>
      <c r="D13" s="2">
        <v>2003</v>
      </c>
      <c r="E13" s="2" t="s">
        <v>87</v>
      </c>
      <c r="F13" t="s">
        <v>72</v>
      </c>
      <c r="G1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3" s="5">
        <v>3.9</v>
      </c>
      <c r="I13" s="8">
        <v>8</v>
      </c>
      <c r="J13" s="8">
        <v>11.9</v>
      </c>
      <c r="K13" s="5">
        <v>4</v>
      </c>
      <c r="L13" s="8">
        <v>7.8</v>
      </c>
      <c r="M13" s="8">
        <v>11.8</v>
      </c>
      <c r="N13" s="5">
        <v>2.6</v>
      </c>
      <c r="O13" s="8">
        <v>3</v>
      </c>
      <c r="P13" s="8">
        <v>5.6</v>
      </c>
      <c r="Q13" s="5">
        <v>0</v>
      </c>
      <c r="R13" s="8">
        <v>0</v>
      </c>
      <c r="S13" s="8">
        <v>0</v>
      </c>
      <c r="T13" s="5">
        <v>2.8</v>
      </c>
      <c r="U13" s="8">
        <v>7.5</v>
      </c>
      <c r="V13" s="8">
        <v>10.3</v>
      </c>
      <c r="W13" s="5">
        <v>0</v>
      </c>
      <c r="X13" s="8">
        <v>0</v>
      </c>
      <c r="Y13" s="8">
        <v>0</v>
      </c>
      <c r="Z13" s="4">
        <f>IF(Zabrze_result[[#This Row],[All Around]]="Yes",SUM(H13,K13,N13,Q13,T13,W13),0)</f>
        <v>0</v>
      </c>
      <c r="AA13" s="7">
        <f>IF(Zabrze_result[[#This Row],[All Around]]="Yes",SUM(I13,L13,O13,R13,U13,X13),0)</f>
        <v>0</v>
      </c>
      <c r="AB13" s="7">
        <f t="shared" si="0"/>
        <v>39.600000000000009</v>
      </c>
      <c r="AD13" s="42"/>
      <c r="AE13" s="20" t="s">
        <v>238</v>
      </c>
      <c r="AF13" s="21">
        <f>AVERAGEIFS(Zabrze_result[PH_Dscore],Zabrze_result[[Category]:[Category]],"junior",Zabrze_result[PH_Dscore],"&lt;&gt;0")</f>
        <v>3.163636363636364</v>
      </c>
      <c r="AG13" s="21" cm="1">
        <f t="array" ref="AG13">_xlfn.STDEV.S(_xlfn._xlws.FILTER(Zabrze_result[PH_Dscore],(Zabrze_result[Category]="junior")*(Zabrze_result[PH_Dscore]&gt;0)))</f>
        <v>0.71452463536637756</v>
      </c>
      <c r="AH13" s="22">
        <f>AVERAGEIFS(Zabrze_result[PH_Escore],Zabrze_result[[Category]:[Category]],"junior",Zabrze_result[PH_Escore],"&lt;&gt;0")</f>
        <v>6.8636363636363651</v>
      </c>
      <c r="AI13" s="22" cm="1">
        <f t="array" ref="AI13">_xlfn.STDEV.S(_xlfn._xlws.FILTER(Zabrze_result[PH_Escore],(Zabrze_result[Category]="junior")*(Zabrze_result[PH_Escore]&gt;0)))</f>
        <v>1.9098548255156582</v>
      </c>
      <c r="AJ13" s="22">
        <f>AVERAGEIFS(Zabrze_result[PH_Total_Score],Zabrze_result[[Category]:[Category]],"junior",Zabrze_result[PH_Total_Score],"&lt;&gt;0")</f>
        <v>10.027272727272729</v>
      </c>
      <c r="AK13" s="22" cm="1">
        <f t="array" ref="AK13">_xlfn.STDEV.S(_xlfn._xlws.FILTER(Zabrze_result[PH_Total_Score],(Zabrze_result[Category]="junior")*(Zabrze_result[PH_Total_Score]&gt;0)))</f>
        <v>2.2948162929049034</v>
      </c>
      <c r="AL13" s="22" cm="1">
        <f t="array" ref="AL13">MAX(_xlfn._xlws.FILTER(Zabrze_result[PH_Total_Score],Zabrze_result[Category]="junior"))</f>
        <v>12.7</v>
      </c>
      <c r="AN13" t="s">
        <v>59</v>
      </c>
      <c r="AO13" t="s">
        <v>60</v>
      </c>
      <c r="AP13">
        <v>2002</v>
      </c>
      <c r="AQ13" t="s">
        <v>62</v>
      </c>
      <c r="AR13" t="s">
        <v>335</v>
      </c>
      <c r="AS13" t="s">
        <v>306</v>
      </c>
      <c r="AT13" t="s">
        <v>240</v>
      </c>
      <c r="AU13" t="s">
        <v>268</v>
      </c>
      <c r="AV13">
        <v>13.5</v>
      </c>
    </row>
    <row r="14" spans="1:48" x14ac:dyDescent="0.25">
      <c r="A14" s="2">
        <v>13</v>
      </c>
      <c r="B14" t="s">
        <v>88</v>
      </c>
      <c r="C14" s="2" t="s">
        <v>60</v>
      </c>
      <c r="D14" s="2">
        <v>2003</v>
      </c>
      <c r="E14" s="2" t="s">
        <v>89</v>
      </c>
      <c r="F14" t="s">
        <v>36</v>
      </c>
      <c r="G1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4" s="5">
        <v>0</v>
      </c>
      <c r="I14" s="8">
        <v>0</v>
      </c>
      <c r="J14" s="8">
        <v>0</v>
      </c>
      <c r="K14" s="5">
        <v>2.7</v>
      </c>
      <c r="L14" s="8">
        <v>7</v>
      </c>
      <c r="M14" s="8">
        <v>9.6999999999999993</v>
      </c>
      <c r="N14" s="5">
        <v>2.5</v>
      </c>
      <c r="O14" s="8">
        <v>7.2</v>
      </c>
      <c r="P14" s="8">
        <v>9.6999999999999993</v>
      </c>
      <c r="Q14" s="5">
        <v>0</v>
      </c>
      <c r="R14" s="8">
        <v>0</v>
      </c>
      <c r="S14" s="8">
        <v>0</v>
      </c>
      <c r="T14" s="5">
        <v>2.8</v>
      </c>
      <c r="U14" s="8">
        <v>7.4</v>
      </c>
      <c r="V14" s="8">
        <v>10.199999999999999</v>
      </c>
      <c r="W14" s="5">
        <v>2.1</v>
      </c>
      <c r="X14" s="8">
        <v>6.9</v>
      </c>
      <c r="Y14" s="8">
        <v>9</v>
      </c>
      <c r="Z14" s="4">
        <f>IF(Zabrze_result[[#This Row],[All Around]]="Yes",SUM(H14,K14,N14,Q14,T14,W14),0)</f>
        <v>0</v>
      </c>
      <c r="AA14" s="7">
        <f>IF(Zabrze_result[[#This Row],[All Around]]="Yes",SUM(I14,L14,O14,R14,U14,X14),0)</f>
        <v>0</v>
      </c>
      <c r="AB14" s="7">
        <f t="shared" si="0"/>
        <v>38.599999999999994</v>
      </c>
      <c r="AD14" s="42"/>
      <c r="AE14" s="20" t="s">
        <v>239</v>
      </c>
      <c r="AF14" s="21">
        <f>AVERAGEIFS(Zabrze_result[SR_Dscore],Zabrze_result[[Category]:[Category]],"junior",Zabrze_result[SR_Dscore],"&lt;&gt;0")</f>
        <v>2.8545454545454545</v>
      </c>
      <c r="AG14" s="21" cm="1">
        <f t="array" ref="AG14">_xlfn.STDEV.S(_xlfn._xlws.FILTER(Zabrze_result[SR_Dscore],(Zabrze_result[Category]="junior")*(Zabrze_result[SR_Dscore]&gt;0)))</f>
        <v>0.6743346889544346</v>
      </c>
      <c r="AH14" s="22">
        <f>AVERAGEIFS(Zabrze_result[SR_Escore],Zabrze_result[[Category]:[Category]],"junior",Zabrze_result[SR_Escore],"&lt;&gt;0")</f>
        <v>7.9045454545454534</v>
      </c>
      <c r="AI14" s="22" cm="1">
        <f t="array" ref="AI14">_xlfn.STDEV.S(_xlfn._xlws.FILTER(Zabrze_result[SR_Escore],(Zabrze_result[Category]="junior")*(Zabrze_result[SR_Escore]&gt;0)))</f>
        <v>0.68645995711860186</v>
      </c>
      <c r="AJ14" s="22">
        <f>AVERAGEIFS(Zabrze_result[SR_Total_Score],Zabrze_result[[Category]:[Category]],"junior",Zabrze_result[SR_Total_Score],"&lt;&gt;0")</f>
        <v>10.759090909090908</v>
      </c>
      <c r="AK14" s="22" cm="1">
        <f t="array" ref="AK14">_xlfn.STDEV.S(_xlfn._xlws.FILTER(Zabrze_result[SR_Total_Score],(Zabrze_result[Category]="junior")*(Zabrze_result[SR_Total_Score]&gt;0)))</f>
        <v>1.1959971115805925</v>
      </c>
      <c r="AL14" s="22" cm="1">
        <f t="array" ref="AL14">MAX(_xlfn._xlws.FILTER(Zabrze_result[SR_Total_Score],Zabrze_result[Category]="junior"))</f>
        <v>12.2</v>
      </c>
      <c r="AN14" t="s">
        <v>59</v>
      </c>
      <c r="AO14" t="s">
        <v>60</v>
      </c>
      <c r="AP14">
        <v>2002</v>
      </c>
      <c r="AQ14" t="s">
        <v>62</v>
      </c>
      <c r="AR14" t="s">
        <v>335</v>
      </c>
      <c r="AS14" t="s">
        <v>306</v>
      </c>
      <c r="AT14" t="s">
        <v>316</v>
      </c>
      <c r="AU14" t="s">
        <v>310</v>
      </c>
      <c r="AV14">
        <v>5</v>
      </c>
    </row>
    <row r="15" spans="1:48" x14ac:dyDescent="0.25">
      <c r="A15" s="2">
        <v>14</v>
      </c>
      <c r="B15" t="s">
        <v>90</v>
      </c>
      <c r="C15" s="2" t="s">
        <v>60</v>
      </c>
      <c r="D15" s="2">
        <v>2004</v>
      </c>
      <c r="E15" s="2" t="s">
        <v>91</v>
      </c>
      <c r="F15" t="s">
        <v>36</v>
      </c>
      <c r="G1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5" s="5">
        <v>4</v>
      </c>
      <c r="I15" s="8">
        <v>7.85</v>
      </c>
      <c r="J15" s="8">
        <v>11.85</v>
      </c>
      <c r="K15" s="5">
        <v>2.6</v>
      </c>
      <c r="L15" s="8">
        <v>0</v>
      </c>
      <c r="M15" s="8">
        <v>2.6</v>
      </c>
      <c r="N15" s="5">
        <v>3.8</v>
      </c>
      <c r="O15" s="8">
        <v>7</v>
      </c>
      <c r="P15" s="8">
        <v>10.8</v>
      </c>
      <c r="Q15" s="5">
        <v>4</v>
      </c>
      <c r="R15" s="8">
        <v>8.4</v>
      </c>
      <c r="S15" s="8">
        <v>12.4</v>
      </c>
      <c r="T15" s="5">
        <v>0</v>
      </c>
      <c r="U15" s="8">
        <v>0</v>
      </c>
      <c r="V15" s="8">
        <v>0</v>
      </c>
      <c r="W15" s="5">
        <v>0</v>
      </c>
      <c r="X15" s="8">
        <v>0</v>
      </c>
      <c r="Y15" s="8">
        <v>0</v>
      </c>
      <c r="Z15" s="4">
        <f>IF(Zabrze_result[[#This Row],[All Around]]="Yes",SUM(H15,K15,N15,Q15,T15,W15),0)</f>
        <v>0</v>
      </c>
      <c r="AA15" s="7">
        <f>IF(Zabrze_result[[#This Row],[All Around]]="Yes",SUM(I15,L15,O15,R15,U15,X15),0)</f>
        <v>0</v>
      </c>
      <c r="AB15" s="7">
        <f t="shared" si="0"/>
        <v>37.65</v>
      </c>
      <c r="AD15" s="43"/>
      <c r="AE15" s="20" t="s">
        <v>240</v>
      </c>
      <c r="AF15" s="21">
        <f>AVERAGEIFS(Zabrze_result[VT_Dscore],Zabrze_result[[Category]:[Category]],"junior",Zabrze_result[VT_Dscore],"&lt;&gt;0")</f>
        <v>2.6363636363636367</v>
      </c>
      <c r="AG15" s="21" cm="1">
        <f t="array" ref="AG15">_xlfn.STDEV.S(_xlfn._xlws.FILTER(Zabrze_result[VT_Dscore],(Zabrze_result[Category]="junior")*(Zabrze_result[VT_Dscore]&gt;0)))</f>
        <v>0.88912623093993426</v>
      </c>
      <c r="AH15" s="22">
        <f>AVERAGEIFS(Zabrze_result[VT_Escore],Zabrze_result[[Category]:[Category]],"junior",Zabrze_result[VT_Escore],"&lt;&gt;0")</f>
        <v>8.877272727272727</v>
      </c>
      <c r="AI15" s="22" cm="1">
        <f t="array" ref="AI15">_xlfn.STDEV.S(_xlfn._xlws.FILTER(Zabrze_result[VT_Escore],(Zabrze_result[Category]="junior")*(Zabrze_result[VT_Escore]&gt;0)))</f>
        <v>0.45462272070566168</v>
      </c>
      <c r="AJ15" s="22">
        <f>AVERAGEIFS(Zabrze_result[VT_total_score],Zabrze_result[[Category]:[Category]],"junior",Zabrze_result[VT_total_score],"&lt;&gt;0")</f>
        <v>11.513636363636364</v>
      </c>
      <c r="AK15" s="22" cm="1">
        <f t="array" ref="AK15">_xlfn.STDEV.S(_xlfn._xlws.FILTER(Zabrze_result[VT_total_score],(Zabrze_result[Category]="junior")*(Zabrze_result[VT_total_score]&gt;0)))</f>
        <v>0.8666287870509809</v>
      </c>
      <c r="AL15" s="22" cm="1">
        <f t="array" ref="AL15">MAX(_xlfn._xlws.FILTER(Zabrze_result[VT_total_score],Zabrze_result[Category]="junior"))</f>
        <v>12.95</v>
      </c>
      <c r="AN15" t="s">
        <v>59</v>
      </c>
      <c r="AO15" t="s">
        <v>60</v>
      </c>
      <c r="AP15">
        <v>2002</v>
      </c>
      <c r="AQ15" t="s">
        <v>62</v>
      </c>
      <c r="AR15" t="s">
        <v>335</v>
      </c>
      <c r="AS15" t="s">
        <v>306</v>
      </c>
      <c r="AT15" t="s">
        <v>316</v>
      </c>
      <c r="AU15" t="s">
        <v>311</v>
      </c>
      <c r="AV15">
        <v>7.45</v>
      </c>
    </row>
    <row r="16" spans="1:48" x14ac:dyDescent="0.25">
      <c r="A16" s="2">
        <v>15</v>
      </c>
      <c r="B16" t="s">
        <v>92</v>
      </c>
      <c r="C16" s="2" t="s">
        <v>60</v>
      </c>
      <c r="D16" s="2">
        <v>2004</v>
      </c>
      <c r="E16" s="2" t="s">
        <v>93</v>
      </c>
      <c r="F16" t="s">
        <v>39</v>
      </c>
      <c r="G1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6" s="5">
        <v>3.7</v>
      </c>
      <c r="I16" s="8">
        <v>7.95</v>
      </c>
      <c r="J16" s="8">
        <v>11.65</v>
      </c>
      <c r="K16" s="5">
        <v>3.7</v>
      </c>
      <c r="L16" s="8">
        <v>8.6</v>
      </c>
      <c r="M16" s="8">
        <v>12.3</v>
      </c>
      <c r="N16" s="5">
        <v>0</v>
      </c>
      <c r="O16" s="8">
        <v>0</v>
      </c>
      <c r="P16" s="8">
        <v>0</v>
      </c>
      <c r="Q16" s="5">
        <v>4</v>
      </c>
      <c r="R16" s="8">
        <v>8.9</v>
      </c>
      <c r="S16" s="8">
        <v>12.9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IF(Zabrze_result[[#This Row],[All Around]]="Yes",SUM(H16,K16,N16,Q16,T16,W16),0)</f>
        <v>0</v>
      </c>
      <c r="AA16" s="7">
        <f>IF(Zabrze_result[[#This Row],[All Around]]="Yes",SUM(I16,L16,O16,R16,U16,X16),0)</f>
        <v>0</v>
      </c>
      <c r="AB16" s="7">
        <f t="shared" si="0"/>
        <v>36.85</v>
      </c>
      <c r="AJ16" s="1"/>
      <c r="AN16" t="s">
        <v>59</v>
      </c>
      <c r="AO16" t="s">
        <v>60</v>
      </c>
      <c r="AP16">
        <v>2002</v>
      </c>
      <c r="AQ16" t="s">
        <v>62</v>
      </c>
      <c r="AR16" t="s">
        <v>335</v>
      </c>
      <c r="AS16" t="s">
        <v>306</v>
      </c>
      <c r="AT16" t="s">
        <v>316</v>
      </c>
      <c r="AU16" t="s">
        <v>268</v>
      </c>
      <c r="AV16">
        <v>12.45</v>
      </c>
    </row>
    <row r="17" spans="1:48" x14ac:dyDescent="0.25">
      <c r="A17" s="2">
        <v>16</v>
      </c>
      <c r="B17" t="s">
        <v>94</v>
      </c>
      <c r="C17" s="2" t="s">
        <v>60</v>
      </c>
      <c r="D17" s="2">
        <v>2002</v>
      </c>
      <c r="E17" s="2" t="s">
        <v>95</v>
      </c>
      <c r="F17" t="s">
        <v>72</v>
      </c>
      <c r="G1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7" s="5">
        <v>0</v>
      </c>
      <c r="I17" s="8">
        <v>0</v>
      </c>
      <c r="J17" s="8">
        <v>0</v>
      </c>
      <c r="K17" s="5">
        <v>0</v>
      </c>
      <c r="L17" s="8">
        <v>0</v>
      </c>
      <c r="M17" s="8">
        <v>0</v>
      </c>
      <c r="N17" s="5">
        <v>4</v>
      </c>
      <c r="O17" s="8">
        <v>8.4</v>
      </c>
      <c r="P17" s="8">
        <v>12.4</v>
      </c>
      <c r="Q17" s="5">
        <v>2.8</v>
      </c>
      <c r="R17" s="8">
        <v>9.4</v>
      </c>
      <c r="S17" s="8">
        <v>12.2</v>
      </c>
      <c r="T17" s="5">
        <v>3.1</v>
      </c>
      <c r="U17" s="8">
        <v>8.85</v>
      </c>
      <c r="V17" s="8">
        <v>11.95</v>
      </c>
      <c r="W17" s="5">
        <v>0</v>
      </c>
      <c r="X17" s="8">
        <v>0</v>
      </c>
      <c r="Y17" s="8">
        <v>0</v>
      </c>
      <c r="Z17" s="4">
        <f>IF(Zabrze_result[[#This Row],[All Around]]="Yes",SUM(H17,K17,N17,Q17,T17,W17),0)</f>
        <v>0</v>
      </c>
      <c r="AA17" s="7">
        <f>IF(Zabrze_result[[#This Row],[All Around]]="Yes",SUM(I17,L17,O17,R17,U17,X17),0)</f>
        <v>0</v>
      </c>
      <c r="AB17" s="7">
        <f t="shared" si="0"/>
        <v>36.549999999999997</v>
      </c>
      <c r="AD17" s="28" t="s">
        <v>296</v>
      </c>
      <c r="AF17" s="38" t="s">
        <v>217</v>
      </c>
      <c r="AG17" t="s">
        <v>238</v>
      </c>
      <c r="AJ17" s="1"/>
      <c r="AN17" t="s">
        <v>59</v>
      </c>
      <c r="AO17" t="s">
        <v>60</v>
      </c>
      <c r="AP17">
        <v>2002</v>
      </c>
      <c r="AQ17" t="s">
        <v>62</v>
      </c>
      <c r="AR17" t="s">
        <v>335</v>
      </c>
      <c r="AS17" t="s">
        <v>306</v>
      </c>
      <c r="AT17" t="s">
        <v>242</v>
      </c>
      <c r="AU17" t="s">
        <v>310</v>
      </c>
      <c r="AV17">
        <v>4.5999999999999996</v>
      </c>
    </row>
    <row r="18" spans="1:48" x14ac:dyDescent="0.25">
      <c r="A18" s="2">
        <v>17</v>
      </c>
      <c r="B18" t="s">
        <v>96</v>
      </c>
      <c r="C18" s="2" t="s">
        <v>60</v>
      </c>
      <c r="D18" s="2">
        <v>2002</v>
      </c>
      <c r="E18" s="2" t="s">
        <v>97</v>
      </c>
      <c r="F18" t="s">
        <v>62</v>
      </c>
      <c r="G1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8" s="5">
        <v>0</v>
      </c>
      <c r="I18" s="8">
        <v>0</v>
      </c>
      <c r="J18" s="8">
        <v>0</v>
      </c>
      <c r="K18" s="5">
        <v>4.5</v>
      </c>
      <c r="L18" s="8">
        <v>7.3</v>
      </c>
      <c r="M18" s="8">
        <v>11.8</v>
      </c>
      <c r="N18" s="5">
        <v>4.5999999999999996</v>
      </c>
      <c r="O18" s="8">
        <v>8.1</v>
      </c>
      <c r="P18" s="8">
        <v>12.7</v>
      </c>
      <c r="Q18" s="5">
        <v>0</v>
      </c>
      <c r="R18" s="8">
        <v>0</v>
      </c>
      <c r="S18" s="8">
        <v>0</v>
      </c>
      <c r="T18" s="5">
        <v>4</v>
      </c>
      <c r="U18" s="8">
        <v>6.6</v>
      </c>
      <c r="V18" s="8">
        <v>10.6</v>
      </c>
      <c r="W18" s="5">
        <v>0</v>
      </c>
      <c r="X18" s="8">
        <v>0</v>
      </c>
      <c r="Y18" s="8">
        <v>0</v>
      </c>
      <c r="Z18" s="4">
        <f>IF(Zabrze_result[[#This Row],[All Around]]="Yes",SUM(H18,K18,N18,Q18,T18,W18),0)</f>
        <v>0</v>
      </c>
      <c r="AA18" s="7">
        <f>IF(Zabrze_result[[#This Row],[All Around]]="Yes",SUM(I18,L18,O18,R18,U18,X18),0)</f>
        <v>0</v>
      </c>
      <c r="AB18" s="7">
        <f t="shared" si="0"/>
        <v>35.1</v>
      </c>
      <c r="AD18" s="29" t="s">
        <v>297</v>
      </c>
      <c r="AJ18" s="1"/>
      <c r="AN18" t="s">
        <v>59</v>
      </c>
      <c r="AO18" t="s">
        <v>60</v>
      </c>
      <c r="AP18">
        <v>2002</v>
      </c>
      <c r="AQ18" t="s">
        <v>62</v>
      </c>
      <c r="AR18" t="s">
        <v>335</v>
      </c>
      <c r="AS18" t="s">
        <v>306</v>
      </c>
      <c r="AT18" t="s">
        <v>242</v>
      </c>
      <c r="AU18" t="s">
        <v>311</v>
      </c>
      <c r="AV18">
        <v>7.4</v>
      </c>
    </row>
    <row r="19" spans="1:48" x14ac:dyDescent="0.25">
      <c r="A19" s="2">
        <v>18</v>
      </c>
      <c r="B19" t="s">
        <v>98</v>
      </c>
      <c r="C19" s="2" t="s">
        <v>60</v>
      </c>
      <c r="D19" s="2">
        <v>2003</v>
      </c>
      <c r="E19" s="2" t="s">
        <v>99</v>
      </c>
      <c r="F19" t="s">
        <v>72</v>
      </c>
      <c r="G19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19" s="5">
        <v>0</v>
      </c>
      <c r="I19" s="8">
        <v>0</v>
      </c>
      <c r="J19" s="8">
        <v>0</v>
      </c>
      <c r="K19" s="5">
        <v>3.4</v>
      </c>
      <c r="L19" s="8">
        <v>7</v>
      </c>
      <c r="M19" s="8">
        <v>10.4</v>
      </c>
      <c r="N19" s="5">
        <v>2.9</v>
      </c>
      <c r="O19" s="8">
        <v>6.7</v>
      </c>
      <c r="P19" s="8">
        <v>9.6</v>
      </c>
      <c r="Q19" s="5">
        <v>0</v>
      </c>
      <c r="R19" s="8">
        <v>0</v>
      </c>
      <c r="S19" s="8">
        <v>0</v>
      </c>
      <c r="T19" s="5">
        <v>2.4</v>
      </c>
      <c r="U19" s="8">
        <v>8.6</v>
      </c>
      <c r="V19" s="8">
        <v>11</v>
      </c>
      <c r="W19" s="5">
        <v>0</v>
      </c>
      <c r="X19" s="8">
        <v>0</v>
      </c>
      <c r="Y19" s="8">
        <v>0</v>
      </c>
      <c r="Z19" s="4">
        <f>IF(Zabrze_result[[#This Row],[All Around]]="Yes",SUM(H19,K19,N19,Q19,T19,W19),0)</f>
        <v>0</v>
      </c>
      <c r="AA19" s="7">
        <f>IF(Zabrze_result[[#This Row],[All Around]]="Yes",SUM(I19,L19,O19,R19,U19,X19),0)</f>
        <v>0</v>
      </c>
      <c r="AB19" s="7">
        <f t="shared" si="0"/>
        <v>31</v>
      </c>
      <c r="AD19" s="30" t="s">
        <v>298</v>
      </c>
      <c r="AF19" s="38" t="s">
        <v>313</v>
      </c>
      <c r="AG19" s="38" t="s">
        <v>308</v>
      </c>
      <c r="AJ19" s="1"/>
      <c r="AN19" t="s">
        <v>59</v>
      </c>
      <c r="AO19" t="s">
        <v>60</v>
      </c>
      <c r="AP19">
        <v>2002</v>
      </c>
      <c r="AQ19" t="s">
        <v>62</v>
      </c>
      <c r="AR19" t="s">
        <v>335</v>
      </c>
      <c r="AS19" t="s">
        <v>306</v>
      </c>
      <c r="AT19" t="s">
        <v>242</v>
      </c>
      <c r="AU19" t="s">
        <v>268</v>
      </c>
      <c r="AV19">
        <v>12</v>
      </c>
    </row>
    <row r="20" spans="1:48" x14ac:dyDescent="0.25">
      <c r="A20" s="2">
        <v>19</v>
      </c>
      <c r="B20" t="s">
        <v>100</v>
      </c>
      <c r="C20" s="2" t="s">
        <v>60</v>
      </c>
      <c r="D20" s="2">
        <v>2004</v>
      </c>
      <c r="E20" s="2" t="s">
        <v>101</v>
      </c>
      <c r="F20" t="s">
        <v>31</v>
      </c>
      <c r="G20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0" s="5">
        <v>4.2</v>
      </c>
      <c r="I20" s="8">
        <v>7.3</v>
      </c>
      <c r="J20" s="8">
        <v>11.5</v>
      </c>
      <c r="K20" s="5">
        <v>0</v>
      </c>
      <c r="L20" s="8">
        <v>0</v>
      </c>
      <c r="M20" s="8">
        <v>0</v>
      </c>
      <c r="N20" s="5">
        <v>0</v>
      </c>
      <c r="O20" s="8">
        <v>0</v>
      </c>
      <c r="P20" s="8">
        <v>0</v>
      </c>
      <c r="Q20" s="5">
        <v>0</v>
      </c>
      <c r="R20" s="8">
        <v>0</v>
      </c>
      <c r="S20" s="8">
        <v>0</v>
      </c>
      <c r="T20" s="5">
        <v>2.4</v>
      </c>
      <c r="U20" s="8">
        <v>8.0500000000000007</v>
      </c>
      <c r="V20" s="8">
        <v>10.45</v>
      </c>
      <c r="W20" s="5">
        <v>2</v>
      </c>
      <c r="X20" s="8">
        <v>5.2</v>
      </c>
      <c r="Y20" s="8">
        <v>7.2</v>
      </c>
      <c r="Z20" s="4">
        <f>IF(Zabrze_result[[#This Row],[All Around]]="Yes",SUM(H20,K20,N20,Q20,T20,W20),0)</f>
        <v>0</v>
      </c>
      <c r="AA20" s="7">
        <f>IF(Zabrze_result[[#This Row],[All Around]]="Yes",SUM(I20,L20,O20,R20,U20,X20),0)</f>
        <v>0</v>
      </c>
      <c r="AB20" s="7">
        <f t="shared" si="0"/>
        <v>29.15</v>
      </c>
      <c r="AD20" s="31" t="s">
        <v>300</v>
      </c>
      <c r="AF20" s="38" t="s">
        <v>305</v>
      </c>
      <c r="AG20" t="s">
        <v>26</v>
      </c>
      <c r="AH20" t="s">
        <v>60</v>
      </c>
      <c r="AI20" t="s">
        <v>312</v>
      </c>
      <c r="AJ20" s="1"/>
      <c r="AN20" t="s">
        <v>59</v>
      </c>
      <c r="AO20" t="s">
        <v>60</v>
      </c>
      <c r="AP20">
        <v>2002</v>
      </c>
      <c r="AQ20" t="s">
        <v>62</v>
      </c>
      <c r="AR20" t="s">
        <v>335</v>
      </c>
      <c r="AS20" t="s">
        <v>306</v>
      </c>
      <c r="AT20" t="s">
        <v>243</v>
      </c>
      <c r="AU20" t="s">
        <v>337</v>
      </c>
      <c r="AV20">
        <v>28.299999999999997</v>
      </c>
    </row>
    <row r="21" spans="1:48" x14ac:dyDescent="0.25">
      <c r="A21" s="2">
        <v>20</v>
      </c>
      <c r="B21" t="s">
        <v>102</v>
      </c>
      <c r="C21" s="2" t="s">
        <v>60</v>
      </c>
      <c r="D21" s="2">
        <v>2003</v>
      </c>
      <c r="E21" s="2" t="s">
        <v>103</v>
      </c>
      <c r="F21" t="s">
        <v>31</v>
      </c>
      <c r="G21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1" s="5">
        <v>0</v>
      </c>
      <c r="I21" s="8">
        <v>0</v>
      </c>
      <c r="J21" s="8">
        <v>0</v>
      </c>
      <c r="K21" s="5">
        <v>0</v>
      </c>
      <c r="L21" s="8">
        <v>0</v>
      </c>
      <c r="M21" s="8">
        <v>0</v>
      </c>
      <c r="N21" s="5">
        <v>3.2</v>
      </c>
      <c r="O21" s="8">
        <v>6.9</v>
      </c>
      <c r="P21" s="8">
        <v>10.1</v>
      </c>
      <c r="Q21" s="5">
        <v>4</v>
      </c>
      <c r="R21" s="8">
        <v>8.85</v>
      </c>
      <c r="S21" s="8">
        <v>12.85</v>
      </c>
      <c r="T21" s="5">
        <v>0</v>
      </c>
      <c r="U21" s="8">
        <v>0</v>
      </c>
      <c r="V21" s="8">
        <v>0</v>
      </c>
      <c r="W21" s="5">
        <v>0</v>
      </c>
      <c r="X21" s="8">
        <v>0</v>
      </c>
      <c r="Y21" s="8">
        <v>0</v>
      </c>
      <c r="Z21" s="4">
        <f>IF(Zabrze_result[[#This Row],[All Around]]="Yes",SUM(H21,K21,N21,Q21,T21,W21),0)</f>
        <v>0</v>
      </c>
      <c r="AA21" s="7">
        <f>IF(Zabrze_result[[#This Row],[All Around]]="Yes",SUM(I21,L21,O21,R21,U21,X21),0)</f>
        <v>0</v>
      </c>
      <c r="AB21" s="7">
        <f t="shared" si="0"/>
        <v>22.95</v>
      </c>
      <c r="AD21" s="32" t="s">
        <v>299</v>
      </c>
      <c r="AF21" s="39" t="s">
        <v>311</v>
      </c>
      <c r="AG21">
        <v>11</v>
      </c>
      <c r="AH21">
        <v>17</v>
      </c>
      <c r="AI21">
        <v>28</v>
      </c>
      <c r="AJ21" s="1"/>
      <c r="AN21" t="s">
        <v>59</v>
      </c>
      <c r="AO21" t="s">
        <v>60</v>
      </c>
      <c r="AP21">
        <v>2002</v>
      </c>
      <c r="AQ21" t="s">
        <v>62</v>
      </c>
      <c r="AR21" t="s">
        <v>335</v>
      </c>
      <c r="AS21" t="s">
        <v>306</v>
      </c>
      <c r="AT21" t="s">
        <v>243</v>
      </c>
      <c r="AU21" t="s">
        <v>338</v>
      </c>
      <c r="AV21">
        <v>47.85</v>
      </c>
    </row>
    <row r="22" spans="1:48" x14ac:dyDescent="0.25">
      <c r="A22" s="2">
        <v>21</v>
      </c>
      <c r="B22" t="s">
        <v>104</v>
      </c>
      <c r="C22" s="2" t="s">
        <v>60</v>
      </c>
      <c r="D22" s="2">
        <v>2004</v>
      </c>
      <c r="E22" s="2" t="s">
        <v>105</v>
      </c>
      <c r="F22" t="s">
        <v>28</v>
      </c>
      <c r="G2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2" s="5">
        <v>4.5</v>
      </c>
      <c r="I22" s="8">
        <v>6.2</v>
      </c>
      <c r="J22" s="8">
        <v>10.7</v>
      </c>
      <c r="K22" s="5">
        <v>0</v>
      </c>
      <c r="L22" s="8">
        <v>0</v>
      </c>
      <c r="M22" s="8">
        <v>0</v>
      </c>
      <c r="N22" s="5">
        <v>0</v>
      </c>
      <c r="O22" s="8">
        <v>0</v>
      </c>
      <c r="P22" s="8">
        <v>0</v>
      </c>
      <c r="Q22" s="5">
        <v>3.2</v>
      </c>
      <c r="R22" s="8">
        <v>8.8000000000000007</v>
      </c>
      <c r="S22" s="8">
        <v>12</v>
      </c>
      <c r="T22" s="5">
        <v>0</v>
      </c>
      <c r="U22" s="8">
        <v>0</v>
      </c>
      <c r="V22" s="8">
        <v>0</v>
      </c>
      <c r="W22" s="5">
        <v>0</v>
      </c>
      <c r="X22" s="8">
        <v>0</v>
      </c>
      <c r="Y22" s="8">
        <v>0</v>
      </c>
      <c r="Z22" s="4">
        <f>IF(Zabrze_result[[#This Row],[All Around]]="Yes",SUM(H22,K22,N22,Q22,T22,W22),0)</f>
        <v>0</v>
      </c>
      <c r="AA22" s="7">
        <f>IF(Zabrze_result[[#This Row],[All Around]]="Yes",SUM(I22,L22,O22,R22,U22,X22),0)</f>
        <v>0</v>
      </c>
      <c r="AB22" s="7">
        <f t="shared" si="0"/>
        <v>22.7</v>
      </c>
      <c r="AD22" s="33" t="s">
        <v>252</v>
      </c>
      <c r="AF22" s="40" t="s">
        <v>340</v>
      </c>
      <c r="AG22">
        <v>1</v>
      </c>
      <c r="AI22">
        <v>1</v>
      </c>
      <c r="AJ22" s="1"/>
      <c r="AN22" t="s">
        <v>59</v>
      </c>
      <c r="AO22" t="s">
        <v>60</v>
      </c>
      <c r="AP22">
        <v>2002</v>
      </c>
      <c r="AQ22" t="s">
        <v>62</v>
      </c>
      <c r="AR22" t="s">
        <v>335</v>
      </c>
      <c r="AS22" t="s">
        <v>306</v>
      </c>
      <c r="AT22" t="s">
        <v>243</v>
      </c>
      <c r="AU22" t="s">
        <v>339</v>
      </c>
      <c r="AV22">
        <v>76.150000000000006</v>
      </c>
    </row>
    <row r="23" spans="1:48" x14ac:dyDescent="0.25">
      <c r="A23" s="2">
        <v>22</v>
      </c>
      <c r="B23" t="s">
        <v>106</v>
      </c>
      <c r="C23" s="2" t="s">
        <v>60</v>
      </c>
      <c r="D23" s="2">
        <v>2004</v>
      </c>
      <c r="E23" s="2" t="s">
        <v>107</v>
      </c>
      <c r="F23" t="s">
        <v>31</v>
      </c>
      <c r="G2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3" s="5">
        <v>4</v>
      </c>
      <c r="I23" s="8">
        <v>6</v>
      </c>
      <c r="J23" s="8">
        <v>10</v>
      </c>
      <c r="K23" s="5">
        <v>0</v>
      </c>
      <c r="L23" s="8">
        <v>0</v>
      </c>
      <c r="M23" s="8">
        <v>0</v>
      </c>
      <c r="N23" s="5">
        <v>0</v>
      </c>
      <c r="O23" s="8">
        <v>0</v>
      </c>
      <c r="P23" s="8">
        <v>0</v>
      </c>
      <c r="Q23" s="5">
        <v>3.2</v>
      </c>
      <c r="R23" s="8">
        <v>9.0500000000000007</v>
      </c>
      <c r="S23" s="8">
        <v>12.25</v>
      </c>
      <c r="T23" s="5">
        <v>0</v>
      </c>
      <c r="U23" s="8">
        <v>0</v>
      </c>
      <c r="V23" s="8">
        <v>0</v>
      </c>
      <c r="W23" s="5">
        <v>0</v>
      </c>
      <c r="X23" s="8">
        <v>0</v>
      </c>
      <c r="Y23" s="8">
        <v>0</v>
      </c>
      <c r="Z23" s="4">
        <f>IF(Zabrze_result[[#This Row],[All Around]]="Yes",SUM(H23,K23,N23,Q23,T23,W23),0)</f>
        <v>0</v>
      </c>
      <c r="AA23" s="7">
        <f>IF(Zabrze_result[[#This Row],[All Around]]="Yes",SUM(I23,L23,O23,R23,U23,X23),0)</f>
        <v>0</v>
      </c>
      <c r="AB23" s="7">
        <f t="shared" si="0"/>
        <v>22.25</v>
      </c>
      <c r="AD23" s="34" t="s">
        <v>301</v>
      </c>
      <c r="AF23" s="40" t="s">
        <v>341</v>
      </c>
      <c r="AH23">
        <v>1</v>
      </c>
      <c r="AI23">
        <v>1</v>
      </c>
      <c r="AJ23" s="1"/>
      <c r="AN23" t="s">
        <v>63</v>
      </c>
      <c r="AO23" t="s">
        <v>60</v>
      </c>
      <c r="AP23">
        <v>1997</v>
      </c>
      <c r="AQ23" t="s">
        <v>39</v>
      </c>
      <c r="AR23" t="s">
        <v>335</v>
      </c>
      <c r="AS23" t="s">
        <v>306</v>
      </c>
      <c r="AT23" t="s">
        <v>218</v>
      </c>
      <c r="AU23" t="s">
        <v>310</v>
      </c>
      <c r="AV23">
        <v>6</v>
      </c>
    </row>
    <row r="24" spans="1:48" x14ac:dyDescent="0.25">
      <c r="A24" s="2">
        <v>23</v>
      </c>
      <c r="B24" t="s">
        <v>108</v>
      </c>
      <c r="C24" s="2" t="s">
        <v>60</v>
      </c>
      <c r="D24" s="2">
        <v>2000</v>
      </c>
      <c r="E24" s="2" t="s">
        <v>109</v>
      </c>
      <c r="F24" t="s">
        <v>62</v>
      </c>
      <c r="G2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4" s="5">
        <v>3.3</v>
      </c>
      <c r="I24" s="8">
        <v>8.4</v>
      </c>
      <c r="J24" s="8">
        <v>11.7</v>
      </c>
      <c r="K24" s="5">
        <v>0</v>
      </c>
      <c r="L24" s="8">
        <v>0</v>
      </c>
      <c r="M24" s="8">
        <v>0</v>
      </c>
      <c r="N24" s="5">
        <v>2.6</v>
      </c>
      <c r="O24" s="8">
        <v>1.7</v>
      </c>
      <c r="P24" s="8">
        <v>4.3</v>
      </c>
      <c r="Q24" s="5">
        <v>0</v>
      </c>
      <c r="R24" s="8">
        <v>0</v>
      </c>
      <c r="S24" s="8">
        <v>0</v>
      </c>
      <c r="T24" s="5">
        <v>0</v>
      </c>
      <c r="U24" s="8">
        <v>0</v>
      </c>
      <c r="V24" s="8">
        <v>0</v>
      </c>
      <c r="W24" s="5">
        <v>0</v>
      </c>
      <c r="X24" s="8">
        <v>0</v>
      </c>
      <c r="Y24" s="8">
        <v>0</v>
      </c>
      <c r="Z24" s="4">
        <f>IF(Zabrze_result[[#This Row],[All Around]]="Yes",SUM(H24,K24,N24,Q24,T24,W24),0)</f>
        <v>0</v>
      </c>
      <c r="AA24" s="7">
        <f>IF(Zabrze_result[[#This Row],[All Around]]="Yes",SUM(I24,L24,O24,R24,U24,X24),0)</f>
        <v>0</v>
      </c>
      <c r="AB24" s="7">
        <f t="shared" si="0"/>
        <v>16</v>
      </c>
      <c r="AD24" s="37" t="s">
        <v>304</v>
      </c>
      <c r="AF24" s="40" t="s">
        <v>343</v>
      </c>
      <c r="AG24">
        <v>1</v>
      </c>
      <c r="AH24">
        <v>1</v>
      </c>
      <c r="AI24">
        <v>2</v>
      </c>
      <c r="AJ24" s="1"/>
      <c r="AN24" t="s">
        <v>63</v>
      </c>
      <c r="AO24" t="s">
        <v>60</v>
      </c>
      <c r="AP24">
        <v>1997</v>
      </c>
      <c r="AQ24" t="s">
        <v>39</v>
      </c>
      <c r="AR24" t="s">
        <v>335</v>
      </c>
      <c r="AS24" t="s">
        <v>306</v>
      </c>
      <c r="AT24" t="s">
        <v>218</v>
      </c>
      <c r="AU24" t="s">
        <v>311</v>
      </c>
      <c r="AV24">
        <v>6.6</v>
      </c>
    </row>
    <row r="25" spans="1:48" x14ac:dyDescent="0.25">
      <c r="A25" s="2">
        <v>24</v>
      </c>
      <c r="B25" t="s">
        <v>110</v>
      </c>
      <c r="C25" s="2" t="s">
        <v>60</v>
      </c>
      <c r="D25" s="2">
        <v>2004</v>
      </c>
      <c r="E25" s="2" t="s">
        <v>111</v>
      </c>
      <c r="F25" t="s">
        <v>36</v>
      </c>
      <c r="G2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25" s="5">
        <v>0</v>
      </c>
      <c r="I25" s="8">
        <v>0</v>
      </c>
      <c r="J25" s="8">
        <v>0</v>
      </c>
      <c r="K25" s="5">
        <v>3.1</v>
      </c>
      <c r="L25" s="8">
        <v>6</v>
      </c>
      <c r="M25" s="8">
        <v>9.1</v>
      </c>
      <c r="N25" s="5">
        <v>0</v>
      </c>
      <c r="O25" s="8">
        <v>0</v>
      </c>
      <c r="P25" s="8">
        <v>0</v>
      </c>
      <c r="Q25" s="5">
        <v>0</v>
      </c>
      <c r="R25" s="8">
        <v>0</v>
      </c>
      <c r="S25" s="8">
        <v>0</v>
      </c>
      <c r="T25" s="5">
        <v>0</v>
      </c>
      <c r="U25" s="8">
        <v>0</v>
      </c>
      <c r="V25" s="8">
        <v>0</v>
      </c>
      <c r="W25" s="5">
        <v>0</v>
      </c>
      <c r="X25" s="8">
        <v>0</v>
      </c>
      <c r="Y25" s="8">
        <v>0</v>
      </c>
      <c r="Z25" s="4">
        <f>IF(Zabrze_result[[#This Row],[All Around]]="Yes",SUM(H25,K25,N25,Q25,T25,W25),0)</f>
        <v>0</v>
      </c>
      <c r="AA25" s="7">
        <f>IF(Zabrze_result[[#This Row],[All Around]]="Yes",SUM(I25,L25,O25,R25,U25,X25),0)</f>
        <v>0</v>
      </c>
      <c r="AB25" s="7">
        <f t="shared" si="0"/>
        <v>9.1</v>
      </c>
      <c r="AD25" s="35" t="s">
        <v>302</v>
      </c>
      <c r="AF25" s="40" t="s">
        <v>342</v>
      </c>
      <c r="AG25">
        <v>1</v>
      </c>
      <c r="AH25">
        <v>4</v>
      </c>
      <c r="AI25">
        <v>5</v>
      </c>
      <c r="AJ25" s="1"/>
      <c r="AN25" t="s">
        <v>63</v>
      </c>
      <c r="AO25" t="s">
        <v>60</v>
      </c>
      <c r="AP25">
        <v>1997</v>
      </c>
      <c r="AQ25" t="s">
        <v>39</v>
      </c>
      <c r="AR25" t="s">
        <v>335</v>
      </c>
      <c r="AS25" t="s">
        <v>306</v>
      </c>
      <c r="AT25" t="s">
        <v>218</v>
      </c>
      <c r="AU25" t="s">
        <v>268</v>
      </c>
      <c r="AV25">
        <v>12.6</v>
      </c>
    </row>
    <row r="26" spans="1:48" x14ac:dyDescent="0.25">
      <c r="A26" s="2">
        <v>1</v>
      </c>
      <c r="B26" t="s">
        <v>25</v>
      </c>
      <c r="C26" s="2" t="s">
        <v>26</v>
      </c>
      <c r="D26" s="2">
        <v>2008</v>
      </c>
      <c r="E26" s="2" t="s">
        <v>27</v>
      </c>
      <c r="F26" t="s">
        <v>28</v>
      </c>
      <c r="G2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6" s="5">
        <v>4</v>
      </c>
      <c r="I26" s="8">
        <v>8.6999999999999993</v>
      </c>
      <c r="J26" s="8">
        <v>12.7</v>
      </c>
      <c r="K26" s="5">
        <v>3.8</v>
      </c>
      <c r="L26" s="8">
        <v>8.9</v>
      </c>
      <c r="M26" s="8">
        <v>12.7</v>
      </c>
      <c r="N26" s="5">
        <v>2.6</v>
      </c>
      <c r="O26" s="8">
        <v>8.1999999999999993</v>
      </c>
      <c r="P26" s="8">
        <v>10.8</v>
      </c>
      <c r="Q26" s="5">
        <v>2.2000000000000002</v>
      </c>
      <c r="R26" s="8">
        <v>9.0500000000000007</v>
      </c>
      <c r="S26" s="8">
        <v>11.25</v>
      </c>
      <c r="T26" s="5">
        <v>4.2</v>
      </c>
      <c r="U26" s="8">
        <v>9.1</v>
      </c>
      <c r="V26" s="8">
        <v>13.3</v>
      </c>
      <c r="W26" s="5">
        <v>2.7</v>
      </c>
      <c r="X26" s="8">
        <v>9.1</v>
      </c>
      <c r="Y26" s="8">
        <v>11.8</v>
      </c>
      <c r="Z26" s="4">
        <f>IF(Zabrze_result[[#This Row],[All Around]]="Yes",SUM(H26,K26,N26,Q26,T26,W26),0)</f>
        <v>19.5</v>
      </c>
      <c r="AA26" s="7">
        <f>IF(Zabrze_result[[#This Row],[All Around]]="Yes",SUM(I26,L26,O26,R26,U26,X26),0)</f>
        <v>53.050000000000004</v>
      </c>
      <c r="AB26" s="7">
        <f t="shared" si="0"/>
        <v>72.55</v>
      </c>
      <c r="AD26" s="36" t="s">
        <v>303</v>
      </c>
      <c r="AF26" s="40" t="s">
        <v>344</v>
      </c>
      <c r="AG26">
        <v>1</v>
      </c>
      <c r="AH26">
        <v>1</v>
      </c>
      <c r="AI26">
        <v>2</v>
      </c>
      <c r="AJ26" s="1"/>
      <c r="AN26" t="s">
        <v>63</v>
      </c>
      <c r="AO26" t="s">
        <v>60</v>
      </c>
      <c r="AP26">
        <v>1997</v>
      </c>
      <c r="AQ26" t="s">
        <v>39</v>
      </c>
      <c r="AR26" t="s">
        <v>335</v>
      </c>
      <c r="AS26" t="s">
        <v>306</v>
      </c>
      <c r="AT26" t="s">
        <v>238</v>
      </c>
      <c r="AU26" t="s">
        <v>310</v>
      </c>
      <c r="AV26">
        <v>4.5999999999999996</v>
      </c>
    </row>
    <row r="27" spans="1:48" x14ac:dyDescent="0.25">
      <c r="A27" s="2">
        <v>2</v>
      </c>
      <c r="B27" t="s">
        <v>29</v>
      </c>
      <c r="C27" s="2" t="s">
        <v>26</v>
      </c>
      <c r="D27" s="2">
        <v>2005</v>
      </c>
      <c r="E27" s="2" t="s">
        <v>30</v>
      </c>
      <c r="F27" t="s">
        <v>31</v>
      </c>
      <c r="G2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7" s="5">
        <v>4.3</v>
      </c>
      <c r="I27" s="8">
        <v>8.15</v>
      </c>
      <c r="J27" s="8">
        <v>12.45</v>
      </c>
      <c r="K27" s="5">
        <v>3.6</v>
      </c>
      <c r="L27" s="8">
        <v>8.35</v>
      </c>
      <c r="M27" s="8">
        <v>11.95</v>
      </c>
      <c r="N27" s="5">
        <v>2.9</v>
      </c>
      <c r="O27" s="8">
        <v>8.1</v>
      </c>
      <c r="P27" s="8">
        <v>11</v>
      </c>
      <c r="Q27" s="5">
        <v>4</v>
      </c>
      <c r="R27" s="8">
        <v>8.9499999999999993</v>
      </c>
      <c r="S27" s="8">
        <v>12.95</v>
      </c>
      <c r="T27" s="5">
        <v>3.4</v>
      </c>
      <c r="U27" s="8">
        <v>8.35</v>
      </c>
      <c r="V27" s="8">
        <v>11.75</v>
      </c>
      <c r="W27" s="5">
        <v>3</v>
      </c>
      <c r="X27" s="8">
        <v>7.9</v>
      </c>
      <c r="Y27" s="8">
        <v>10.9</v>
      </c>
      <c r="Z27" s="4">
        <f>IF(Zabrze_result[[#This Row],[All Around]]="Yes",SUM(H27,K27,N27,Q27,T27,W27),0)</f>
        <v>21.2</v>
      </c>
      <c r="AA27" s="7">
        <f>IF(Zabrze_result[[#This Row],[All Around]]="Yes",SUM(I27,L27,O27,R27,U27,X27),0)</f>
        <v>49.8</v>
      </c>
      <c r="AB27" s="7">
        <f t="shared" si="0"/>
        <v>71</v>
      </c>
      <c r="AF27" s="40" t="s">
        <v>345</v>
      </c>
      <c r="AG27">
        <v>3</v>
      </c>
      <c r="AH27">
        <v>4</v>
      </c>
      <c r="AI27">
        <v>7</v>
      </c>
      <c r="AJ27" s="1"/>
      <c r="AN27" t="s">
        <v>63</v>
      </c>
      <c r="AO27" t="s">
        <v>60</v>
      </c>
      <c r="AP27">
        <v>1997</v>
      </c>
      <c r="AQ27" t="s">
        <v>39</v>
      </c>
      <c r="AR27" t="s">
        <v>335</v>
      </c>
      <c r="AS27" t="s">
        <v>306</v>
      </c>
      <c r="AT27" t="s">
        <v>238</v>
      </c>
      <c r="AU27" t="s">
        <v>311</v>
      </c>
      <c r="AV27">
        <v>6.4</v>
      </c>
    </row>
    <row r="28" spans="1:48" x14ac:dyDescent="0.25">
      <c r="A28" s="2">
        <v>3</v>
      </c>
      <c r="B28" t="s">
        <v>32</v>
      </c>
      <c r="C28" s="2" t="s">
        <v>26</v>
      </c>
      <c r="D28" s="2">
        <v>2005</v>
      </c>
      <c r="E28" s="2" t="s">
        <v>33</v>
      </c>
      <c r="F28" t="s">
        <v>31</v>
      </c>
      <c r="G2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8" s="5">
        <v>4.2</v>
      </c>
      <c r="I28" s="8">
        <v>8.5500000000000007</v>
      </c>
      <c r="J28" s="8">
        <v>12.75</v>
      </c>
      <c r="K28" s="5">
        <v>3.6</v>
      </c>
      <c r="L28" s="8">
        <v>6.2</v>
      </c>
      <c r="M28" s="8">
        <v>9.8000000000000007</v>
      </c>
      <c r="N28" s="5">
        <v>3.2</v>
      </c>
      <c r="O28" s="8">
        <v>9</v>
      </c>
      <c r="P28" s="8">
        <v>12.2</v>
      </c>
      <c r="Q28" s="5">
        <v>3.2</v>
      </c>
      <c r="R28" s="8">
        <v>9.4499999999999993</v>
      </c>
      <c r="S28" s="8">
        <v>12.65</v>
      </c>
      <c r="T28" s="5">
        <v>3.4</v>
      </c>
      <c r="U28" s="8">
        <v>7.95</v>
      </c>
      <c r="V28" s="8">
        <v>11.35</v>
      </c>
      <c r="W28" s="5">
        <v>3.2</v>
      </c>
      <c r="X28" s="8">
        <v>7.8</v>
      </c>
      <c r="Y28" s="8">
        <v>11</v>
      </c>
      <c r="Z28" s="4">
        <f>IF(Zabrze_result[[#This Row],[All Around]]="Yes",SUM(H28,K28,N28,Q28,T28,W28),0)</f>
        <v>20.799999999999997</v>
      </c>
      <c r="AA28" s="7">
        <f>IF(Zabrze_result[[#This Row],[All Around]]="Yes",SUM(I28,L28,O28,R28,U28,X28),0)</f>
        <v>48.95</v>
      </c>
      <c r="AB28" s="7">
        <f t="shared" si="0"/>
        <v>69.75</v>
      </c>
      <c r="AF28" s="40" t="s">
        <v>346</v>
      </c>
      <c r="AG28">
        <v>1</v>
      </c>
      <c r="AH28">
        <v>3</v>
      </c>
      <c r="AI28">
        <v>4</v>
      </c>
      <c r="AJ28" s="1"/>
      <c r="AN28" t="s">
        <v>63</v>
      </c>
      <c r="AO28" t="s">
        <v>60</v>
      </c>
      <c r="AP28">
        <v>1997</v>
      </c>
      <c r="AQ28" t="s">
        <v>39</v>
      </c>
      <c r="AR28" t="s">
        <v>335</v>
      </c>
      <c r="AS28" t="s">
        <v>306</v>
      </c>
      <c r="AT28" t="s">
        <v>238</v>
      </c>
      <c r="AU28" t="s">
        <v>268</v>
      </c>
      <c r="AV28">
        <v>11</v>
      </c>
    </row>
    <row r="29" spans="1:48" x14ac:dyDescent="0.25">
      <c r="A29" s="2">
        <v>4</v>
      </c>
      <c r="B29" t="s">
        <v>34</v>
      </c>
      <c r="C29" s="2" t="s">
        <v>26</v>
      </c>
      <c r="D29" s="2">
        <v>2006</v>
      </c>
      <c r="E29" s="2" t="s">
        <v>35</v>
      </c>
      <c r="F29" t="s">
        <v>36</v>
      </c>
      <c r="G29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29" s="5">
        <v>3.7</v>
      </c>
      <c r="I29" s="8">
        <v>8.1</v>
      </c>
      <c r="J29" s="8">
        <v>11.8</v>
      </c>
      <c r="K29" s="5">
        <v>3.9</v>
      </c>
      <c r="L29" s="8">
        <v>7</v>
      </c>
      <c r="M29" s="8">
        <v>10.9</v>
      </c>
      <c r="N29" s="5">
        <v>3.9</v>
      </c>
      <c r="O29" s="8">
        <v>8.1</v>
      </c>
      <c r="P29" s="8">
        <v>12</v>
      </c>
      <c r="Q29" s="5">
        <v>2.4</v>
      </c>
      <c r="R29" s="8">
        <v>8.9</v>
      </c>
      <c r="S29" s="8">
        <v>11.3</v>
      </c>
      <c r="T29" s="5">
        <v>3.7</v>
      </c>
      <c r="U29" s="8">
        <v>7.45</v>
      </c>
      <c r="V29" s="8">
        <v>11.15</v>
      </c>
      <c r="W29" s="5">
        <v>3.4</v>
      </c>
      <c r="X29" s="8">
        <v>7.5</v>
      </c>
      <c r="Y29" s="8">
        <v>10.9</v>
      </c>
      <c r="Z29" s="4">
        <f>IF(Zabrze_result[[#This Row],[All Around]]="Yes",SUM(H29,K29,N29,Q29,T29,W29),0)</f>
        <v>21</v>
      </c>
      <c r="AA29" s="7">
        <f>IF(Zabrze_result[[#This Row],[All Around]]="Yes",SUM(I29,L29,O29,R29,U29,X29),0)</f>
        <v>47.050000000000004</v>
      </c>
      <c r="AB29" s="7">
        <f t="shared" si="0"/>
        <v>68.05</v>
      </c>
      <c r="AF29" s="40" t="s">
        <v>347</v>
      </c>
      <c r="AG29">
        <v>1</v>
      </c>
      <c r="AH29">
        <v>2</v>
      </c>
      <c r="AI29">
        <v>3</v>
      </c>
      <c r="AJ29" s="1"/>
      <c r="AN29" t="s">
        <v>63</v>
      </c>
      <c r="AO29" t="s">
        <v>60</v>
      </c>
      <c r="AP29">
        <v>1997</v>
      </c>
      <c r="AQ29" t="s">
        <v>39</v>
      </c>
      <c r="AR29" t="s">
        <v>335</v>
      </c>
      <c r="AS29" t="s">
        <v>306</v>
      </c>
      <c r="AT29" t="s">
        <v>239</v>
      </c>
      <c r="AU29" t="s">
        <v>310</v>
      </c>
      <c r="AV29">
        <v>3.9</v>
      </c>
    </row>
    <row r="30" spans="1:48" x14ac:dyDescent="0.25">
      <c r="A30" s="2">
        <v>5</v>
      </c>
      <c r="B30" t="s">
        <v>37</v>
      </c>
      <c r="C30" s="2" t="s">
        <v>26</v>
      </c>
      <c r="D30" s="2">
        <v>2006</v>
      </c>
      <c r="E30" s="2" t="s">
        <v>38</v>
      </c>
      <c r="F30" t="s">
        <v>39</v>
      </c>
      <c r="G30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0" s="5">
        <v>3.3</v>
      </c>
      <c r="I30" s="8">
        <v>8.3000000000000007</v>
      </c>
      <c r="J30" s="8">
        <v>11.6</v>
      </c>
      <c r="K30" s="5">
        <v>4.3</v>
      </c>
      <c r="L30" s="8">
        <v>7.9</v>
      </c>
      <c r="M30" s="8">
        <v>12.2</v>
      </c>
      <c r="N30" s="5">
        <v>3</v>
      </c>
      <c r="O30" s="8">
        <v>8</v>
      </c>
      <c r="P30" s="8">
        <v>11</v>
      </c>
      <c r="Q30" s="5">
        <v>3.2</v>
      </c>
      <c r="R30" s="8">
        <v>8.6</v>
      </c>
      <c r="S30" s="8">
        <v>11.8</v>
      </c>
      <c r="T30" s="5">
        <v>3.1</v>
      </c>
      <c r="U30" s="8">
        <v>8</v>
      </c>
      <c r="V30" s="8">
        <v>11.1</v>
      </c>
      <c r="W30" s="5">
        <v>3</v>
      </c>
      <c r="X30" s="8">
        <v>7.2</v>
      </c>
      <c r="Y30" s="8">
        <v>10.199999999999999</v>
      </c>
      <c r="Z30" s="4">
        <f>IF(Zabrze_result[[#This Row],[All Around]]="Yes",SUM(H30,K30,N30,Q30,T30,W30),0)</f>
        <v>19.900000000000002</v>
      </c>
      <c r="AA30" s="7">
        <f>IF(Zabrze_result[[#This Row],[All Around]]="Yes",SUM(I30,L30,O30,R30,U30,X30),0)</f>
        <v>48.000000000000007</v>
      </c>
      <c r="AB30" s="7">
        <f t="shared" si="0"/>
        <v>67.899999999999991</v>
      </c>
      <c r="AF30" s="40" t="s">
        <v>348</v>
      </c>
      <c r="AG30">
        <v>2</v>
      </c>
      <c r="AH30">
        <v>1</v>
      </c>
      <c r="AI30">
        <v>3</v>
      </c>
      <c r="AJ30" s="1"/>
      <c r="AN30" t="s">
        <v>63</v>
      </c>
      <c r="AO30" t="s">
        <v>60</v>
      </c>
      <c r="AP30">
        <v>1997</v>
      </c>
      <c r="AQ30" t="s">
        <v>39</v>
      </c>
      <c r="AR30" t="s">
        <v>335</v>
      </c>
      <c r="AS30" t="s">
        <v>306</v>
      </c>
      <c r="AT30" t="s">
        <v>239</v>
      </c>
      <c r="AU30" t="s">
        <v>311</v>
      </c>
      <c r="AV30">
        <v>8.1</v>
      </c>
    </row>
    <row r="31" spans="1:48" x14ac:dyDescent="0.25">
      <c r="A31" s="2">
        <v>6</v>
      </c>
      <c r="B31" t="s">
        <v>40</v>
      </c>
      <c r="C31" s="2" t="s">
        <v>26</v>
      </c>
      <c r="D31" s="2">
        <v>2007</v>
      </c>
      <c r="E31" s="2" t="s">
        <v>41</v>
      </c>
      <c r="F31" t="s">
        <v>39</v>
      </c>
      <c r="G31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1" s="5">
        <v>3.4</v>
      </c>
      <c r="I31" s="8">
        <v>8.1999999999999993</v>
      </c>
      <c r="J31" s="8">
        <v>11.6</v>
      </c>
      <c r="K31" s="5">
        <v>2.9</v>
      </c>
      <c r="L31" s="8">
        <v>7.2</v>
      </c>
      <c r="M31" s="8">
        <v>10.1</v>
      </c>
      <c r="N31" s="5">
        <v>3.4</v>
      </c>
      <c r="O31" s="8">
        <v>8.1999999999999993</v>
      </c>
      <c r="P31" s="8">
        <v>11.6</v>
      </c>
      <c r="Q31" s="5">
        <v>4</v>
      </c>
      <c r="R31" s="8">
        <v>7.95</v>
      </c>
      <c r="S31" s="8">
        <v>11.95</v>
      </c>
      <c r="T31" s="5">
        <v>3</v>
      </c>
      <c r="U31" s="8">
        <v>8.1999999999999993</v>
      </c>
      <c r="V31" s="8">
        <v>11.2</v>
      </c>
      <c r="W31" s="5">
        <v>2.7</v>
      </c>
      <c r="X31" s="8">
        <v>8</v>
      </c>
      <c r="Y31" s="8">
        <v>10.7</v>
      </c>
      <c r="Z31" s="4">
        <f>IF(Zabrze_result[[#This Row],[All Around]]="Yes",SUM(H31,K31,N31,Q31,T31,W31),0)</f>
        <v>19.399999999999999</v>
      </c>
      <c r="AA31" s="7">
        <f>IF(Zabrze_result[[#This Row],[All Around]]="Yes",SUM(I31,L31,O31,R31,U31,X31),0)</f>
        <v>47.75</v>
      </c>
      <c r="AB31" s="7">
        <f t="shared" si="0"/>
        <v>67.150000000000006</v>
      </c>
      <c r="AF31" s="39" t="s">
        <v>312</v>
      </c>
      <c r="AG31">
        <v>11</v>
      </c>
      <c r="AH31">
        <v>17</v>
      </c>
      <c r="AI31">
        <v>28</v>
      </c>
      <c r="AJ31" s="1"/>
      <c r="AN31" t="s">
        <v>63</v>
      </c>
      <c r="AO31" t="s">
        <v>60</v>
      </c>
      <c r="AP31">
        <v>1997</v>
      </c>
      <c r="AQ31" t="s">
        <v>39</v>
      </c>
      <c r="AR31" t="s">
        <v>335</v>
      </c>
      <c r="AS31" t="s">
        <v>306</v>
      </c>
      <c r="AT31" t="s">
        <v>239</v>
      </c>
      <c r="AU31" t="s">
        <v>268</v>
      </c>
      <c r="AV31">
        <v>12</v>
      </c>
    </row>
    <row r="32" spans="1:48" x14ac:dyDescent="0.25">
      <c r="A32" s="2">
        <v>7</v>
      </c>
      <c r="B32" t="s">
        <v>42</v>
      </c>
      <c r="C32" s="2" t="s">
        <v>26</v>
      </c>
      <c r="D32" s="2">
        <v>2007</v>
      </c>
      <c r="E32" s="2" t="s">
        <v>43</v>
      </c>
      <c r="F32" t="s">
        <v>36</v>
      </c>
      <c r="G32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2" s="5">
        <v>3.4</v>
      </c>
      <c r="I32" s="8">
        <v>8.4</v>
      </c>
      <c r="J32" s="8">
        <v>11.8</v>
      </c>
      <c r="K32" s="5">
        <v>2.6</v>
      </c>
      <c r="L32" s="8">
        <v>8.5500000000000007</v>
      </c>
      <c r="M32" s="8">
        <v>11.15</v>
      </c>
      <c r="N32" s="5">
        <v>2.4</v>
      </c>
      <c r="O32" s="8">
        <v>7.9</v>
      </c>
      <c r="P32" s="8">
        <v>10.3</v>
      </c>
      <c r="Q32" s="5">
        <v>2.8</v>
      </c>
      <c r="R32" s="8">
        <v>9.0500000000000007</v>
      </c>
      <c r="S32" s="8">
        <v>11.85</v>
      </c>
      <c r="T32" s="5">
        <v>3.1</v>
      </c>
      <c r="U32" s="8">
        <v>8.5500000000000007</v>
      </c>
      <c r="V32" s="8">
        <v>11.65</v>
      </c>
      <c r="W32" s="5">
        <v>1.8</v>
      </c>
      <c r="X32" s="8">
        <v>8.4</v>
      </c>
      <c r="Y32" s="8">
        <v>10.199999999999999</v>
      </c>
      <c r="Z32" s="4">
        <f>IF(Zabrze_result[[#This Row],[All Around]]="Yes",SUM(H32,K32,N32,Q32,T32,W32),0)</f>
        <v>16.099999999999998</v>
      </c>
      <c r="AA32" s="7">
        <f>IF(Zabrze_result[[#This Row],[All Around]]="Yes",SUM(I32,L32,O32,R32,U32,X32),0)</f>
        <v>50.85</v>
      </c>
      <c r="AB32" s="7">
        <f t="shared" si="0"/>
        <v>66.95</v>
      </c>
      <c r="AJ32" s="1"/>
      <c r="AN32" t="s">
        <v>63</v>
      </c>
      <c r="AO32" t="s">
        <v>60</v>
      </c>
      <c r="AP32">
        <v>1997</v>
      </c>
      <c r="AQ32" t="s">
        <v>39</v>
      </c>
      <c r="AR32" t="s">
        <v>335</v>
      </c>
      <c r="AS32" t="s">
        <v>306</v>
      </c>
      <c r="AT32" t="s">
        <v>240</v>
      </c>
      <c r="AU32" t="s">
        <v>310</v>
      </c>
      <c r="AV32">
        <v>5.2</v>
      </c>
    </row>
    <row r="33" spans="1:48" x14ac:dyDescent="0.25">
      <c r="A33" s="2">
        <v>8</v>
      </c>
      <c r="B33" t="s">
        <v>44</v>
      </c>
      <c r="C33" s="2" t="s">
        <v>26</v>
      </c>
      <c r="D33" s="2">
        <v>2007</v>
      </c>
      <c r="E33" s="2" t="s">
        <v>45</v>
      </c>
      <c r="F33" t="s">
        <v>39</v>
      </c>
      <c r="G33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3" s="5">
        <v>3.1</v>
      </c>
      <c r="I33" s="8">
        <v>8.35</v>
      </c>
      <c r="J33" s="8">
        <v>11.45</v>
      </c>
      <c r="K33" s="5">
        <v>3</v>
      </c>
      <c r="L33" s="8">
        <v>7.2</v>
      </c>
      <c r="M33" s="8">
        <v>10.199999999999999</v>
      </c>
      <c r="N33" s="5">
        <v>2.1</v>
      </c>
      <c r="O33" s="8">
        <v>8.0500000000000007</v>
      </c>
      <c r="P33" s="8">
        <v>10.15</v>
      </c>
      <c r="Q33" s="5">
        <v>2.4</v>
      </c>
      <c r="R33" s="8">
        <v>8.9</v>
      </c>
      <c r="S33" s="8">
        <v>11.3</v>
      </c>
      <c r="T33" s="5">
        <v>3</v>
      </c>
      <c r="U33" s="8">
        <v>9</v>
      </c>
      <c r="V33" s="8">
        <v>12</v>
      </c>
      <c r="W33" s="5">
        <v>2.4</v>
      </c>
      <c r="X33" s="8">
        <v>7.9</v>
      </c>
      <c r="Y33" s="8">
        <v>10.3</v>
      </c>
      <c r="Z33" s="4">
        <f>IF(Zabrze_result[[#This Row],[All Around]]="Yes",SUM(H33,K33,N33,Q33,T33,W33),0)</f>
        <v>16</v>
      </c>
      <c r="AA33" s="7">
        <f>IF(Zabrze_result[[#This Row],[All Around]]="Yes",SUM(I33,L33,O33,R33,U33,X33),0)</f>
        <v>49.4</v>
      </c>
      <c r="AB33" s="7">
        <f t="shared" si="0"/>
        <v>65.399999999999991</v>
      </c>
      <c r="AJ33" s="1"/>
      <c r="AN33" t="s">
        <v>63</v>
      </c>
      <c r="AO33" t="s">
        <v>60</v>
      </c>
      <c r="AP33">
        <v>1997</v>
      </c>
      <c r="AQ33" t="s">
        <v>39</v>
      </c>
      <c r="AR33" t="s">
        <v>335</v>
      </c>
      <c r="AS33" t="s">
        <v>306</v>
      </c>
      <c r="AT33" t="s">
        <v>240</v>
      </c>
      <c r="AU33" t="s">
        <v>311</v>
      </c>
      <c r="AV33">
        <v>9.6</v>
      </c>
    </row>
    <row r="34" spans="1:48" x14ac:dyDescent="0.25">
      <c r="A34" s="2">
        <v>9</v>
      </c>
      <c r="B34" t="s">
        <v>46</v>
      </c>
      <c r="C34" s="2" t="s">
        <v>26</v>
      </c>
      <c r="D34" s="2">
        <v>2006</v>
      </c>
      <c r="E34" s="2" t="s">
        <v>47</v>
      </c>
      <c r="F34" t="s">
        <v>36</v>
      </c>
      <c r="G34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4" s="5">
        <v>2.9</v>
      </c>
      <c r="I34" s="8">
        <v>8.1999999999999993</v>
      </c>
      <c r="J34" s="8">
        <v>11.1</v>
      </c>
      <c r="K34" s="5">
        <v>2.2000000000000002</v>
      </c>
      <c r="L34" s="8">
        <v>5.75</v>
      </c>
      <c r="M34" s="8">
        <v>7.95</v>
      </c>
      <c r="N34" s="5">
        <v>1.7</v>
      </c>
      <c r="O34" s="8">
        <v>6.8</v>
      </c>
      <c r="P34" s="8">
        <v>8.5</v>
      </c>
      <c r="Q34" s="5">
        <v>1.6</v>
      </c>
      <c r="R34" s="8">
        <v>9</v>
      </c>
      <c r="S34" s="8">
        <v>10.6</v>
      </c>
      <c r="T34" s="5">
        <v>2.4</v>
      </c>
      <c r="U34" s="8">
        <v>8.6</v>
      </c>
      <c r="V34" s="8">
        <v>11</v>
      </c>
      <c r="W34" s="5">
        <v>1.8</v>
      </c>
      <c r="X34" s="8">
        <v>7.7</v>
      </c>
      <c r="Y34" s="8">
        <v>9.5</v>
      </c>
      <c r="Z34" s="4">
        <f>IF(Zabrze_result[[#This Row],[All Around]]="Yes",SUM(H34,K34,N34,Q34,T34,W34),0)</f>
        <v>12.600000000000001</v>
      </c>
      <c r="AA34" s="7">
        <f>IF(Zabrze_result[[#This Row],[All Around]]="Yes",SUM(I34,L34,O34,R34,U34,X34),0)</f>
        <v>46.050000000000004</v>
      </c>
      <c r="AB34" s="7">
        <f t="shared" si="0"/>
        <v>58.65</v>
      </c>
      <c r="AJ34" s="1"/>
      <c r="AN34" t="s">
        <v>63</v>
      </c>
      <c r="AO34" t="s">
        <v>60</v>
      </c>
      <c r="AP34">
        <v>1997</v>
      </c>
      <c r="AQ34" t="s">
        <v>39</v>
      </c>
      <c r="AR34" t="s">
        <v>335</v>
      </c>
      <c r="AS34" t="s">
        <v>306</v>
      </c>
      <c r="AT34" t="s">
        <v>240</v>
      </c>
      <c r="AU34" t="s">
        <v>268</v>
      </c>
      <c r="AV34">
        <v>14.8</v>
      </c>
    </row>
    <row r="35" spans="1:48" x14ac:dyDescent="0.25">
      <c r="A35" s="2">
        <v>10</v>
      </c>
      <c r="B35" t="s">
        <v>48</v>
      </c>
      <c r="C35" s="2" t="s">
        <v>26</v>
      </c>
      <c r="D35" s="2">
        <v>2006</v>
      </c>
      <c r="E35" s="2" t="s">
        <v>49</v>
      </c>
      <c r="F35" t="s">
        <v>36</v>
      </c>
      <c r="G35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Yes</v>
      </c>
      <c r="H35" s="5">
        <v>3.2</v>
      </c>
      <c r="I35" s="8">
        <v>8.15</v>
      </c>
      <c r="J35" s="8">
        <v>11.35</v>
      </c>
      <c r="K35" s="5">
        <v>2.7</v>
      </c>
      <c r="L35" s="8">
        <v>1.95</v>
      </c>
      <c r="M35" s="8">
        <v>4.6500000000000004</v>
      </c>
      <c r="N35" s="5">
        <v>2.5</v>
      </c>
      <c r="O35" s="8">
        <v>6.5</v>
      </c>
      <c r="P35" s="8">
        <v>9</v>
      </c>
      <c r="Q35" s="5">
        <v>1.6</v>
      </c>
      <c r="R35" s="8">
        <v>9.5</v>
      </c>
      <c r="S35" s="8">
        <v>11.1</v>
      </c>
      <c r="T35" s="5">
        <v>3.1</v>
      </c>
      <c r="U35" s="8">
        <v>7.8</v>
      </c>
      <c r="V35" s="8">
        <v>10.9</v>
      </c>
      <c r="W35" s="5">
        <v>1.9</v>
      </c>
      <c r="X35" s="8">
        <v>8.1999999999999993</v>
      </c>
      <c r="Y35" s="8">
        <v>10.1</v>
      </c>
      <c r="Z35" s="4">
        <f>IF(Zabrze_result[[#This Row],[All Around]]="Yes",SUM(H35,K35,N35,Q35,T35,W35),0)</f>
        <v>15</v>
      </c>
      <c r="AA35" s="7">
        <f>IF(Zabrze_result[[#This Row],[All Around]]="Yes",SUM(I35,L35,O35,R35,U35,X35),0)</f>
        <v>42.099999999999994</v>
      </c>
      <c r="AB35" s="7">
        <f t="shared" si="0"/>
        <v>57.1</v>
      </c>
      <c r="AJ35" s="1"/>
      <c r="AN35" t="s">
        <v>63</v>
      </c>
      <c r="AO35" t="s">
        <v>60</v>
      </c>
      <c r="AP35">
        <v>1997</v>
      </c>
      <c r="AQ35" t="s">
        <v>39</v>
      </c>
      <c r="AR35" t="s">
        <v>335</v>
      </c>
      <c r="AS35" t="s">
        <v>306</v>
      </c>
      <c r="AT35" t="s">
        <v>316</v>
      </c>
      <c r="AU35" t="s">
        <v>310</v>
      </c>
      <c r="AV35">
        <v>4.2</v>
      </c>
    </row>
    <row r="36" spans="1:48" x14ac:dyDescent="0.25">
      <c r="A36" s="2">
        <v>11</v>
      </c>
      <c r="B36" t="s">
        <v>50</v>
      </c>
      <c r="C36" s="2" t="s">
        <v>26</v>
      </c>
      <c r="D36" s="2">
        <v>2007</v>
      </c>
      <c r="E36" s="2" t="s">
        <v>51</v>
      </c>
      <c r="F36" t="s">
        <v>36</v>
      </c>
      <c r="G36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36" s="5">
        <v>3.7</v>
      </c>
      <c r="I36" s="8">
        <v>8.3000000000000007</v>
      </c>
      <c r="J36" s="8">
        <v>12</v>
      </c>
      <c r="K36" s="5">
        <v>0</v>
      </c>
      <c r="L36" s="8">
        <v>0</v>
      </c>
      <c r="M36" s="8">
        <v>0</v>
      </c>
      <c r="N36" s="5">
        <v>3.7</v>
      </c>
      <c r="O36" s="8">
        <v>8.1</v>
      </c>
      <c r="P36" s="8">
        <v>11.8</v>
      </c>
      <c r="Q36" s="5">
        <v>0</v>
      </c>
      <c r="R36" s="8">
        <v>0</v>
      </c>
      <c r="S36" s="8">
        <v>0</v>
      </c>
      <c r="T36" s="5">
        <v>0</v>
      </c>
      <c r="U36" s="8">
        <v>0</v>
      </c>
      <c r="V36" s="8">
        <v>0</v>
      </c>
      <c r="W36" s="5">
        <v>2.7</v>
      </c>
      <c r="X36" s="8">
        <v>8</v>
      </c>
      <c r="Y36" s="8">
        <v>10.7</v>
      </c>
      <c r="Z36" s="4">
        <f>IF(Zabrze_result[[#This Row],[All Around]]="Yes",SUM(H36,K36,N36,Q36,T36,W36),0)</f>
        <v>0</v>
      </c>
      <c r="AA36" s="7">
        <f>IF(Zabrze_result[[#This Row],[All Around]]="Yes",SUM(I36,L36,O36,R36,U36,X36),0)</f>
        <v>0</v>
      </c>
      <c r="AB36" s="7">
        <f t="shared" si="0"/>
        <v>34.5</v>
      </c>
      <c r="AJ36" s="1"/>
      <c r="AN36" t="s">
        <v>63</v>
      </c>
      <c r="AO36" t="s">
        <v>60</v>
      </c>
      <c r="AP36">
        <v>1997</v>
      </c>
      <c r="AQ36" t="s">
        <v>39</v>
      </c>
      <c r="AR36" t="s">
        <v>335</v>
      </c>
      <c r="AS36" t="s">
        <v>306</v>
      </c>
      <c r="AT36" t="s">
        <v>316</v>
      </c>
      <c r="AU36" t="s">
        <v>311</v>
      </c>
      <c r="AV36">
        <v>8.1999999999999993</v>
      </c>
    </row>
    <row r="37" spans="1:48" x14ac:dyDescent="0.25">
      <c r="A37" s="2">
        <v>12</v>
      </c>
      <c r="B37" t="s">
        <v>52</v>
      </c>
      <c r="C37" s="2" t="s">
        <v>26</v>
      </c>
      <c r="D37" s="2">
        <v>2006</v>
      </c>
      <c r="E37" s="2" t="s">
        <v>53</v>
      </c>
      <c r="F37" t="s">
        <v>36</v>
      </c>
      <c r="G37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37" s="5">
        <v>0</v>
      </c>
      <c r="I37" s="8">
        <v>0</v>
      </c>
      <c r="J37" s="8">
        <v>0</v>
      </c>
      <c r="K37" s="5">
        <v>2.2000000000000002</v>
      </c>
      <c r="L37" s="8">
        <v>6.5</v>
      </c>
      <c r="M37" s="8">
        <v>8.6999999999999993</v>
      </c>
      <c r="N37" s="5">
        <v>0</v>
      </c>
      <c r="O37" s="8">
        <v>0</v>
      </c>
      <c r="P37" s="8">
        <v>0</v>
      </c>
      <c r="Q37" s="5">
        <v>0</v>
      </c>
      <c r="R37" s="8">
        <v>0</v>
      </c>
      <c r="S37" s="8">
        <v>0</v>
      </c>
      <c r="T37" s="5">
        <v>3.1</v>
      </c>
      <c r="U37" s="8">
        <v>8</v>
      </c>
      <c r="V37" s="8">
        <v>11.1</v>
      </c>
      <c r="W37" s="5">
        <v>0</v>
      </c>
      <c r="X37" s="8">
        <v>0</v>
      </c>
      <c r="Y37" s="8">
        <v>0</v>
      </c>
      <c r="Z37" s="4">
        <f>IF(Zabrze_result[[#This Row],[All Around]]="Yes",SUM(H37,K37,N37,Q37,T37,W37),0)</f>
        <v>0</v>
      </c>
      <c r="AA37" s="7">
        <f>IF(Zabrze_result[[#This Row],[All Around]]="Yes",SUM(I37,L37,O37,R37,U37,X37),0)</f>
        <v>0</v>
      </c>
      <c r="AB37" s="7">
        <f t="shared" si="0"/>
        <v>19.799999999999997</v>
      </c>
      <c r="AJ37" s="1"/>
      <c r="AN37" t="s">
        <v>63</v>
      </c>
      <c r="AO37" t="s">
        <v>60</v>
      </c>
      <c r="AP37">
        <v>1997</v>
      </c>
      <c r="AQ37" t="s">
        <v>39</v>
      </c>
      <c r="AR37" t="s">
        <v>335</v>
      </c>
      <c r="AS37" t="s">
        <v>306</v>
      </c>
      <c r="AT37" t="s">
        <v>316</v>
      </c>
      <c r="AU37" t="s">
        <v>268</v>
      </c>
      <c r="AV37">
        <v>12.4</v>
      </c>
    </row>
    <row r="38" spans="1:48" x14ac:dyDescent="0.25">
      <c r="A38" s="2">
        <v>13</v>
      </c>
      <c r="B38" t="s">
        <v>54</v>
      </c>
      <c r="C38" s="2" t="s">
        <v>26</v>
      </c>
      <c r="D38" s="2">
        <v>2008</v>
      </c>
      <c r="E38" s="2" t="s">
        <v>55</v>
      </c>
      <c r="F38" t="s">
        <v>56</v>
      </c>
      <c r="G38" s="2" t="str">
        <f>IF((COUNTIF(Zabrze_result[[#This Row],[FX_total_score]],"&gt;0")+COUNTIF(Zabrze_result[[#This Row],[PH_Total_Score]],"&gt;0")+COUNTIF(Zabrze_result[[#This Row],[SR_Total_Score]],"&gt;0")+COUNTIF(Zabrze_result[[#This Row],[VT_total_score]],"&gt;0")+COUNTIF(Zabrze_result[[#This Row],[PB_total_score]],"&gt;0")+COUNTIF(Zabrze_result[[#This Row],[HB_total_score]],"&gt;0"))=6,"Yes","No")</f>
        <v>No</v>
      </c>
      <c r="H38" s="5">
        <v>0</v>
      </c>
      <c r="I38" s="8">
        <v>0</v>
      </c>
      <c r="J38" s="8">
        <v>0</v>
      </c>
      <c r="K38" s="5">
        <v>0</v>
      </c>
      <c r="L38" s="8">
        <v>0</v>
      </c>
      <c r="M38" s="8">
        <v>0</v>
      </c>
      <c r="N38" s="5">
        <v>0</v>
      </c>
      <c r="O38" s="8">
        <v>0</v>
      </c>
      <c r="P38" s="8">
        <v>0</v>
      </c>
      <c r="Q38" s="5">
        <v>1.6</v>
      </c>
      <c r="R38" s="8">
        <v>8.3000000000000007</v>
      </c>
      <c r="S38" s="8">
        <v>9.9</v>
      </c>
      <c r="T38" s="5">
        <v>0</v>
      </c>
      <c r="U38" s="8">
        <v>0</v>
      </c>
      <c r="V38" s="8">
        <v>0</v>
      </c>
      <c r="W38" s="5">
        <v>0</v>
      </c>
      <c r="X38" s="8">
        <v>0</v>
      </c>
      <c r="Y38" s="8">
        <v>0</v>
      </c>
      <c r="Z38" s="4">
        <f>IF(Zabrze_result[[#This Row],[All Around]]="Yes",SUM(H38,K38,N38,Q38,T38,W38),0)</f>
        <v>0</v>
      </c>
      <c r="AA38" s="7">
        <f>IF(Zabrze_result[[#This Row],[All Around]]="Yes",SUM(I38,L38,O38,R38,U38,X38),0)</f>
        <v>0</v>
      </c>
      <c r="AB38" s="7">
        <f t="shared" si="0"/>
        <v>9.9</v>
      </c>
      <c r="AJ38" s="1"/>
      <c r="AN38" t="s">
        <v>63</v>
      </c>
      <c r="AO38" t="s">
        <v>60</v>
      </c>
      <c r="AP38">
        <v>1997</v>
      </c>
      <c r="AQ38" t="s">
        <v>39</v>
      </c>
      <c r="AR38" t="s">
        <v>335</v>
      </c>
      <c r="AS38" t="s">
        <v>306</v>
      </c>
      <c r="AT38" t="s">
        <v>242</v>
      </c>
      <c r="AU38" t="s">
        <v>310</v>
      </c>
      <c r="AV38">
        <v>4.4000000000000004</v>
      </c>
    </row>
    <row r="39" spans="1:48" x14ac:dyDescent="0.25">
      <c r="AN39" t="s">
        <v>63</v>
      </c>
      <c r="AO39" t="s">
        <v>60</v>
      </c>
      <c r="AP39">
        <v>1997</v>
      </c>
      <c r="AQ39" t="s">
        <v>39</v>
      </c>
      <c r="AR39" t="s">
        <v>335</v>
      </c>
      <c r="AS39" t="s">
        <v>306</v>
      </c>
      <c r="AT39" t="s">
        <v>242</v>
      </c>
      <c r="AU39" t="s">
        <v>311</v>
      </c>
      <c r="AV39">
        <v>6.8</v>
      </c>
    </row>
    <row r="40" spans="1:48" x14ac:dyDescent="0.25">
      <c r="AN40" t="s">
        <v>63</v>
      </c>
      <c r="AO40" t="s">
        <v>60</v>
      </c>
      <c r="AP40">
        <v>1997</v>
      </c>
      <c r="AQ40" t="s">
        <v>39</v>
      </c>
      <c r="AR40" t="s">
        <v>335</v>
      </c>
      <c r="AS40" t="s">
        <v>306</v>
      </c>
      <c r="AT40" t="s">
        <v>242</v>
      </c>
      <c r="AU40" t="s">
        <v>268</v>
      </c>
      <c r="AV40">
        <v>11.2</v>
      </c>
    </row>
    <row r="41" spans="1:48" ht="15" customHeight="1" x14ac:dyDescent="0.25">
      <c r="AN41" t="s">
        <v>63</v>
      </c>
      <c r="AO41" t="s">
        <v>60</v>
      </c>
      <c r="AP41">
        <v>1997</v>
      </c>
      <c r="AQ41" t="s">
        <v>39</v>
      </c>
      <c r="AR41" t="s">
        <v>335</v>
      </c>
      <c r="AS41" t="s">
        <v>306</v>
      </c>
      <c r="AT41" t="s">
        <v>243</v>
      </c>
      <c r="AU41" t="s">
        <v>337</v>
      </c>
      <c r="AV41">
        <v>28.299999999999997</v>
      </c>
    </row>
    <row r="42" spans="1:48" ht="21.75" customHeight="1" x14ac:dyDescent="0.25">
      <c r="A42" s="2" t="s">
        <v>2</v>
      </c>
      <c r="B42" s="10" t="s">
        <v>217</v>
      </c>
      <c r="C42" s="10" t="s">
        <v>244</v>
      </c>
      <c r="D42" s="10" t="s">
        <v>249</v>
      </c>
      <c r="E42" s="10" t="s">
        <v>245</v>
      </c>
      <c r="F42" s="10" t="s">
        <v>250</v>
      </c>
      <c r="G42" s="10" t="s">
        <v>246</v>
      </c>
      <c r="H42" s="10" t="s">
        <v>251</v>
      </c>
      <c r="I42" s="10" t="s">
        <v>252</v>
      </c>
      <c r="J42" s="10" t="s">
        <v>253</v>
      </c>
      <c r="V42" s="13"/>
      <c r="Z42" s="5"/>
      <c r="AN42" t="s">
        <v>63</v>
      </c>
      <c r="AO42" t="s">
        <v>60</v>
      </c>
      <c r="AP42">
        <v>1997</v>
      </c>
      <c r="AQ42" t="s">
        <v>39</v>
      </c>
      <c r="AR42" t="s">
        <v>335</v>
      </c>
      <c r="AS42" t="s">
        <v>306</v>
      </c>
      <c r="AT42" t="s">
        <v>243</v>
      </c>
      <c r="AU42" t="s">
        <v>338</v>
      </c>
      <c r="AV42">
        <v>45.7</v>
      </c>
    </row>
    <row r="43" spans="1:48" ht="30" customHeight="1" x14ac:dyDescent="0.25">
      <c r="A43" s="2" t="s">
        <v>60</v>
      </c>
      <c r="B43" s="10" t="s">
        <v>243</v>
      </c>
      <c r="C43" s="11">
        <f>AVERAGEIFS(Zabrze_result[AA_Dscore],Zabrze_result[[Category]:[Category]],"senior",Zabrze_result[AA_Dscore],"&lt;&gt;0",Zabrze_result[All Around],"Yes")</f>
        <v>22.863636363636363</v>
      </c>
      <c r="D43" s="11" cm="1">
        <f t="array" ref="D43">_xlfn.STDEV.S(_xlfn._xlws.FILTER(Zabrze_result[AA_Dscore],(Zabrze_result[Category]="senior")*(Zabrze_result[All Around]="yes")))</f>
        <v>3.0133943410289863</v>
      </c>
      <c r="E43" s="12">
        <f>AVERAGEIFS(Zabrze_result[AA_Escore],Zabrze_result[[Category]:[Category]],"senior",Zabrze_result[AA_Escore],"&lt;&gt;0",Zabrze_result[All Around],"Yes")</f>
        <v>47.522727272727273</v>
      </c>
      <c r="F43" s="12" cm="1">
        <f t="array" ref="F43">_xlfn.STDEV.S(_xlfn._xlws.FILTER(Zabrze_result[AA_Escore],(Zabrze_result[Category]="senior")*(Zabrze_result[All Around]="yes"),""))</f>
        <v>2.2749025953173954</v>
      </c>
      <c r="G43" s="12">
        <f>AVERAGEIFS(Zabrze_result[Total_Score],Zabrze_result[[Category]:[Category]],"senior",Zabrze_result[Total_Score],"&lt;&gt;0",Zabrze_result[All Around],"Yes")</f>
        <v>70.38636363636364</v>
      </c>
      <c r="H43" s="12" cm="1">
        <f t="array" ref="H43">_xlfn.STDEV.S(_xlfn._xlws.FILTER(Zabrze_result[Total_Score],(Zabrze_result[Category]="senior")*(Zabrze_result[All Around]="yes")))</f>
        <v>3.1466721237754438</v>
      </c>
      <c r="I43" s="12" cm="1">
        <f t="array" ref="I43">MAX(_xlfn._xlws.FILTER(Zabrze_result[Total_Score],Zabrze_result[Category]="senior"))</f>
        <v>76.150000000000006</v>
      </c>
      <c r="J43" s="10" t="str" cm="1">
        <f t="array" ref="J43">IF(COUNTIFS(Zabrze_result[Total_Score],I43,Zabrze_result[Category],"senior")&gt;1,_xlfn.XLOOKUP(I43,_xlfn._xlws.FILTER(Zabrze_result[Total_Score],Zabrze_result[Category]="senior"),_xlfn._xlws.FILTER(Zabrze_result[Name],Zabrze_result[Category]="senior"),0)&amp;" and "&amp;(COUNTIFS(Zabrze_result[Total_Score],I43,Zabrze_result[Category],"senior")-1)&amp;" more",_xlfn.XLOOKUP(I43,_xlfn._xlws.FILTER(Zabrze_result[Total_Score],Zabrze_result[Category]="senior"),_xlfn._xlws.FILTER(Zabrze_result[Name],Zabrze_result[Category]="senior"),0))</f>
        <v>GARNCZAREK Kacper</v>
      </c>
      <c r="AN43" t="s">
        <v>63</v>
      </c>
      <c r="AO43" t="s">
        <v>60</v>
      </c>
      <c r="AP43">
        <v>1997</v>
      </c>
      <c r="AQ43" t="s">
        <v>39</v>
      </c>
      <c r="AR43" t="s">
        <v>335</v>
      </c>
      <c r="AS43" t="s">
        <v>306</v>
      </c>
      <c r="AT43" t="s">
        <v>243</v>
      </c>
      <c r="AU43" t="s">
        <v>339</v>
      </c>
      <c r="AV43">
        <v>74</v>
      </c>
    </row>
    <row r="44" spans="1:48" ht="30" customHeight="1" x14ac:dyDescent="0.25">
      <c r="A44" s="2" t="s">
        <v>60</v>
      </c>
      <c r="B44" s="10" t="s">
        <v>218</v>
      </c>
      <c r="C44" s="11">
        <f>AVERAGEIFS(Zabrze_result[FX_Dscore],Zabrze_result[[Category]:[Category]],"senior",Zabrze_result[FX_Dscore],"&lt;&gt;0")</f>
        <v>4.2333333333333325</v>
      </c>
      <c r="D44" s="11" cm="1">
        <f t="array" ref="D44">_xlfn.STDEV.S(_xlfn._xlws.FILTER(Zabrze_result[FX_Dscore],(Zabrze_result[Category]="senior")*(Zabrze_result[FX_Dscore]&gt;0)))</f>
        <v>0.67475485744606734</v>
      </c>
      <c r="E44" s="12">
        <f>AVERAGEIFS(Zabrze_result[FX_Escore],Zabrze_result[[Category]:[Category]],"senior",Zabrze_result[FX_Escore],"&lt;&gt;0")</f>
        <v>7.6055555555555561</v>
      </c>
      <c r="F44" s="12" cm="1">
        <f t="array" ref="F44">_xlfn.STDEV.S(_xlfn._xlws.FILTER(Zabrze_result[FX_Escore],(Zabrze_result[Category]="senior")*(Zabrze_result[FX_Escore]&gt;0)))</f>
        <v>0.88731069047876676</v>
      </c>
      <c r="G44" s="12">
        <f>AVERAGEIFS(Zabrze_result[FX_total_score],Zabrze_result[[Category]:[Category]],"senior",Zabrze_result[FX_total_score],"&lt;&gt;0")</f>
        <v>11.838888888888887</v>
      </c>
      <c r="H44" s="12" cm="1">
        <f t="array" ref="H44">_xlfn.STDEV.S(_xlfn._xlws.FILTER(Zabrze_result[FX_total_score],(Zabrze_result[Category]="senior")*(Zabrze_result[FX_total_score]&gt;0)))</f>
        <v>0.91964755965909473</v>
      </c>
      <c r="I44" s="12" cm="1">
        <f t="array" ref="I44">MAX(_xlfn._xlws.FILTER(Zabrze_result[FX_total_score],Zabrze_result[Category]="senior"))</f>
        <v>13.45</v>
      </c>
      <c r="J44" s="10" t="str" cm="1">
        <f t="array" ref="J44">IF(COUNTIFS(Zabrze_result[FX_total_score],I44,Zabrze_result[Category],"senior")&gt;1,_xlfn.XLOOKUP(I44,_xlfn._xlws.FILTER(Zabrze_result[FX_total_score],Zabrze_result[Category]="senior"),_xlfn._xlws.FILTER(Zabrze_result[Name],Zabrze_result[Category]="senior"),0)&amp;" and "&amp;(COUNTIFS(Zabrze_result[FX_total_score],I44,Zabrze_result[Category],"senior")-1)&amp;" more",_xlfn.XLOOKUP(I44,_xlfn._xlws.FILTER(Zabrze_result[FX_total_score],Zabrze_result[Category]="senior"),_xlfn._xlws.FILTER(Zabrze_result[Name],Zabrze_result[Category]="senior"),0))</f>
        <v>GARNCZAREK Kacper</v>
      </c>
      <c r="AN44" t="s">
        <v>65</v>
      </c>
      <c r="AO44" t="s">
        <v>60</v>
      </c>
      <c r="AP44">
        <v>2001</v>
      </c>
      <c r="AQ44" t="s">
        <v>67</v>
      </c>
      <c r="AR44" t="s">
        <v>335</v>
      </c>
      <c r="AS44" t="s">
        <v>306</v>
      </c>
      <c r="AT44" t="s">
        <v>218</v>
      </c>
      <c r="AU44" t="s">
        <v>310</v>
      </c>
      <c r="AV44">
        <v>3.8</v>
      </c>
    </row>
    <row r="45" spans="1:48" ht="30" customHeight="1" x14ac:dyDescent="0.25">
      <c r="A45" s="2" t="s">
        <v>60</v>
      </c>
      <c r="B45" s="10" t="s">
        <v>242</v>
      </c>
      <c r="C45" s="11">
        <f>AVERAGEIFS(Zabrze_result[HB_Dscore],Zabrze_result[[Category]:[Category]],"senior",Zabrze_result[HB_Dscore],"&lt;&gt;0")</f>
        <v>2.976923076923077</v>
      </c>
      <c r="D45" s="11" cm="1">
        <f t="array" ref="D45">_xlfn.STDEV.S(_xlfn._xlws.FILTER(Zabrze_result[HB_Dscore],(Zabrze_result[Category]="senior")*(Zabrze_result[HB_Dscore]&gt;0)))</f>
        <v>0.87001326249838074</v>
      </c>
      <c r="E45" s="12">
        <f>AVERAGEIFS(Zabrze_result[HB_Escore],Zabrze_result[[Category]:[Category]],"senior",Zabrze_result[HB_Escore],"&lt;&gt;0")</f>
        <v>7.3884615384615397</v>
      </c>
      <c r="F45" s="12" cm="1">
        <f t="array" ref="F45">_xlfn.STDEV.S(_xlfn._xlws.FILTER(Zabrze_result[HB_Escore],(Zabrze_result[Category]="senior")*(Zabrze_result[HB_Escore]&gt;0)))</f>
        <v>0.78186578296027864</v>
      </c>
      <c r="G45" s="12">
        <f>AVERAGEIFS(Zabrze_result[HB_total_score],Zabrze_result[[Category]:[Category]],"senior",Zabrze_result[HB_total_score],"&lt;&gt;0")</f>
        <v>10.365384615384613</v>
      </c>
      <c r="H45" s="12" cm="1">
        <f t="array" ref="H45">_xlfn.STDEV.S(_xlfn._xlws.FILTER(Zabrze_result[HB_total_score],(Zabrze_result[Category]="senior")*(Zabrze_result[HB_total_score]&gt;0)))</f>
        <v>1.2224266534549073</v>
      </c>
      <c r="I45" s="12" cm="1">
        <f t="array" ref="I45">MAX(_xlfn._xlws.FILTER(Zabrze_result[HB_total_score],Zabrze_result[Category]="senior"))</f>
        <v>12</v>
      </c>
      <c r="J45" s="10" t="str" cm="1">
        <f t="array" ref="J45">IF(COUNTIFS(Zabrze_result[HB_total_score],I45,Zabrze_result[Category],"senior")&gt;1,_xlfn.XLOOKUP(I45,_xlfn._xlws.FILTER(Zabrze_result[HB_total_score],Zabrze_result[Category]="senior"),_xlfn._xlws.FILTER(Zabrze_result[Name],Zabrze_result[Category]="senior"),0)&amp;" and "&amp;(COUNTIFS(Zabrze_result[HB_total_score],I45,Zabrze_result[Category],"senior")-1)&amp;" more",_xlfn.XLOOKUP(I45,_xlfn._xlws.FILTER(Zabrze_result[HB_total_score],Zabrze_result[Category]="senior"),_xlfn._xlws.FILTER(Zabrze_result[Name],Zabrze_result[Category]="senior"),0))</f>
        <v>GARNCZAREK Kacper</v>
      </c>
      <c r="AN45" t="s">
        <v>65</v>
      </c>
      <c r="AO45" t="s">
        <v>60</v>
      </c>
      <c r="AP45">
        <v>2001</v>
      </c>
      <c r="AQ45" t="s">
        <v>67</v>
      </c>
      <c r="AR45" t="s">
        <v>335</v>
      </c>
      <c r="AS45" t="s">
        <v>306</v>
      </c>
      <c r="AT45" t="s">
        <v>218</v>
      </c>
      <c r="AU45" t="s">
        <v>311</v>
      </c>
      <c r="AV45">
        <v>8.4</v>
      </c>
    </row>
    <row r="46" spans="1:48" ht="30" customHeight="1" x14ac:dyDescent="0.25">
      <c r="A46" s="2" t="s">
        <v>60</v>
      </c>
      <c r="B46" s="10" t="s">
        <v>241</v>
      </c>
      <c r="C46" s="11">
        <f>AVERAGEIFS(Zabrze_result[PB_Dscore],Zabrze_result[[Category]:[Category]],"senior",Zabrze_result[PB_Dscore],"&lt;&gt;0")</f>
        <v>3.5117647058823529</v>
      </c>
      <c r="D46" s="11" cm="1">
        <f t="array" ref="D46">_xlfn.STDEV.S(_xlfn._xlws.FILTER(Zabrze_result[PB_Dscore],(Zabrze_result[Category]="senior")*(Zabrze_result[PB_Dscore]&gt;0)))</f>
        <v>0.73474685516609961</v>
      </c>
      <c r="E46" s="12">
        <f>AVERAGEIFS(Zabrze_result[PB_Escore],Zabrze_result[[Category]:[Category]],"senior",Zabrze_result[PB_Escore],"&lt;&gt;0")</f>
        <v>8.147058823529413</v>
      </c>
      <c r="F46" s="12" cm="1">
        <f t="array" ref="F46">_xlfn.STDEV.S(_xlfn._xlws.FILTER(Zabrze_result[PB_Escore],(Zabrze_result[Category]="senior")*(Zabrze_result[PB_Escore]&gt;0)))</f>
        <v>0.69786965747446661</v>
      </c>
      <c r="G46" s="12">
        <f>AVERAGEIFS(Zabrze_result[PB_total_score],Zabrze_result[[Category]:[Category]],"senior",Zabrze_result[PB_total_score],"&lt;&gt;0")</f>
        <v>11.658823529411762</v>
      </c>
      <c r="H46" s="12" cm="1">
        <f t="array" ref="H46">_xlfn.STDEV.S(_xlfn._xlws.FILTER(Zabrze_result[PB_total_score],(Zabrze_result[Category]="senior")*(Zabrze_result[PB_total_score]&gt;0)))</f>
        <v>0.82957731973081617</v>
      </c>
      <c r="I46" s="12" cm="1">
        <f t="array" ref="I46">MAX(_xlfn._xlws.FILTER(Zabrze_result[PB_total_score],Zabrze_result[Category]="senior"))</f>
        <v>12.55</v>
      </c>
      <c r="J46" s="10" t="str" cm="1">
        <f t="array" ref="J46">IF(COUNTIFS(Zabrze_result[PB_total_score],I46,Zabrze_result[Category],"senior")&gt;1,_xlfn.XLOOKUP(I46,_xlfn._xlws.FILTER(Zabrze_result[PB_total_score],Zabrze_result[Category]="senior"),_xlfn._xlws.FILTER(Zabrze_result[Name],Zabrze_result[Category]="senior"),0)&amp;" and "&amp;(COUNTIFS(Zabrze_result[PB_total_score],I46,Zabrze_result[Category],"senior")-1)&amp;" more",_xlfn.XLOOKUP(I46,_xlfn._xlws.FILTER(Zabrze_result[PB_total_score],Zabrze_result[Category]="senior"),_xlfn._xlws.FILTER(Zabrze_result[Name],Zabrze_result[Category]="senior"),0))</f>
        <v>BOBER Michał</v>
      </c>
      <c r="AN46" t="s">
        <v>65</v>
      </c>
      <c r="AO46" t="s">
        <v>60</v>
      </c>
      <c r="AP46">
        <v>2001</v>
      </c>
      <c r="AQ46" t="s">
        <v>67</v>
      </c>
      <c r="AR46" t="s">
        <v>335</v>
      </c>
      <c r="AS46" t="s">
        <v>306</v>
      </c>
      <c r="AT46" t="s">
        <v>218</v>
      </c>
      <c r="AU46" t="s">
        <v>268</v>
      </c>
      <c r="AV46">
        <v>12.2</v>
      </c>
    </row>
    <row r="47" spans="1:48" ht="30" customHeight="1" x14ac:dyDescent="0.25">
      <c r="A47" s="2" t="s">
        <v>60</v>
      </c>
      <c r="B47" s="10" t="s">
        <v>238</v>
      </c>
      <c r="C47" s="11">
        <f>AVERAGEIFS(Zabrze_result[PH_Dscore],Zabrze_result[[Category]:[Category]],"senior",Zabrze_result[PH_Dscore],"&lt;&gt;0")</f>
        <v>3.6277777777777782</v>
      </c>
      <c r="D47" s="11" cm="1">
        <f t="array" ref="D47">_xlfn.STDEV.S(_xlfn._xlws.FILTER(Zabrze_result[PH_Dscore],(Zabrze_result[Category]="senior")*(Zabrze_result[PH_Dscore]&gt;0)))</f>
        <v>0.66226487997011196</v>
      </c>
      <c r="E47" s="12">
        <f>AVERAGEIFS(Zabrze_result[PH_Escore],Zabrze_result[[Category]:[Category]],"senior",Zabrze_result[PH_Escore],"&lt;&gt;0")</f>
        <v>6.973529411764706</v>
      </c>
      <c r="F47" s="12" cm="1">
        <f t="array" ref="F47">_xlfn.STDEV.S(_xlfn._xlws.FILTER(Zabrze_result[PH_Escore],(Zabrze_result[Category]="senior")*(Zabrze_result[PH_Escore]&gt;0)))</f>
        <v>1.0658209346348413</v>
      </c>
      <c r="G47" s="12">
        <f>AVERAGEIFS(Zabrze_result[PH_Total_Score],Zabrze_result[[Category]:[Category]],"senior",Zabrze_result[PH_Total_Score],"&lt;&gt;0")</f>
        <v>10.21388888888889</v>
      </c>
      <c r="H47" s="12" cm="1">
        <f t="array" ref="H47">_xlfn.STDEV.S(_xlfn._xlws.FILTER(Zabrze_result[PH_Total_Score],(Zabrze_result[Category]="senior")*(Zabrze_result[PH_Total_Score]&gt;0)))</f>
        <v>2.3036292054798757</v>
      </c>
      <c r="I47" s="12" cm="1">
        <f t="array" ref="I47">MAX(_xlfn._xlws.FILTER(Zabrze_result[PH_Total_Score],Zabrze_result[Category]="senior"))</f>
        <v>12.45</v>
      </c>
      <c r="J47" s="10" t="str" cm="1">
        <f t="array" ref="J47">IF(COUNTIFS(Zabrze_result[PH_Total_Score],I47,Zabrze_result[Category],"senior")&gt;1,_xlfn.XLOOKUP(I47,_xlfn._xlws.FILTER(Zabrze_result[PH_Total_Score],Zabrze_result[Category]="senior"),_xlfn._xlws.FILTER(Zabrze_result[Name],Zabrze_result[Category]="senior"),0)&amp;" and "&amp;(COUNTIFS(Zabrze_result[PH_Total_Score],I47,Zabrze_result[Category],"senior")-1)&amp;" more",_xlfn.XLOOKUP(I47,_xlfn._xlws.FILTER(Zabrze_result[PH_Total_Score],Zabrze_result[Category]="senior"),_xlfn._xlws.FILTER(Zabrze_result[Name],Zabrze_result[Category]="senior"),0))</f>
        <v>LAKHIN Yaroslav</v>
      </c>
      <c r="AN47" t="s">
        <v>65</v>
      </c>
      <c r="AO47" t="s">
        <v>60</v>
      </c>
      <c r="AP47">
        <v>2001</v>
      </c>
      <c r="AQ47" t="s">
        <v>67</v>
      </c>
      <c r="AR47" t="s">
        <v>335</v>
      </c>
      <c r="AS47" t="s">
        <v>306</v>
      </c>
      <c r="AT47" t="s">
        <v>238</v>
      </c>
      <c r="AU47" t="s">
        <v>310</v>
      </c>
      <c r="AV47">
        <v>3</v>
      </c>
    </row>
    <row r="48" spans="1:48" ht="30" customHeight="1" x14ac:dyDescent="0.25">
      <c r="A48" s="2" t="s">
        <v>60</v>
      </c>
      <c r="B48" s="10" t="s">
        <v>239</v>
      </c>
      <c r="C48" s="11">
        <f>AVERAGEIFS(Zabrze_result[SR_Dscore],Zabrze_result[[Category]:[Category]],"senior",Zabrze_result[SR_Dscore],"&lt;&gt;0")</f>
        <v>3.5263157894736836</v>
      </c>
      <c r="D48" s="11" cm="1">
        <f t="array" ref="D48">_xlfn.STDEV.S(_xlfn._xlws.FILTER(Zabrze_result[SR_Dscore],(Zabrze_result[Category]="senior")*(Zabrze_result[SR_Dscore]&gt;0)))</f>
        <v>0.62613639378791497</v>
      </c>
      <c r="E48" s="12">
        <f>AVERAGEIFS(Zabrze_result[SR_Escore],Zabrze_result[[Category]:[Category]],"senior",Zabrze_result[SR_Escore],"&lt;&gt;0")</f>
        <v>7.1684210526315786</v>
      </c>
      <c r="F48" s="12" cm="1">
        <f t="array" ref="F48">_xlfn.STDEV.S(_xlfn._xlws.FILTER(Zabrze_result[SR_Escore],(Zabrze_result[Category]="senior")*(Zabrze_result[SR_Escore]&gt;0)))</f>
        <v>1.7915860854992114</v>
      </c>
      <c r="G48" s="12">
        <f>AVERAGEIFS(Zabrze_result[SR_Total_Score],Zabrze_result[[Category]:[Category]],"senior",Zabrze_result[SR_Total_Score],"&lt;&gt;0")</f>
        <v>10.694736842105263</v>
      </c>
      <c r="H48" s="12" cm="1">
        <f t="array" ref="H48">_xlfn.STDEV.S(_xlfn._xlws.FILTER(Zabrze_result[SR_Total_Score],(Zabrze_result[Category]="senior")*(Zabrze_result[SR_Total_Score]&gt;0)))</f>
        <v>2.2313980879485746</v>
      </c>
      <c r="I48" s="12" cm="1">
        <f t="array" ref="I48">MAX(_xlfn._xlws.FILTER(Zabrze_result[SR_Total_Score],Zabrze_result[Category]="senior"))</f>
        <v>12.7</v>
      </c>
      <c r="J48" s="10" t="str" cm="1">
        <f t="array" ref="J48">IF(COUNTIFS(Zabrze_result[SR_Total_Score],I48,Zabrze_result[Category],"senior")&gt;1,_xlfn.XLOOKUP(I48,_xlfn._xlws.FILTER(Zabrze_result[SR_Total_Score],Zabrze_result[Category]="senior"),_xlfn._xlws.FILTER(Zabrze_result[Name],Zabrze_result[Category]="senior"),0)&amp;" and "&amp;(COUNTIFS(Zabrze_result[SR_Total_Score],I48,Zabrze_result[Category],"senior")-1)&amp;" more",_xlfn.XLOOKUP(I48,_xlfn._xlws.FILTER(Zabrze_result[SR_Total_Score],Zabrze_result[Category]="senior"),_xlfn._xlws.FILTER(Zabrze_result[Name],Zabrze_result[Category]="senior"),0))</f>
        <v>IAREMCHUK Vladyslav</v>
      </c>
      <c r="AN48" t="s">
        <v>65</v>
      </c>
      <c r="AO48" t="s">
        <v>60</v>
      </c>
      <c r="AP48">
        <v>2001</v>
      </c>
      <c r="AQ48" t="s">
        <v>67</v>
      </c>
      <c r="AR48" t="s">
        <v>335</v>
      </c>
      <c r="AS48" t="s">
        <v>306</v>
      </c>
      <c r="AT48" t="s">
        <v>238</v>
      </c>
      <c r="AU48" t="s">
        <v>311</v>
      </c>
      <c r="AV48">
        <v>8.4</v>
      </c>
    </row>
    <row r="49" spans="1:48" ht="30" customHeight="1" x14ac:dyDescent="0.25">
      <c r="A49" s="2" t="s">
        <v>60</v>
      </c>
      <c r="B49" s="10" t="s">
        <v>240</v>
      </c>
      <c r="C49" s="11">
        <f>AVERAGEIFS(Zabrze_result[VT_Dscore],Zabrze_result[[Category]:[Category]],"senior",Zabrze_result[VT_Dscore],"&lt;&gt;0")</f>
        <v>3.835294117647059</v>
      </c>
      <c r="D49" s="11" cm="1">
        <f t="array" ref="D49">_xlfn.STDEV.S(_xlfn._xlws.FILTER(Zabrze_result[VT_Dscore],(Zabrze_result[Category]="senior")*(Zabrze_result[VT_Dscore]&gt;0)))</f>
        <v>0.67909975010173473</v>
      </c>
      <c r="E49" s="12">
        <f>AVERAGEIFS(Zabrze_result[VT_Escore],Zabrze_result[[Category]:[Category]],"senior",Zabrze_result[VT_Escore],"&lt;&gt;0")</f>
        <v>9.0264705882352967</v>
      </c>
      <c r="F49" s="12" cm="1">
        <f t="array" ref="F49">_xlfn.STDEV.S(_xlfn._xlws.FILTER(Zabrze_result[VT_Escore],(Zabrze_result[Category]="senior")*(Zabrze_result[VT_Escore]&gt;0)))</f>
        <v>0.43269419305773249</v>
      </c>
      <c r="G49" s="12">
        <f>AVERAGEIFS(Zabrze_result[VT_total_score],Zabrze_result[[Category]:[Category]],"senior",Zabrze_result[VT_total_score],"&lt;&gt;0")</f>
        <v>12.861764705882351</v>
      </c>
      <c r="H49" s="12" cm="1">
        <f t="array" ref="H49">_xlfn.STDEV.S(_xlfn._xlws.FILTER(Zabrze_result[VT_total_score],(Zabrze_result[Category]="senior")*(Zabrze_result[VT_total_score]&gt;0)))</f>
        <v>0.74341471681455884</v>
      </c>
      <c r="I49" s="12" cm="1">
        <f t="array" ref="I49">MAX(_xlfn._xlws.FILTER(Zabrze_result[VT_total_score],Zabrze_result[Category]="senior"))</f>
        <v>14.8</v>
      </c>
      <c r="J49" s="10" t="str" cm="1">
        <f t="array" ref="J49">IF(COUNTIFS(Zabrze_result[VT_total_score],I49,Zabrze_result[Category],"senior")&gt;1,_xlfn.XLOOKUP(I49,_xlfn._xlws.FILTER(Zabrze_result[VT_total_score],Zabrze_result[Category]="senior"),_xlfn._xlws.FILTER(Zabrze_result[Name],Zabrze_result[Category]="senior"),0)&amp;" and "&amp;(COUNTIFS(Zabrze_result[VT_total_score],I49,Zabrze_result[Category],"senior")-1)&amp;" more",_xlfn.XLOOKUP(I49,_xlfn._xlws.FILTER(Zabrze_result[VT_total_score],Zabrze_result[Category]="senior"),_xlfn._xlws.FILTER(Zabrze_result[Name],Zabrze_result[Category]="senior"),0))</f>
        <v>SASNAL Filip</v>
      </c>
      <c r="AN49" t="s">
        <v>65</v>
      </c>
      <c r="AO49" t="s">
        <v>60</v>
      </c>
      <c r="AP49">
        <v>2001</v>
      </c>
      <c r="AQ49" t="s">
        <v>67</v>
      </c>
      <c r="AR49" t="s">
        <v>335</v>
      </c>
      <c r="AS49" t="s">
        <v>306</v>
      </c>
      <c r="AT49" t="s">
        <v>238</v>
      </c>
      <c r="AU49" t="s">
        <v>268</v>
      </c>
      <c r="AV49">
        <v>11.4</v>
      </c>
    </row>
    <row r="50" spans="1:48" ht="30" customHeight="1" x14ac:dyDescent="0.25">
      <c r="A50" s="2" t="s">
        <v>26</v>
      </c>
      <c r="B50" s="10" t="s">
        <v>243</v>
      </c>
      <c r="C50" s="11">
        <f>AVERAGEIFS(Zabrze_result[AA_Dscore],Zabrze_result[[Category]:[Category]],"junior",Zabrze_result[AA_Dscore],"&lt;&gt;0",Zabrze_result[All Around],"Yes")</f>
        <v>18.149999999999999</v>
      </c>
      <c r="D50" s="11" cm="1">
        <f t="array" ref="D50">_xlfn.STDEV.S(_xlfn._xlws.FILTER(Zabrze_result[AA_Dscore],(Zabrze_result[Category]="junior")*(Zabrze_result[All Around]="yes")))</f>
        <v>2.9897045561950435</v>
      </c>
      <c r="E50" s="12">
        <f>AVERAGEIFS(Zabrze_result[AA_Escore],Zabrze_result[[Category]:[Category]],"junior",Zabrze_result[AA_Escore],"&lt;&gt;0",Zabrze_result[All Around],"Yes")</f>
        <v>48.3</v>
      </c>
      <c r="F50" s="12" cm="1">
        <f t="array" ref="F50">_xlfn.STDEV.S(_xlfn._xlws.FILTER(Zabrze_result[AA_Escore],(Zabrze_result[Category]="junior")*(Zabrze_result[All Around]="yes"),""))</f>
        <v>2.9515532633965242</v>
      </c>
      <c r="G50" s="12">
        <f>AVERAGEIFS(Zabrze_result[Total_Score],Zabrze_result[[Category]:[Category]],"junior",Zabrze_result[Total_Score],"&lt;&gt;0",Zabrze_result[All Around],"Yes")</f>
        <v>66.45</v>
      </c>
      <c r="H50" s="12" cm="1">
        <f t="array" ref="H50">_xlfn.STDEV.S(_xlfn._xlws.FILTER(Zabrze_result[Total_Score],(Zabrze_result[Category]="junior")*(Zabrze_result[All Around]="yes")))</f>
        <v>4.9840857848868447</v>
      </c>
      <c r="I50" s="12" cm="1">
        <f t="array" ref="I50">MAX(_xlfn._xlws.FILTER(Zabrze_result[Total_Score],Zabrze_result[Category]="junior"))</f>
        <v>72.55</v>
      </c>
      <c r="J50" s="10" t="str" cm="1">
        <f t="array" ref="J50">IF(COUNTIFS(Zabrze_result[Total_Score],I50,Zabrze_result[Category],"junior")&gt;1,_xlfn.XLOOKUP(I50,_xlfn._xlws.FILTER(Zabrze_result[Total_Score],Zabrze_result[Category]="junior"),_xlfn._xlws.FILTER(Zabrze_result[Name],Zabrze_result[Category]="junior"),0)&amp;" and "&amp;(COUNTIFS(Zabrze_result[Total_Score],I50,Zabrze_result[Category],"junior")-1)&amp;" more",_xlfn.XLOOKUP(I50,_xlfn._xlws.FILTER(Zabrze_result[Total_Score],Zabrze_result[Category]="junior"),_xlfn._xlws.FILTER(Zabrze_result[Name],Zabrze_result[Category]="junior"),0))</f>
        <v>LEKHAC Tomasz</v>
      </c>
      <c r="AN50" t="s">
        <v>65</v>
      </c>
      <c r="AO50" t="s">
        <v>60</v>
      </c>
      <c r="AP50">
        <v>2001</v>
      </c>
      <c r="AQ50" t="s">
        <v>67</v>
      </c>
      <c r="AR50" t="s">
        <v>335</v>
      </c>
      <c r="AS50" t="s">
        <v>306</v>
      </c>
      <c r="AT50" t="s">
        <v>239</v>
      </c>
      <c r="AU50" t="s">
        <v>310</v>
      </c>
      <c r="AV50">
        <v>3.9</v>
      </c>
    </row>
    <row r="51" spans="1:48" ht="30" customHeight="1" x14ac:dyDescent="0.25">
      <c r="A51" s="2" t="s">
        <v>26</v>
      </c>
      <c r="B51" s="10" t="s">
        <v>218</v>
      </c>
      <c r="C51" s="11">
        <f>AVERAGEIFS(Zabrze_result[FX_Dscore],Zabrze_result[[Category]:[Category]],"junior",Zabrze_result[FX_Dscore],"&lt;&gt;0")</f>
        <v>3.5636363636363639</v>
      </c>
      <c r="D51" s="11" cm="1">
        <f t="array" ref="D51">_xlfn.STDEV.S(_xlfn._xlws.FILTER(Zabrze_result[FX_Dscore],(Zabrze_result[Category]="junior")*(Zabrze_result[FX_Dscore]&gt;0)))</f>
        <v>0.45666777261533625</v>
      </c>
      <c r="E51" s="12">
        <f>AVERAGEIFS(Zabrze_result[FX_Escore],Zabrze_result[[Category]:[Category]],"junior",Zabrze_result[FX_Escore],"&lt;&gt;0")</f>
        <v>8.3090909090909104</v>
      </c>
      <c r="F51" s="12" cm="1">
        <f t="array" ref="F51">_xlfn.STDEV.S(_xlfn._xlws.FILTER(Zabrze_result[FX_Escore],(Zabrze_result[Category]="junior")*(Zabrze_result[FX_Escore]&gt;0)))</f>
        <v>0.18414421226063801</v>
      </c>
      <c r="G51" s="12">
        <f>AVERAGEIFS(Zabrze_result[FX_total_score],Zabrze_result[[Category]:[Category]],"junior",Zabrze_result[FX_total_score],"&lt;&gt;0")</f>
        <v>11.872727272727273</v>
      </c>
      <c r="H51" s="12" cm="1">
        <f t="array" ref="H51">_xlfn.STDEV.S(_xlfn._xlws.FILTER(Zabrze_result[FX_total_score],(Zabrze_result[Category]="junior")*(Zabrze_result[FX_total_score]&gt;0)))</f>
        <v>0.54880034455329763</v>
      </c>
      <c r="I51" s="12" cm="1">
        <f t="array" ref="I51">MAX(_xlfn._xlws.FILTER(Zabrze_result[FX_total_score],Zabrze_result[Category]="junior"))</f>
        <v>12.75</v>
      </c>
      <c r="J51" s="10" t="str" cm="1">
        <f t="array" ref="J51">IF(COUNTIFS(Zabrze_result[FX_total_score],I51,Zabrze_result[Category],"junior")&gt;1,_xlfn.XLOOKUP(I51,_xlfn._xlws.FILTER(Zabrze_result[FX_total_score],Zabrze_result[Category]="junior"),_xlfn._xlws.FILTER(Zabrze_result[Name],Zabrze_result[Category]="junior"),0)&amp;" and "&amp;(COUNTIFS(Zabrze_result[FX_total_score],I51,Zabrze_result[Category],"junior")-1)&amp;" more",_xlfn.XLOOKUP(I51,_xlfn._xlws.FILTER(Zabrze_result[FX_total_score],Zabrze_result[Category]="junior"),_xlfn._xlws.FILTER(Zabrze_result[Name],Zabrze_result[Category]="junior"),0))</f>
        <v>KWIATKOWSKI Michał</v>
      </c>
      <c r="AN51" t="s">
        <v>65</v>
      </c>
      <c r="AO51" t="s">
        <v>60</v>
      </c>
      <c r="AP51">
        <v>2001</v>
      </c>
      <c r="AQ51" t="s">
        <v>67</v>
      </c>
      <c r="AR51" t="s">
        <v>335</v>
      </c>
      <c r="AS51" t="s">
        <v>306</v>
      </c>
      <c r="AT51" t="s">
        <v>239</v>
      </c>
      <c r="AU51" t="s">
        <v>311</v>
      </c>
      <c r="AV51">
        <v>8.4</v>
      </c>
    </row>
    <row r="52" spans="1:48" ht="30" customHeight="1" x14ac:dyDescent="0.25">
      <c r="A52" s="2" t="s">
        <v>26</v>
      </c>
      <c r="B52" s="10" t="s">
        <v>242</v>
      </c>
      <c r="C52" s="11">
        <f>AVERAGEIFS(Zabrze_result[HB_Dscore],Zabrze_result[[Category]:[Category]],"junior",Zabrze_result[HB_Dscore],"&lt;&gt;0")</f>
        <v>2.5999999999999996</v>
      </c>
      <c r="D52" s="11" cm="1">
        <f t="array" ref="D52">_xlfn.STDEV.S(_xlfn._xlws.FILTER(Zabrze_result[HB_Dscore],(Zabrze_result[Category]="junior")*(Zabrze_result[HB_Dscore]&gt;0)))</f>
        <v>0.56213877290220882</v>
      </c>
      <c r="E52" s="12">
        <f>AVERAGEIFS(Zabrze_result[HB_Escore],Zabrze_result[[Category]:[Category]],"junior",Zabrze_result[HB_Escore],"&lt;&gt;0")</f>
        <v>7.9727272727272727</v>
      </c>
      <c r="F52" s="12" cm="1">
        <f t="array" ref="F52">_xlfn.STDEV.S(_xlfn._xlws.FILTER(Zabrze_result[HB_Escore],(Zabrze_result[Category]="junior")*(Zabrze_result[HB_Escore]&gt;0)))</f>
        <v>0.49414756721228326</v>
      </c>
      <c r="G52" s="12">
        <f>AVERAGEIFS(Zabrze_result[HB_total_score],Zabrze_result[[Category]:[Category]],"junior",Zabrze_result[HB_total_score],"&lt;&gt;0")</f>
        <v>10.572727272727272</v>
      </c>
      <c r="H52" s="12" cm="1">
        <f t="array" ref="H52">_xlfn.STDEV.S(_xlfn._xlws.FILTER(Zabrze_result[HB_total_score],(Zabrze_result[Category]="junior")*(Zabrze_result[HB_total_score]&gt;0)))</f>
        <v>0.60512958792461846</v>
      </c>
      <c r="I52" s="12" cm="1">
        <f t="array" ref="I52">MAX(_xlfn._xlws.FILTER(Zabrze_result[HB_total_score],Zabrze_result[Category]="junior"))</f>
        <v>11.8</v>
      </c>
      <c r="J52" s="10" t="str" cm="1">
        <f t="array" ref="J52">IF(COUNTIFS(Zabrze_result[HB_total_score],I52,Zabrze_result[Category],"junior")&gt;1,_xlfn.XLOOKUP(I52,_xlfn._xlws.FILTER(Zabrze_result[HB_total_score],Zabrze_result[Category]="junior"),_xlfn._xlws.FILTER(Zabrze_result[Name],Zabrze_result[Category]="junior"),0)&amp;" and "&amp;(COUNTIFS(Zabrze_result[HB_total_score],I52,Zabrze_result[Category],"junior")-1)&amp;" more",_xlfn.XLOOKUP(I52,_xlfn._xlws.FILTER(Zabrze_result[HB_total_score],Zabrze_result[Category]="junior"),_xlfn._xlws.FILTER(Zabrze_result[Name],Zabrze_result[Category]="junior"),0))</f>
        <v>LEKHAC Tomasz</v>
      </c>
      <c r="L52" s="2"/>
      <c r="AN52" t="s">
        <v>65</v>
      </c>
      <c r="AO52" t="s">
        <v>60</v>
      </c>
      <c r="AP52">
        <v>2001</v>
      </c>
      <c r="AQ52" t="s">
        <v>67</v>
      </c>
      <c r="AR52" t="s">
        <v>335</v>
      </c>
      <c r="AS52" t="s">
        <v>306</v>
      </c>
      <c r="AT52" t="s">
        <v>239</v>
      </c>
      <c r="AU52" t="s">
        <v>268</v>
      </c>
      <c r="AV52">
        <v>12.3</v>
      </c>
    </row>
    <row r="53" spans="1:48" ht="30" customHeight="1" x14ac:dyDescent="0.25">
      <c r="A53" s="2" t="s">
        <v>26</v>
      </c>
      <c r="B53" s="10" t="s">
        <v>241</v>
      </c>
      <c r="C53" s="11">
        <f>AVERAGEIFS(Zabrze_result[PB_Dscore],Zabrze_result[[Category]:[Category]],"junior",Zabrze_result[PB_Dscore],"&lt;&gt;0")</f>
        <v>3.2272727272727271</v>
      </c>
      <c r="D53" s="11" cm="1">
        <f t="array" ref="D53">_xlfn.STDEV.S(_xlfn._xlws.FILTER(Zabrze_result[PB_Dscore],(Zabrze_result[Category]="junior")*(Zabrze_result[PB_Dscore]&gt;0)))</f>
        <v>0.45626945786653228</v>
      </c>
      <c r="E53" s="12">
        <f>AVERAGEIFS(Zabrze_result[PB_Escore],Zabrze_result[[Category]:[Category]],"junior",Zabrze_result[PB_Escore],"&lt;&gt;0")</f>
        <v>8.2727272727272716</v>
      </c>
      <c r="F53" s="12" cm="1">
        <f t="array" ref="F53">_xlfn.STDEV.S(_xlfn._xlws.FILTER(Zabrze_result[PB_Escore],(Zabrze_result[Category]="junior")*(Zabrze_result[PB_Escore]&gt;0)))</f>
        <v>0.50614406860282191</v>
      </c>
      <c r="G53" s="12">
        <f>AVERAGEIFS(Zabrze_result[PB_total_score],Zabrze_result[[Category]:[Category]],"junior",Zabrze_result[PB_total_score],"&lt;&gt;0")</f>
        <v>11.5</v>
      </c>
      <c r="H53" s="12" cm="1">
        <f t="array" ref="H53">_xlfn.STDEV.S(_xlfn._xlws.FILTER(Zabrze_result[PB_total_score],(Zabrze_result[Category]="junior")*(Zabrze_result[PB_total_score]&gt;0)))</f>
        <v>0.68847657912234039</v>
      </c>
      <c r="I53" s="12" cm="1">
        <f t="array" ref="I53">MAX(_xlfn._xlws.FILTER(Zabrze_result[PB_total_score],Zabrze_result[Category]="junior"))</f>
        <v>13.3</v>
      </c>
      <c r="J53" s="10" t="str" cm="1">
        <f t="array" ref="J53">IF(COUNTIFS(Zabrze_result[PB_total_score],I53,Zabrze_result[Category],"junior")&gt;1,_xlfn.XLOOKUP(I53,_xlfn._xlws.FILTER(Zabrze_result[PB_total_score],Zabrze_result[Category]="junior"),_xlfn._xlws.FILTER(Zabrze_result[Name],Zabrze_result[Category]="junior"),0)&amp;" and "&amp;(COUNTIFS(Zabrze_result[PB_total_score],I53,Zabrze_result[Category],"junior")-1)&amp;" more",_xlfn.XLOOKUP(I53,_xlfn._xlws.FILTER(Zabrze_result[PB_total_score],Zabrze_result[Category]="junior"),_xlfn._xlws.FILTER(Zabrze_result[Name],Zabrze_result[Category]="junior"),0))</f>
        <v>LEKHAC Tomasz</v>
      </c>
      <c r="AN53" t="s">
        <v>65</v>
      </c>
      <c r="AO53" t="s">
        <v>60</v>
      </c>
      <c r="AP53">
        <v>2001</v>
      </c>
      <c r="AQ53" t="s">
        <v>67</v>
      </c>
      <c r="AR53" t="s">
        <v>335</v>
      </c>
      <c r="AS53" t="s">
        <v>306</v>
      </c>
      <c r="AT53" t="s">
        <v>240</v>
      </c>
      <c r="AU53" t="s">
        <v>310</v>
      </c>
      <c r="AV53">
        <v>4</v>
      </c>
    </row>
    <row r="54" spans="1:48" ht="30" customHeight="1" x14ac:dyDescent="0.25">
      <c r="A54" s="2" t="s">
        <v>26</v>
      </c>
      <c r="B54" s="10" t="s">
        <v>238</v>
      </c>
      <c r="C54" s="11">
        <f>AVERAGEIFS(Zabrze_result[PH_Dscore],Zabrze_result[[Category]:[Category]],"junior",Zabrze_result[PH_Dscore],"&lt;&gt;0")</f>
        <v>3.163636363636364</v>
      </c>
      <c r="D54" s="11" cm="1">
        <f t="array" ref="D54">_xlfn.STDEV.S(_xlfn._xlws.FILTER(Zabrze_result[PH_Dscore],(Zabrze_result[Category]="junior")*(Zabrze_result[PH_Dscore]&gt;0)))</f>
        <v>0.71452463536637756</v>
      </c>
      <c r="E54" s="12">
        <f>AVERAGEIFS(Zabrze_result[PH_Escore],Zabrze_result[[Category]:[Category]],"junior",Zabrze_result[PH_Escore],"&lt;&gt;0")</f>
        <v>6.8636363636363651</v>
      </c>
      <c r="F54" s="12" cm="1">
        <f t="array" ref="F54">_xlfn.STDEV.S(_xlfn._xlws.FILTER(Zabrze_result[PH_Escore],(Zabrze_result[Category]="junior")*(Zabrze_result[PH_Escore]&gt;0)))</f>
        <v>1.9098548255156582</v>
      </c>
      <c r="G54" s="12">
        <f>AVERAGEIFS(Zabrze_result[PH_Total_Score],Zabrze_result[[Category]:[Category]],"junior",Zabrze_result[PH_Total_Score],"&lt;&gt;0")</f>
        <v>10.027272727272729</v>
      </c>
      <c r="H54" s="12" cm="1">
        <f t="array" ref="H54">_xlfn.STDEV.S(_xlfn._xlws.FILTER(Zabrze_result[PH_Total_Score],(Zabrze_result[Category]="junior")*(Zabrze_result[PH_Total_Score]&gt;0)))</f>
        <v>2.2948162929049034</v>
      </c>
      <c r="I54" s="12" cm="1">
        <f t="array" ref="I54">MAX(_xlfn._xlws.FILTER(Zabrze_result[PH_Total_Score],Zabrze_result[Category]="junior"))</f>
        <v>12.7</v>
      </c>
      <c r="J54" s="10" t="str" cm="1">
        <f t="array" ref="J54">IF(COUNTIFS(Zabrze_result[PH_Total_Score],I54,Zabrze_result[Category],"junior")&gt;1,_xlfn.XLOOKUP(I54,_xlfn._xlws.FILTER(Zabrze_result[PH_Total_Score],Zabrze_result[Category]="junior"),_xlfn._xlws.FILTER(Zabrze_result[Name],Zabrze_result[Category]="junior"),0)&amp;" and "&amp;(COUNTIFS(Zabrze_result[PH_Total_Score],I54,Zabrze_result[Category],"junior")-1)&amp;" more",_xlfn.XLOOKUP(I54,_xlfn._xlws.FILTER(Zabrze_result[PH_Total_Score],Zabrze_result[Category]="junior"),_xlfn._xlws.FILTER(Zabrze_result[Name],Zabrze_result[Category]="junior"),0))</f>
        <v>LEKHAC Tomasz</v>
      </c>
      <c r="AN54" t="s">
        <v>65</v>
      </c>
      <c r="AO54" t="s">
        <v>60</v>
      </c>
      <c r="AP54">
        <v>2001</v>
      </c>
      <c r="AQ54" t="s">
        <v>67</v>
      </c>
      <c r="AR54" t="s">
        <v>335</v>
      </c>
      <c r="AS54" t="s">
        <v>306</v>
      </c>
      <c r="AT54" t="s">
        <v>240</v>
      </c>
      <c r="AU54" t="s">
        <v>311</v>
      </c>
      <c r="AV54">
        <v>9.1</v>
      </c>
    </row>
    <row r="55" spans="1:48" ht="30" customHeight="1" x14ac:dyDescent="0.25">
      <c r="A55" s="2" t="s">
        <v>26</v>
      </c>
      <c r="B55" s="10" t="s">
        <v>239</v>
      </c>
      <c r="C55" s="11">
        <f>AVERAGEIFS(Zabrze_result[SR_Dscore],Zabrze_result[[Category]:[Category]],"junior",Zabrze_result[SR_Dscore],"&lt;&gt;0")</f>
        <v>2.8545454545454545</v>
      </c>
      <c r="D55" s="11" cm="1">
        <f t="array" ref="D55">_xlfn.STDEV.S(_xlfn._xlws.FILTER(Zabrze_result[SR_Dscore],(Zabrze_result[Category]="junior")*(Zabrze_result[SR_Dscore]&gt;0)))</f>
        <v>0.6743346889544346</v>
      </c>
      <c r="E55" s="12">
        <f>AVERAGEIFS(Zabrze_result[SR_Escore],Zabrze_result[[Category]:[Category]],"junior",Zabrze_result[SR_Escore],"&lt;&gt;0")</f>
        <v>7.9045454545454534</v>
      </c>
      <c r="F55" s="12" cm="1">
        <f t="array" ref="F55">_xlfn.STDEV.S(_xlfn._xlws.FILTER(Zabrze_result[SR_Escore],(Zabrze_result[Category]="junior")*(Zabrze_result[SR_Escore]&gt;0)))</f>
        <v>0.68645995711860186</v>
      </c>
      <c r="G55" s="12">
        <f>AVERAGEIFS(Zabrze_result[SR_Total_Score],Zabrze_result[[Category]:[Category]],"junior",Zabrze_result[SR_Total_Score],"&lt;&gt;0")</f>
        <v>10.759090909090908</v>
      </c>
      <c r="H55" s="12" cm="1">
        <f t="array" ref="H55">_xlfn.STDEV.S(_xlfn._xlws.FILTER(Zabrze_result[SR_Total_Score],(Zabrze_result[Category]="junior")*(Zabrze_result[SR_Total_Score]&gt;0)))</f>
        <v>1.1959971115805925</v>
      </c>
      <c r="I55" s="12" cm="1">
        <f t="array" ref="I55">MAX(_xlfn._xlws.FILTER(Zabrze_result[SR_Total_Score],Zabrze_result[Category]="junior"))</f>
        <v>12.2</v>
      </c>
      <c r="J55" s="10" t="str" cm="1">
        <f t="array" ref="J55">IF(COUNTIFS(Zabrze_result[SR_Total_Score],I55,Zabrze_result[Category],"junior")&gt;1,_xlfn.XLOOKUP(I55,_xlfn._xlws.FILTER(Zabrze_result[SR_Total_Score],Zabrze_result[Category]="junior"),_xlfn._xlws.FILTER(Zabrze_result[Name],Zabrze_result[Category]="junior"),0)&amp;" and "&amp;(COUNTIFS(Zabrze_result[SR_Total_Score],I55,Zabrze_result[Category],"junior")-1)&amp;" more",_xlfn.XLOOKUP(I55,_xlfn._xlws.FILTER(Zabrze_result[SR_Total_Score],Zabrze_result[Category]="junior"),_xlfn._xlws.FILTER(Zabrze_result[Name],Zabrze_result[Category]="junior"),0))</f>
        <v>KWIATKOWSKI Michał</v>
      </c>
      <c r="AN55" t="s">
        <v>65</v>
      </c>
      <c r="AO55" t="s">
        <v>60</v>
      </c>
      <c r="AP55">
        <v>2001</v>
      </c>
      <c r="AQ55" t="s">
        <v>67</v>
      </c>
      <c r="AR55" t="s">
        <v>335</v>
      </c>
      <c r="AS55" t="s">
        <v>306</v>
      </c>
      <c r="AT55" t="s">
        <v>240</v>
      </c>
      <c r="AU55" t="s">
        <v>268</v>
      </c>
      <c r="AV55">
        <v>13.1</v>
      </c>
    </row>
    <row r="56" spans="1:48" ht="30" customHeight="1" x14ac:dyDescent="0.25">
      <c r="A56" s="2" t="s">
        <v>26</v>
      </c>
      <c r="B56" s="10" t="s">
        <v>240</v>
      </c>
      <c r="C56" s="11">
        <f>AVERAGEIFS(Zabrze_result[VT_Dscore],Zabrze_result[[Category]:[Category]],"junior",Zabrze_result[VT_Dscore],"&lt;&gt;0")</f>
        <v>2.6363636363636367</v>
      </c>
      <c r="D56" s="11" cm="1">
        <f t="array" ref="D56">_xlfn.STDEV.S(_xlfn._xlws.FILTER(Zabrze_result[VT_Dscore],(Zabrze_result[Category]="junior")*(Zabrze_result[VT_Dscore]&gt;0)))</f>
        <v>0.88912623093993426</v>
      </c>
      <c r="E56" s="12">
        <f>AVERAGEIFS(Zabrze_result[VT_Escore],Zabrze_result[[Category]:[Category]],"junior",Zabrze_result[VT_Escore],"&lt;&gt;0")</f>
        <v>8.877272727272727</v>
      </c>
      <c r="F56" s="12" cm="1">
        <f t="array" ref="F56">_xlfn.STDEV.S(_xlfn._xlws.FILTER(Zabrze_result[VT_Escore],(Zabrze_result[Category]="junior")*(Zabrze_result[VT_Escore]&gt;0)))</f>
        <v>0.45462272070566168</v>
      </c>
      <c r="G56" s="12">
        <f>AVERAGEIFS(Zabrze_result[VT_total_score],Zabrze_result[[Category]:[Category]],"junior",Zabrze_result[VT_total_score],"&lt;&gt;0")</f>
        <v>11.513636363636364</v>
      </c>
      <c r="H56" s="12" cm="1">
        <f t="array" ref="H56">_xlfn.STDEV.S(_xlfn._xlws.FILTER(Zabrze_result[VT_total_score],(Zabrze_result[Category]="junior")*(Zabrze_result[VT_total_score]&gt;0)))</f>
        <v>0.8666287870509809</v>
      </c>
      <c r="I56" s="12" cm="1">
        <f t="array" ref="I56">MAX(_xlfn._xlws.FILTER(Zabrze_result[VT_total_score],Zabrze_result[Category]="junior"))</f>
        <v>12.95</v>
      </c>
      <c r="J56" s="10" t="str" cm="1">
        <f t="array" ref="J56">IF(COUNTIFS(Zabrze_result[VT_total_score],I56,Zabrze_result[Category],"junior")&gt;1,_xlfn.XLOOKUP(I56,_xlfn._xlws.FILTER(Zabrze_result[VT_total_score],Zabrze_result[Category]="junior"),_xlfn._xlws.FILTER(Zabrze_result[Name],Zabrze_result[Category]="junior"),0)&amp;" and "&amp;(COUNTIFS(Zabrze_result[VT_total_score],I56,Zabrze_result[Category],"junior")-1)&amp;" more",_xlfn.XLOOKUP(I56,_xlfn._xlws.FILTER(Zabrze_result[VT_total_score],Zabrze_result[Category]="junior"),_xlfn._xlws.FILTER(Zabrze_result[Name],Zabrze_result[Category]="junior"),0))</f>
        <v>CZARNECKI Aleksander</v>
      </c>
      <c r="AN56" t="s">
        <v>65</v>
      </c>
      <c r="AO56" t="s">
        <v>60</v>
      </c>
      <c r="AP56">
        <v>2001</v>
      </c>
      <c r="AQ56" t="s">
        <v>67</v>
      </c>
      <c r="AR56" t="s">
        <v>335</v>
      </c>
      <c r="AS56" t="s">
        <v>306</v>
      </c>
      <c r="AT56" t="s">
        <v>316</v>
      </c>
      <c r="AU56" t="s">
        <v>310</v>
      </c>
      <c r="AV56">
        <v>3</v>
      </c>
    </row>
    <row r="57" spans="1:48" ht="30" customHeight="1" x14ac:dyDescent="0.25">
      <c r="AN57" t="s">
        <v>65</v>
      </c>
      <c r="AO57" t="s">
        <v>60</v>
      </c>
      <c r="AP57">
        <v>2001</v>
      </c>
      <c r="AQ57" t="s">
        <v>67</v>
      </c>
      <c r="AR57" t="s">
        <v>335</v>
      </c>
      <c r="AS57" t="s">
        <v>306</v>
      </c>
      <c r="AT57" t="s">
        <v>316</v>
      </c>
      <c r="AU57" t="s">
        <v>311</v>
      </c>
      <c r="AV57">
        <v>9.35</v>
      </c>
    </row>
    <row r="58" spans="1:48" ht="41.25" customHeight="1" x14ac:dyDescent="0.25">
      <c r="AN58" t="s">
        <v>65</v>
      </c>
      <c r="AO58" t="s">
        <v>60</v>
      </c>
      <c r="AP58">
        <v>2001</v>
      </c>
      <c r="AQ58" t="s">
        <v>67</v>
      </c>
      <c r="AR58" t="s">
        <v>335</v>
      </c>
      <c r="AS58" t="s">
        <v>306</v>
      </c>
      <c r="AT58" t="s">
        <v>316</v>
      </c>
      <c r="AU58" t="s">
        <v>268</v>
      </c>
      <c r="AV58">
        <v>12.35</v>
      </c>
    </row>
    <row r="59" spans="1:48" ht="41.25" customHeight="1" x14ac:dyDescent="0.25">
      <c r="AN59" t="s">
        <v>65</v>
      </c>
      <c r="AO59" t="s">
        <v>60</v>
      </c>
      <c r="AP59">
        <v>2001</v>
      </c>
      <c r="AQ59" t="s">
        <v>67</v>
      </c>
      <c r="AR59" t="s">
        <v>335</v>
      </c>
      <c r="AS59" t="s">
        <v>306</v>
      </c>
      <c r="AT59" t="s">
        <v>242</v>
      </c>
      <c r="AU59" t="s">
        <v>310</v>
      </c>
      <c r="AV59">
        <v>3.6</v>
      </c>
    </row>
    <row r="60" spans="1:48" ht="41.25" customHeight="1" x14ac:dyDescent="0.25">
      <c r="AN60" t="s">
        <v>65</v>
      </c>
      <c r="AO60" t="s">
        <v>60</v>
      </c>
      <c r="AP60">
        <v>2001</v>
      </c>
      <c r="AQ60" t="s">
        <v>67</v>
      </c>
      <c r="AR60" t="s">
        <v>335</v>
      </c>
      <c r="AS60" t="s">
        <v>306</v>
      </c>
      <c r="AT60" t="s">
        <v>242</v>
      </c>
      <c r="AU60" t="s">
        <v>311</v>
      </c>
      <c r="AV60">
        <v>7.1</v>
      </c>
    </row>
    <row r="61" spans="1:48" ht="41.25" customHeight="1" x14ac:dyDescent="0.25">
      <c r="AN61" t="s">
        <v>65</v>
      </c>
      <c r="AO61" t="s">
        <v>60</v>
      </c>
      <c r="AP61">
        <v>2001</v>
      </c>
      <c r="AQ61" t="s">
        <v>67</v>
      </c>
      <c r="AR61" t="s">
        <v>335</v>
      </c>
      <c r="AS61" t="s">
        <v>306</v>
      </c>
      <c r="AT61" t="s">
        <v>242</v>
      </c>
      <c r="AU61" t="s">
        <v>268</v>
      </c>
      <c r="AV61">
        <v>10.7</v>
      </c>
    </row>
    <row r="62" spans="1:48" x14ac:dyDescent="0.25">
      <c r="AN62" t="s">
        <v>65</v>
      </c>
      <c r="AO62" t="s">
        <v>60</v>
      </c>
      <c r="AP62">
        <v>2001</v>
      </c>
      <c r="AQ62" t="s">
        <v>67</v>
      </c>
      <c r="AR62" t="s">
        <v>335</v>
      </c>
      <c r="AS62" t="s">
        <v>306</v>
      </c>
      <c r="AT62" t="s">
        <v>243</v>
      </c>
      <c r="AU62" t="s">
        <v>337</v>
      </c>
      <c r="AV62">
        <v>21.3</v>
      </c>
    </row>
    <row r="63" spans="1:48" x14ac:dyDescent="0.25">
      <c r="AN63" t="s">
        <v>65</v>
      </c>
      <c r="AO63" t="s">
        <v>60</v>
      </c>
      <c r="AP63">
        <v>2001</v>
      </c>
      <c r="AQ63" t="s">
        <v>67</v>
      </c>
      <c r="AR63" t="s">
        <v>335</v>
      </c>
      <c r="AS63" t="s">
        <v>306</v>
      </c>
      <c r="AT63" t="s">
        <v>243</v>
      </c>
      <c r="AU63" t="s">
        <v>338</v>
      </c>
      <c r="AV63">
        <v>50.750000000000007</v>
      </c>
    </row>
    <row r="64" spans="1:48" x14ac:dyDescent="0.25">
      <c r="AN64" t="s">
        <v>65</v>
      </c>
      <c r="AO64" t="s">
        <v>60</v>
      </c>
      <c r="AP64">
        <v>2001</v>
      </c>
      <c r="AQ64" t="s">
        <v>67</v>
      </c>
      <c r="AR64" t="s">
        <v>335</v>
      </c>
      <c r="AS64" t="s">
        <v>306</v>
      </c>
      <c r="AT64" t="s">
        <v>243</v>
      </c>
      <c r="AU64" t="s">
        <v>339</v>
      </c>
      <c r="AV64">
        <v>72.050000000000011</v>
      </c>
    </row>
    <row r="65" spans="40:48" x14ac:dyDescent="0.25">
      <c r="AN65" t="s">
        <v>68</v>
      </c>
      <c r="AO65" t="s">
        <v>60</v>
      </c>
      <c r="AP65">
        <v>2004</v>
      </c>
      <c r="AQ65" t="s">
        <v>31</v>
      </c>
      <c r="AR65" t="s">
        <v>335</v>
      </c>
      <c r="AS65" t="s">
        <v>306</v>
      </c>
      <c r="AT65" t="s">
        <v>218</v>
      </c>
      <c r="AU65" t="s">
        <v>310</v>
      </c>
      <c r="AV65">
        <v>4.2</v>
      </c>
    </row>
    <row r="66" spans="40:48" x14ac:dyDescent="0.25">
      <c r="AN66" t="s">
        <v>68</v>
      </c>
      <c r="AO66" t="s">
        <v>60</v>
      </c>
      <c r="AP66">
        <v>2004</v>
      </c>
      <c r="AQ66" t="s">
        <v>31</v>
      </c>
      <c r="AR66" t="s">
        <v>335</v>
      </c>
      <c r="AS66" t="s">
        <v>306</v>
      </c>
      <c r="AT66" t="s">
        <v>218</v>
      </c>
      <c r="AU66" t="s">
        <v>311</v>
      </c>
      <c r="AV66">
        <v>8.35</v>
      </c>
    </row>
    <row r="67" spans="40:48" x14ac:dyDescent="0.25">
      <c r="AN67" t="s">
        <v>68</v>
      </c>
      <c r="AO67" t="s">
        <v>60</v>
      </c>
      <c r="AP67">
        <v>2004</v>
      </c>
      <c r="AQ67" t="s">
        <v>31</v>
      </c>
      <c r="AR67" t="s">
        <v>335</v>
      </c>
      <c r="AS67" t="s">
        <v>306</v>
      </c>
      <c r="AT67" t="s">
        <v>218</v>
      </c>
      <c r="AU67" t="s">
        <v>268</v>
      </c>
      <c r="AV67">
        <v>12.55</v>
      </c>
    </row>
    <row r="68" spans="40:48" x14ac:dyDescent="0.25">
      <c r="AN68" t="s">
        <v>68</v>
      </c>
      <c r="AO68" t="s">
        <v>60</v>
      </c>
      <c r="AP68">
        <v>2004</v>
      </c>
      <c r="AQ68" t="s">
        <v>31</v>
      </c>
      <c r="AR68" t="s">
        <v>335</v>
      </c>
      <c r="AS68" t="s">
        <v>306</v>
      </c>
      <c r="AT68" t="s">
        <v>238</v>
      </c>
      <c r="AU68" t="s">
        <v>310</v>
      </c>
      <c r="AV68">
        <v>3.8</v>
      </c>
    </row>
    <row r="69" spans="40:48" x14ac:dyDescent="0.25">
      <c r="AN69" t="s">
        <v>68</v>
      </c>
      <c r="AO69" t="s">
        <v>60</v>
      </c>
      <c r="AP69">
        <v>2004</v>
      </c>
      <c r="AQ69" t="s">
        <v>31</v>
      </c>
      <c r="AR69" t="s">
        <v>335</v>
      </c>
      <c r="AS69" t="s">
        <v>306</v>
      </c>
      <c r="AT69" t="s">
        <v>238</v>
      </c>
      <c r="AU69" t="s">
        <v>311</v>
      </c>
      <c r="AV69">
        <v>7.75</v>
      </c>
    </row>
    <row r="70" spans="40:48" x14ac:dyDescent="0.25">
      <c r="AN70" t="s">
        <v>68</v>
      </c>
      <c r="AO70" t="s">
        <v>60</v>
      </c>
      <c r="AP70">
        <v>2004</v>
      </c>
      <c r="AQ70" t="s">
        <v>31</v>
      </c>
      <c r="AR70" t="s">
        <v>335</v>
      </c>
      <c r="AS70" t="s">
        <v>306</v>
      </c>
      <c r="AT70" t="s">
        <v>238</v>
      </c>
      <c r="AU70" t="s">
        <v>268</v>
      </c>
      <c r="AV70">
        <v>11.55</v>
      </c>
    </row>
    <row r="71" spans="40:48" x14ac:dyDescent="0.25">
      <c r="AN71" t="s">
        <v>68</v>
      </c>
      <c r="AO71" t="s">
        <v>60</v>
      </c>
      <c r="AP71">
        <v>2004</v>
      </c>
      <c r="AQ71" t="s">
        <v>31</v>
      </c>
      <c r="AR71" t="s">
        <v>335</v>
      </c>
      <c r="AS71" t="s">
        <v>306</v>
      </c>
      <c r="AT71" t="s">
        <v>239</v>
      </c>
      <c r="AU71" t="s">
        <v>310</v>
      </c>
      <c r="AV71">
        <v>3.8</v>
      </c>
    </row>
    <row r="72" spans="40:48" x14ac:dyDescent="0.25">
      <c r="AN72" t="s">
        <v>68</v>
      </c>
      <c r="AO72" t="s">
        <v>60</v>
      </c>
      <c r="AP72">
        <v>2004</v>
      </c>
      <c r="AQ72" t="s">
        <v>31</v>
      </c>
      <c r="AR72" t="s">
        <v>335</v>
      </c>
      <c r="AS72" t="s">
        <v>306</v>
      </c>
      <c r="AT72" t="s">
        <v>239</v>
      </c>
      <c r="AU72" t="s">
        <v>311</v>
      </c>
      <c r="AV72">
        <v>7.7</v>
      </c>
    </row>
    <row r="73" spans="40:48" x14ac:dyDescent="0.25">
      <c r="AN73" t="s">
        <v>68</v>
      </c>
      <c r="AO73" t="s">
        <v>60</v>
      </c>
      <c r="AP73">
        <v>2004</v>
      </c>
      <c r="AQ73" t="s">
        <v>31</v>
      </c>
      <c r="AR73" t="s">
        <v>335</v>
      </c>
      <c r="AS73" t="s">
        <v>306</v>
      </c>
      <c r="AT73" t="s">
        <v>239</v>
      </c>
      <c r="AU73" t="s">
        <v>268</v>
      </c>
      <c r="AV73">
        <v>11.5</v>
      </c>
    </row>
    <row r="74" spans="40:48" x14ac:dyDescent="0.25">
      <c r="AN74" t="s">
        <v>68</v>
      </c>
      <c r="AO74" t="s">
        <v>60</v>
      </c>
      <c r="AP74">
        <v>2004</v>
      </c>
      <c r="AQ74" t="s">
        <v>31</v>
      </c>
      <c r="AR74" t="s">
        <v>335</v>
      </c>
      <c r="AS74" t="s">
        <v>306</v>
      </c>
      <c r="AT74" t="s">
        <v>240</v>
      </c>
      <c r="AU74" t="s">
        <v>310</v>
      </c>
      <c r="AV74">
        <v>4</v>
      </c>
    </row>
    <row r="75" spans="40:48" x14ac:dyDescent="0.25">
      <c r="AN75" t="s">
        <v>68</v>
      </c>
      <c r="AO75" t="s">
        <v>60</v>
      </c>
      <c r="AP75">
        <v>2004</v>
      </c>
      <c r="AQ75" t="s">
        <v>31</v>
      </c>
      <c r="AR75" t="s">
        <v>335</v>
      </c>
      <c r="AS75" t="s">
        <v>306</v>
      </c>
      <c r="AT75" t="s">
        <v>240</v>
      </c>
      <c r="AU75" t="s">
        <v>311</v>
      </c>
      <c r="AV75">
        <v>9.6</v>
      </c>
    </row>
    <row r="76" spans="40:48" x14ac:dyDescent="0.25">
      <c r="AN76" t="s">
        <v>68</v>
      </c>
      <c r="AO76" t="s">
        <v>60</v>
      </c>
      <c r="AP76">
        <v>2004</v>
      </c>
      <c r="AQ76" t="s">
        <v>31</v>
      </c>
      <c r="AR76" t="s">
        <v>335</v>
      </c>
      <c r="AS76" t="s">
        <v>306</v>
      </c>
      <c r="AT76" t="s">
        <v>240</v>
      </c>
      <c r="AU76" t="s">
        <v>268</v>
      </c>
      <c r="AV76">
        <v>13.6</v>
      </c>
    </row>
    <row r="77" spans="40:48" x14ac:dyDescent="0.25">
      <c r="AN77" t="s">
        <v>68</v>
      </c>
      <c r="AO77" t="s">
        <v>60</v>
      </c>
      <c r="AP77">
        <v>2004</v>
      </c>
      <c r="AQ77" t="s">
        <v>31</v>
      </c>
      <c r="AR77" t="s">
        <v>335</v>
      </c>
      <c r="AS77" t="s">
        <v>306</v>
      </c>
      <c r="AT77" t="s">
        <v>316</v>
      </c>
      <c r="AU77" t="s">
        <v>310</v>
      </c>
      <c r="AV77">
        <v>3.5</v>
      </c>
    </row>
    <row r="78" spans="40:48" x14ac:dyDescent="0.25">
      <c r="AN78" t="s">
        <v>68</v>
      </c>
      <c r="AO78" t="s">
        <v>60</v>
      </c>
      <c r="AP78">
        <v>2004</v>
      </c>
      <c r="AQ78" t="s">
        <v>31</v>
      </c>
      <c r="AR78" t="s">
        <v>335</v>
      </c>
      <c r="AS78" t="s">
        <v>306</v>
      </c>
      <c r="AT78" t="s">
        <v>316</v>
      </c>
      <c r="AU78" t="s">
        <v>311</v>
      </c>
      <c r="AV78">
        <v>8.6999999999999993</v>
      </c>
    </row>
    <row r="79" spans="40:48" x14ac:dyDescent="0.25">
      <c r="AN79" t="s">
        <v>68</v>
      </c>
      <c r="AO79" t="s">
        <v>60</v>
      </c>
      <c r="AP79">
        <v>2004</v>
      </c>
      <c r="AQ79" t="s">
        <v>31</v>
      </c>
      <c r="AR79" t="s">
        <v>335</v>
      </c>
      <c r="AS79" t="s">
        <v>306</v>
      </c>
      <c r="AT79" t="s">
        <v>316</v>
      </c>
      <c r="AU79" t="s">
        <v>268</v>
      </c>
      <c r="AV79">
        <v>12.2</v>
      </c>
    </row>
    <row r="80" spans="40:48" x14ac:dyDescent="0.25">
      <c r="AN80" t="s">
        <v>68</v>
      </c>
      <c r="AO80" t="s">
        <v>60</v>
      </c>
      <c r="AP80">
        <v>2004</v>
      </c>
      <c r="AQ80" t="s">
        <v>31</v>
      </c>
      <c r="AR80" t="s">
        <v>335</v>
      </c>
      <c r="AS80" t="s">
        <v>306</v>
      </c>
      <c r="AT80" t="s">
        <v>242</v>
      </c>
      <c r="AU80" t="s">
        <v>310</v>
      </c>
      <c r="AV80">
        <v>2.2000000000000002</v>
      </c>
    </row>
    <row r="81" spans="40:48" x14ac:dyDescent="0.25">
      <c r="AN81" t="s">
        <v>68</v>
      </c>
      <c r="AO81" t="s">
        <v>60</v>
      </c>
      <c r="AP81">
        <v>2004</v>
      </c>
      <c r="AQ81" t="s">
        <v>31</v>
      </c>
      <c r="AR81" t="s">
        <v>335</v>
      </c>
      <c r="AS81" t="s">
        <v>306</v>
      </c>
      <c r="AT81" t="s">
        <v>242</v>
      </c>
      <c r="AU81" t="s">
        <v>311</v>
      </c>
      <c r="AV81">
        <v>7.85</v>
      </c>
    </row>
    <row r="82" spans="40:48" x14ac:dyDescent="0.25">
      <c r="AN82" t="s">
        <v>68</v>
      </c>
      <c r="AO82" t="s">
        <v>60</v>
      </c>
      <c r="AP82">
        <v>2004</v>
      </c>
      <c r="AQ82" t="s">
        <v>31</v>
      </c>
      <c r="AR82" t="s">
        <v>335</v>
      </c>
      <c r="AS82" t="s">
        <v>306</v>
      </c>
      <c r="AT82" t="s">
        <v>242</v>
      </c>
      <c r="AU82" t="s">
        <v>268</v>
      </c>
      <c r="AV82">
        <v>10.050000000000001</v>
      </c>
    </row>
    <row r="83" spans="40:48" x14ac:dyDescent="0.25">
      <c r="AN83" t="s">
        <v>68</v>
      </c>
      <c r="AO83" t="s">
        <v>60</v>
      </c>
      <c r="AP83">
        <v>2004</v>
      </c>
      <c r="AQ83" t="s">
        <v>31</v>
      </c>
      <c r="AR83" t="s">
        <v>335</v>
      </c>
      <c r="AS83" t="s">
        <v>306</v>
      </c>
      <c r="AT83" t="s">
        <v>243</v>
      </c>
      <c r="AU83" t="s">
        <v>337</v>
      </c>
      <c r="AV83">
        <v>21.5</v>
      </c>
    </row>
    <row r="84" spans="40:48" x14ac:dyDescent="0.25">
      <c r="AN84" t="s">
        <v>68</v>
      </c>
      <c r="AO84" t="s">
        <v>60</v>
      </c>
      <c r="AP84">
        <v>2004</v>
      </c>
      <c r="AQ84" t="s">
        <v>31</v>
      </c>
      <c r="AR84" t="s">
        <v>335</v>
      </c>
      <c r="AS84" t="s">
        <v>306</v>
      </c>
      <c r="AT84" t="s">
        <v>243</v>
      </c>
      <c r="AU84" t="s">
        <v>338</v>
      </c>
      <c r="AV84">
        <v>49.949999999999996</v>
      </c>
    </row>
    <row r="85" spans="40:48" x14ac:dyDescent="0.25">
      <c r="AN85" t="s">
        <v>68</v>
      </c>
      <c r="AO85" t="s">
        <v>60</v>
      </c>
      <c r="AP85">
        <v>2004</v>
      </c>
      <c r="AQ85" t="s">
        <v>31</v>
      </c>
      <c r="AR85" t="s">
        <v>335</v>
      </c>
      <c r="AS85" t="s">
        <v>306</v>
      </c>
      <c r="AT85" t="s">
        <v>243</v>
      </c>
      <c r="AU85" t="s">
        <v>339</v>
      </c>
      <c r="AV85">
        <v>71.45</v>
      </c>
    </row>
    <row r="86" spans="40:48" x14ac:dyDescent="0.25">
      <c r="AN86" t="s">
        <v>70</v>
      </c>
      <c r="AO86" t="s">
        <v>60</v>
      </c>
      <c r="AP86">
        <v>2001</v>
      </c>
      <c r="AQ86" t="s">
        <v>72</v>
      </c>
      <c r="AR86" t="s">
        <v>335</v>
      </c>
      <c r="AS86" t="s">
        <v>306</v>
      </c>
      <c r="AT86" t="s">
        <v>218</v>
      </c>
      <c r="AU86" t="s">
        <v>310</v>
      </c>
      <c r="AV86">
        <v>5</v>
      </c>
    </row>
    <row r="87" spans="40:48" x14ac:dyDescent="0.25">
      <c r="AN87" t="s">
        <v>70</v>
      </c>
      <c r="AO87" t="s">
        <v>60</v>
      </c>
      <c r="AP87">
        <v>2001</v>
      </c>
      <c r="AQ87" t="s">
        <v>72</v>
      </c>
      <c r="AR87" t="s">
        <v>335</v>
      </c>
      <c r="AS87" t="s">
        <v>306</v>
      </c>
      <c r="AT87" t="s">
        <v>218</v>
      </c>
      <c r="AU87" t="s">
        <v>311</v>
      </c>
      <c r="AV87">
        <v>6.8</v>
      </c>
    </row>
    <row r="88" spans="40:48" x14ac:dyDescent="0.25">
      <c r="AN88" t="s">
        <v>70</v>
      </c>
      <c r="AO88" t="s">
        <v>60</v>
      </c>
      <c r="AP88">
        <v>2001</v>
      </c>
      <c r="AQ88" t="s">
        <v>72</v>
      </c>
      <c r="AR88" t="s">
        <v>335</v>
      </c>
      <c r="AS88" t="s">
        <v>306</v>
      </c>
      <c r="AT88" t="s">
        <v>218</v>
      </c>
      <c r="AU88" t="s">
        <v>268</v>
      </c>
      <c r="AV88">
        <v>11.8</v>
      </c>
    </row>
    <row r="89" spans="40:48" x14ac:dyDescent="0.25">
      <c r="AN89" t="s">
        <v>70</v>
      </c>
      <c r="AO89" t="s">
        <v>60</v>
      </c>
      <c r="AP89">
        <v>2001</v>
      </c>
      <c r="AQ89" t="s">
        <v>72</v>
      </c>
      <c r="AR89" t="s">
        <v>335</v>
      </c>
      <c r="AS89" t="s">
        <v>306</v>
      </c>
      <c r="AT89" t="s">
        <v>238</v>
      </c>
      <c r="AU89" t="s">
        <v>310</v>
      </c>
      <c r="AV89">
        <v>3.3</v>
      </c>
    </row>
    <row r="90" spans="40:48" x14ac:dyDescent="0.25">
      <c r="AN90" t="s">
        <v>70</v>
      </c>
      <c r="AO90" t="s">
        <v>60</v>
      </c>
      <c r="AP90">
        <v>2001</v>
      </c>
      <c r="AQ90" t="s">
        <v>72</v>
      </c>
      <c r="AR90" t="s">
        <v>335</v>
      </c>
      <c r="AS90" t="s">
        <v>306</v>
      </c>
      <c r="AT90" t="s">
        <v>238</v>
      </c>
      <c r="AU90" t="s">
        <v>311</v>
      </c>
      <c r="AV90">
        <v>6</v>
      </c>
    </row>
    <row r="91" spans="40:48" x14ac:dyDescent="0.25">
      <c r="AN91" t="s">
        <v>70</v>
      </c>
      <c r="AO91" t="s">
        <v>60</v>
      </c>
      <c r="AP91">
        <v>2001</v>
      </c>
      <c r="AQ91" t="s">
        <v>72</v>
      </c>
      <c r="AR91" t="s">
        <v>335</v>
      </c>
      <c r="AS91" t="s">
        <v>306</v>
      </c>
      <c r="AT91" t="s">
        <v>238</v>
      </c>
      <c r="AU91" t="s">
        <v>268</v>
      </c>
      <c r="AV91">
        <v>9.3000000000000007</v>
      </c>
    </row>
    <row r="92" spans="40:48" x14ac:dyDescent="0.25">
      <c r="AN92" t="s">
        <v>70</v>
      </c>
      <c r="AO92" t="s">
        <v>60</v>
      </c>
      <c r="AP92">
        <v>2001</v>
      </c>
      <c r="AQ92" t="s">
        <v>72</v>
      </c>
      <c r="AR92" t="s">
        <v>335</v>
      </c>
      <c r="AS92" t="s">
        <v>306</v>
      </c>
      <c r="AT92" t="s">
        <v>239</v>
      </c>
      <c r="AU92" t="s">
        <v>310</v>
      </c>
      <c r="AV92">
        <v>4.0999999999999996</v>
      </c>
    </row>
    <row r="93" spans="40:48" x14ac:dyDescent="0.25">
      <c r="AN93" t="s">
        <v>70</v>
      </c>
      <c r="AO93" t="s">
        <v>60</v>
      </c>
      <c r="AP93">
        <v>2001</v>
      </c>
      <c r="AQ93" t="s">
        <v>72</v>
      </c>
      <c r="AR93" t="s">
        <v>335</v>
      </c>
      <c r="AS93" t="s">
        <v>306</v>
      </c>
      <c r="AT93" t="s">
        <v>239</v>
      </c>
      <c r="AU93" t="s">
        <v>311</v>
      </c>
      <c r="AV93">
        <v>7.6</v>
      </c>
    </row>
    <row r="94" spans="40:48" x14ac:dyDescent="0.25">
      <c r="AN94" t="s">
        <v>70</v>
      </c>
      <c r="AO94" t="s">
        <v>60</v>
      </c>
      <c r="AP94">
        <v>2001</v>
      </c>
      <c r="AQ94" t="s">
        <v>72</v>
      </c>
      <c r="AR94" t="s">
        <v>335</v>
      </c>
      <c r="AS94" t="s">
        <v>306</v>
      </c>
      <c r="AT94" t="s">
        <v>239</v>
      </c>
      <c r="AU94" t="s">
        <v>268</v>
      </c>
      <c r="AV94">
        <v>11.7</v>
      </c>
    </row>
    <row r="95" spans="40:48" x14ac:dyDescent="0.25">
      <c r="AN95" t="s">
        <v>70</v>
      </c>
      <c r="AO95" t="s">
        <v>60</v>
      </c>
      <c r="AP95">
        <v>2001</v>
      </c>
      <c r="AQ95" t="s">
        <v>72</v>
      </c>
      <c r="AR95" t="s">
        <v>335</v>
      </c>
      <c r="AS95" t="s">
        <v>306</v>
      </c>
      <c r="AT95" t="s">
        <v>240</v>
      </c>
      <c r="AU95" t="s">
        <v>310</v>
      </c>
      <c r="AV95">
        <v>5.2</v>
      </c>
    </row>
    <row r="96" spans="40:48" x14ac:dyDescent="0.25">
      <c r="AN96" t="s">
        <v>70</v>
      </c>
      <c r="AO96" t="s">
        <v>60</v>
      </c>
      <c r="AP96">
        <v>2001</v>
      </c>
      <c r="AQ96" t="s">
        <v>72</v>
      </c>
      <c r="AR96" t="s">
        <v>335</v>
      </c>
      <c r="AS96" t="s">
        <v>306</v>
      </c>
      <c r="AT96" t="s">
        <v>240</v>
      </c>
      <c r="AU96" t="s">
        <v>311</v>
      </c>
      <c r="AV96">
        <v>8.25</v>
      </c>
    </row>
    <row r="97" spans="40:48" x14ac:dyDescent="0.25">
      <c r="AN97" t="s">
        <v>70</v>
      </c>
      <c r="AO97" t="s">
        <v>60</v>
      </c>
      <c r="AP97">
        <v>2001</v>
      </c>
      <c r="AQ97" t="s">
        <v>72</v>
      </c>
      <c r="AR97" t="s">
        <v>335</v>
      </c>
      <c r="AS97" t="s">
        <v>306</v>
      </c>
      <c r="AT97" t="s">
        <v>240</v>
      </c>
      <c r="AU97" t="s">
        <v>268</v>
      </c>
      <c r="AV97">
        <v>13.45</v>
      </c>
    </row>
    <row r="98" spans="40:48" x14ac:dyDescent="0.25">
      <c r="AN98" t="s">
        <v>70</v>
      </c>
      <c r="AO98" t="s">
        <v>60</v>
      </c>
      <c r="AP98">
        <v>2001</v>
      </c>
      <c r="AQ98" t="s">
        <v>72</v>
      </c>
      <c r="AR98" t="s">
        <v>335</v>
      </c>
      <c r="AS98" t="s">
        <v>306</v>
      </c>
      <c r="AT98" t="s">
        <v>316</v>
      </c>
      <c r="AU98" t="s">
        <v>310</v>
      </c>
      <c r="AV98">
        <v>4.3</v>
      </c>
    </row>
    <row r="99" spans="40:48" x14ac:dyDescent="0.25">
      <c r="AN99" t="s">
        <v>70</v>
      </c>
      <c r="AO99" t="s">
        <v>60</v>
      </c>
      <c r="AP99">
        <v>2001</v>
      </c>
      <c r="AQ99" t="s">
        <v>72</v>
      </c>
      <c r="AR99" t="s">
        <v>335</v>
      </c>
      <c r="AS99" t="s">
        <v>306</v>
      </c>
      <c r="AT99" t="s">
        <v>316</v>
      </c>
      <c r="AU99" t="s">
        <v>311</v>
      </c>
      <c r="AV99">
        <v>8.1999999999999993</v>
      </c>
    </row>
    <row r="100" spans="40:48" x14ac:dyDescent="0.25">
      <c r="AN100" t="s">
        <v>70</v>
      </c>
      <c r="AO100" t="s">
        <v>60</v>
      </c>
      <c r="AP100">
        <v>2001</v>
      </c>
      <c r="AQ100" t="s">
        <v>72</v>
      </c>
      <c r="AR100" t="s">
        <v>335</v>
      </c>
      <c r="AS100" t="s">
        <v>306</v>
      </c>
      <c r="AT100" t="s">
        <v>316</v>
      </c>
      <c r="AU100" t="s">
        <v>268</v>
      </c>
      <c r="AV100">
        <v>12.5</v>
      </c>
    </row>
    <row r="101" spans="40:48" x14ac:dyDescent="0.25">
      <c r="AN101" t="s">
        <v>70</v>
      </c>
      <c r="AO101" t="s">
        <v>60</v>
      </c>
      <c r="AP101">
        <v>2001</v>
      </c>
      <c r="AQ101" t="s">
        <v>72</v>
      </c>
      <c r="AR101" t="s">
        <v>335</v>
      </c>
      <c r="AS101" t="s">
        <v>306</v>
      </c>
      <c r="AT101" t="s">
        <v>242</v>
      </c>
      <c r="AU101" t="s">
        <v>310</v>
      </c>
      <c r="AV101">
        <v>3.7</v>
      </c>
    </row>
    <row r="102" spans="40:48" x14ac:dyDescent="0.25">
      <c r="AN102" t="s">
        <v>70</v>
      </c>
      <c r="AO102" t="s">
        <v>60</v>
      </c>
      <c r="AP102">
        <v>2001</v>
      </c>
      <c r="AQ102" t="s">
        <v>72</v>
      </c>
      <c r="AR102" t="s">
        <v>335</v>
      </c>
      <c r="AS102" t="s">
        <v>306</v>
      </c>
      <c r="AT102" t="s">
        <v>242</v>
      </c>
      <c r="AU102" t="s">
        <v>311</v>
      </c>
      <c r="AV102">
        <v>7.95</v>
      </c>
    </row>
    <row r="103" spans="40:48" x14ac:dyDescent="0.25">
      <c r="AN103" t="s">
        <v>70</v>
      </c>
      <c r="AO103" t="s">
        <v>60</v>
      </c>
      <c r="AP103">
        <v>2001</v>
      </c>
      <c r="AQ103" t="s">
        <v>72</v>
      </c>
      <c r="AR103" t="s">
        <v>335</v>
      </c>
      <c r="AS103" t="s">
        <v>306</v>
      </c>
      <c r="AT103" t="s">
        <v>242</v>
      </c>
      <c r="AU103" t="s">
        <v>268</v>
      </c>
      <c r="AV103">
        <v>11.65</v>
      </c>
    </row>
    <row r="104" spans="40:48" x14ac:dyDescent="0.25">
      <c r="AN104" t="s">
        <v>70</v>
      </c>
      <c r="AO104" t="s">
        <v>60</v>
      </c>
      <c r="AP104">
        <v>2001</v>
      </c>
      <c r="AQ104" t="s">
        <v>72</v>
      </c>
      <c r="AR104" t="s">
        <v>335</v>
      </c>
      <c r="AS104" t="s">
        <v>306</v>
      </c>
      <c r="AT104" t="s">
        <v>243</v>
      </c>
      <c r="AU104" t="s">
        <v>337</v>
      </c>
      <c r="AV104">
        <v>25.6</v>
      </c>
    </row>
    <row r="105" spans="40:48" x14ac:dyDescent="0.25">
      <c r="AN105" t="s">
        <v>70</v>
      </c>
      <c r="AO105" t="s">
        <v>60</v>
      </c>
      <c r="AP105">
        <v>2001</v>
      </c>
      <c r="AQ105" t="s">
        <v>72</v>
      </c>
      <c r="AR105" t="s">
        <v>335</v>
      </c>
      <c r="AS105" t="s">
        <v>306</v>
      </c>
      <c r="AT105" t="s">
        <v>243</v>
      </c>
      <c r="AU105" t="s">
        <v>338</v>
      </c>
      <c r="AV105">
        <v>44.8</v>
      </c>
    </row>
    <row r="106" spans="40:48" x14ac:dyDescent="0.25">
      <c r="AN106" t="s">
        <v>70</v>
      </c>
      <c r="AO106" t="s">
        <v>60</v>
      </c>
      <c r="AP106">
        <v>2001</v>
      </c>
      <c r="AQ106" t="s">
        <v>72</v>
      </c>
      <c r="AR106" t="s">
        <v>335</v>
      </c>
      <c r="AS106" t="s">
        <v>306</v>
      </c>
      <c r="AT106" t="s">
        <v>243</v>
      </c>
      <c r="AU106" t="s">
        <v>339</v>
      </c>
      <c r="AV106">
        <v>70.400000000000006</v>
      </c>
    </row>
    <row r="107" spans="40:48" x14ac:dyDescent="0.25">
      <c r="AN107" t="s">
        <v>73</v>
      </c>
      <c r="AO107" t="s">
        <v>60</v>
      </c>
      <c r="AP107">
        <v>2001</v>
      </c>
      <c r="AQ107" t="s">
        <v>62</v>
      </c>
      <c r="AR107" t="s">
        <v>335</v>
      </c>
      <c r="AS107" t="s">
        <v>306</v>
      </c>
      <c r="AT107" t="s">
        <v>218</v>
      </c>
      <c r="AU107" t="s">
        <v>310</v>
      </c>
      <c r="AV107">
        <v>4.7</v>
      </c>
    </row>
    <row r="108" spans="40:48" x14ac:dyDescent="0.25">
      <c r="AN108" t="s">
        <v>73</v>
      </c>
      <c r="AO108" t="s">
        <v>60</v>
      </c>
      <c r="AP108">
        <v>2001</v>
      </c>
      <c r="AQ108" t="s">
        <v>62</v>
      </c>
      <c r="AR108" t="s">
        <v>335</v>
      </c>
      <c r="AS108" t="s">
        <v>306</v>
      </c>
      <c r="AT108" t="s">
        <v>218</v>
      </c>
      <c r="AU108" t="s">
        <v>311</v>
      </c>
      <c r="AV108">
        <v>8.6999999999999993</v>
      </c>
    </row>
    <row r="109" spans="40:48" x14ac:dyDescent="0.25">
      <c r="AN109" t="s">
        <v>73</v>
      </c>
      <c r="AO109" t="s">
        <v>60</v>
      </c>
      <c r="AP109">
        <v>2001</v>
      </c>
      <c r="AQ109" t="s">
        <v>62</v>
      </c>
      <c r="AR109" t="s">
        <v>335</v>
      </c>
      <c r="AS109" t="s">
        <v>306</v>
      </c>
      <c r="AT109" t="s">
        <v>218</v>
      </c>
      <c r="AU109" t="s">
        <v>268</v>
      </c>
      <c r="AV109">
        <v>13.4</v>
      </c>
    </row>
    <row r="110" spans="40:48" x14ac:dyDescent="0.25">
      <c r="AN110" t="s">
        <v>73</v>
      </c>
      <c r="AO110" t="s">
        <v>60</v>
      </c>
      <c r="AP110">
        <v>2001</v>
      </c>
      <c r="AQ110" t="s">
        <v>62</v>
      </c>
      <c r="AR110" t="s">
        <v>335</v>
      </c>
      <c r="AS110" t="s">
        <v>306</v>
      </c>
      <c r="AT110" t="s">
        <v>238</v>
      </c>
      <c r="AU110" t="s">
        <v>310</v>
      </c>
      <c r="AV110">
        <v>3</v>
      </c>
    </row>
    <row r="111" spans="40:48" x14ac:dyDescent="0.25">
      <c r="AN111" t="s">
        <v>73</v>
      </c>
      <c r="AO111" t="s">
        <v>60</v>
      </c>
      <c r="AP111">
        <v>2001</v>
      </c>
      <c r="AQ111" t="s">
        <v>62</v>
      </c>
      <c r="AR111" t="s">
        <v>335</v>
      </c>
      <c r="AS111" t="s">
        <v>306</v>
      </c>
      <c r="AT111" t="s">
        <v>238</v>
      </c>
      <c r="AU111" t="s">
        <v>311</v>
      </c>
      <c r="AV111">
        <v>7.5</v>
      </c>
    </row>
    <row r="112" spans="40:48" x14ac:dyDescent="0.25">
      <c r="AN112" t="s">
        <v>73</v>
      </c>
      <c r="AO112" t="s">
        <v>60</v>
      </c>
      <c r="AP112">
        <v>2001</v>
      </c>
      <c r="AQ112" t="s">
        <v>62</v>
      </c>
      <c r="AR112" t="s">
        <v>335</v>
      </c>
      <c r="AS112" t="s">
        <v>306</v>
      </c>
      <c r="AT112" t="s">
        <v>238</v>
      </c>
      <c r="AU112" t="s">
        <v>268</v>
      </c>
      <c r="AV112">
        <v>10.5</v>
      </c>
    </row>
    <row r="113" spans="40:48" x14ac:dyDescent="0.25">
      <c r="AN113" t="s">
        <v>73</v>
      </c>
      <c r="AO113" t="s">
        <v>60</v>
      </c>
      <c r="AP113">
        <v>2001</v>
      </c>
      <c r="AQ113" t="s">
        <v>62</v>
      </c>
      <c r="AR113" t="s">
        <v>335</v>
      </c>
      <c r="AS113" t="s">
        <v>306</v>
      </c>
      <c r="AT113" t="s">
        <v>239</v>
      </c>
      <c r="AU113" t="s">
        <v>310</v>
      </c>
      <c r="AV113">
        <v>2.5</v>
      </c>
    </row>
    <row r="114" spans="40:48" x14ac:dyDescent="0.25">
      <c r="AN114" t="s">
        <v>73</v>
      </c>
      <c r="AO114" t="s">
        <v>60</v>
      </c>
      <c r="AP114">
        <v>2001</v>
      </c>
      <c r="AQ114" t="s">
        <v>62</v>
      </c>
      <c r="AR114" t="s">
        <v>335</v>
      </c>
      <c r="AS114" t="s">
        <v>306</v>
      </c>
      <c r="AT114" t="s">
        <v>239</v>
      </c>
      <c r="AU114" t="s">
        <v>311</v>
      </c>
      <c r="AV114">
        <v>8.15</v>
      </c>
    </row>
    <row r="115" spans="40:48" x14ac:dyDescent="0.25">
      <c r="AN115" t="s">
        <v>73</v>
      </c>
      <c r="AO115" t="s">
        <v>60</v>
      </c>
      <c r="AP115">
        <v>2001</v>
      </c>
      <c r="AQ115" t="s">
        <v>62</v>
      </c>
      <c r="AR115" t="s">
        <v>335</v>
      </c>
      <c r="AS115" t="s">
        <v>306</v>
      </c>
      <c r="AT115" t="s">
        <v>239</v>
      </c>
      <c r="AU115" t="s">
        <v>268</v>
      </c>
      <c r="AV115">
        <v>10.65</v>
      </c>
    </row>
    <row r="116" spans="40:48" x14ac:dyDescent="0.25">
      <c r="AN116" t="s">
        <v>73</v>
      </c>
      <c r="AO116" t="s">
        <v>60</v>
      </c>
      <c r="AP116">
        <v>2001</v>
      </c>
      <c r="AQ116" t="s">
        <v>62</v>
      </c>
      <c r="AR116" t="s">
        <v>335</v>
      </c>
      <c r="AS116" t="s">
        <v>306</v>
      </c>
      <c r="AT116" t="s">
        <v>240</v>
      </c>
      <c r="AU116" t="s">
        <v>310</v>
      </c>
      <c r="AV116">
        <v>4</v>
      </c>
    </row>
    <row r="117" spans="40:48" x14ac:dyDescent="0.25">
      <c r="AN117" t="s">
        <v>73</v>
      </c>
      <c r="AO117" t="s">
        <v>60</v>
      </c>
      <c r="AP117">
        <v>2001</v>
      </c>
      <c r="AQ117" t="s">
        <v>62</v>
      </c>
      <c r="AR117" t="s">
        <v>335</v>
      </c>
      <c r="AS117" t="s">
        <v>306</v>
      </c>
      <c r="AT117" t="s">
        <v>240</v>
      </c>
      <c r="AU117" t="s">
        <v>311</v>
      </c>
      <c r="AV117">
        <v>9.1</v>
      </c>
    </row>
    <row r="118" spans="40:48" x14ac:dyDescent="0.25">
      <c r="AN118" t="s">
        <v>73</v>
      </c>
      <c r="AO118" t="s">
        <v>60</v>
      </c>
      <c r="AP118">
        <v>2001</v>
      </c>
      <c r="AQ118" t="s">
        <v>62</v>
      </c>
      <c r="AR118" t="s">
        <v>335</v>
      </c>
      <c r="AS118" t="s">
        <v>306</v>
      </c>
      <c r="AT118" t="s">
        <v>240</v>
      </c>
      <c r="AU118" t="s">
        <v>268</v>
      </c>
      <c r="AV118">
        <v>13.1</v>
      </c>
    </row>
    <row r="119" spans="40:48" x14ac:dyDescent="0.25">
      <c r="AN119" t="s">
        <v>73</v>
      </c>
      <c r="AO119" t="s">
        <v>60</v>
      </c>
      <c r="AP119">
        <v>2001</v>
      </c>
      <c r="AQ119" t="s">
        <v>62</v>
      </c>
      <c r="AR119" t="s">
        <v>335</v>
      </c>
      <c r="AS119" t="s">
        <v>306</v>
      </c>
      <c r="AT119" t="s">
        <v>316</v>
      </c>
      <c r="AU119" t="s">
        <v>310</v>
      </c>
      <c r="AV119">
        <v>4.0999999999999996</v>
      </c>
    </row>
    <row r="120" spans="40:48" x14ac:dyDescent="0.25">
      <c r="AN120" t="s">
        <v>73</v>
      </c>
      <c r="AO120" t="s">
        <v>60</v>
      </c>
      <c r="AP120">
        <v>2001</v>
      </c>
      <c r="AQ120" t="s">
        <v>62</v>
      </c>
      <c r="AR120" t="s">
        <v>335</v>
      </c>
      <c r="AS120" t="s">
        <v>306</v>
      </c>
      <c r="AT120" t="s">
        <v>316</v>
      </c>
      <c r="AU120" t="s">
        <v>311</v>
      </c>
      <c r="AV120">
        <v>7.9</v>
      </c>
    </row>
    <row r="121" spans="40:48" x14ac:dyDescent="0.25">
      <c r="AN121" t="s">
        <v>73</v>
      </c>
      <c r="AO121" t="s">
        <v>60</v>
      </c>
      <c r="AP121">
        <v>2001</v>
      </c>
      <c r="AQ121" t="s">
        <v>62</v>
      </c>
      <c r="AR121" t="s">
        <v>335</v>
      </c>
      <c r="AS121" t="s">
        <v>306</v>
      </c>
      <c r="AT121" t="s">
        <v>316</v>
      </c>
      <c r="AU121" t="s">
        <v>268</v>
      </c>
      <c r="AV121">
        <v>12</v>
      </c>
    </row>
    <row r="122" spans="40:48" x14ac:dyDescent="0.25">
      <c r="AN122" t="s">
        <v>73</v>
      </c>
      <c r="AO122" t="s">
        <v>60</v>
      </c>
      <c r="AP122">
        <v>2001</v>
      </c>
      <c r="AQ122" t="s">
        <v>62</v>
      </c>
      <c r="AR122" t="s">
        <v>335</v>
      </c>
      <c r="AS122" t="s">
        <v>306</v>
      </c>
      <c r="AT122" t="s">
        <v>242</v>
      </c>
      <c r="AU122" t="s">
        <v>310</v>
      </c>
      <c r="AV122">
        <v>2.7</v>
      </c>
    </row>
    <row r="123" spans="40:48" x14ac:dyDescent="0.25">
      <c r="AN123" t="s">
        <v>73</v>
      </c>
      <c r="AO123" t="s">
        <v>60</v>
      </c>
      <c r="AP123">
        <v>2001</v>
      </c>
      <c r="AQ123" t="s">
        <v>62</v>
      </c>
      <c r="AR123" t="s">
        <v>335</v>
      </c>
      <c r="AS123" t="s">
        <v>306</v>
      </c>
      <c r="AT123" t="s">
        <v>242</v>
      </c>
      <c r="AU123" t="s">
        <v>311</v>
      </c>
      <c r="AV123">
        <v>7.55</v>
      </c>
    </row>
    <row r="124" spans="40:48" x14ac:dyDescent="0.25">
      <c r="AN124" t="s">
        <v>73</v>
      </c>
      <c r="AO124" t="s">
        <v>60</v>
      </c>
      <c r="AP124">
        <v>2001</v>
      </c>
      <c r="AQ124" t="s">
        <v>62</v>
      </c>
      <c r="AR124" t="s">
        <v>335</v>
      </c>
      <c r="AS124" t="s">
        <v>306</v>
      </c>
      <c r="AT124" t="s">
        <v>242</v>
      </c>
      <c r="AU124" t="s">
        <v>268</v>
      </c>
      <c r="AV124">
        <v>10.25</v>
      </c>
    </row>
    <row r="125" spans="40:48" x14ac:dyDescent="0.25">
      <c r="AN125" t="s">
        <v>73</v>
      </c>
      <c r="AO125" t="s">
        <v>60</v>
      </c>
      <c r="AP125">
        <v>2001</v>
      </c>
      <c r="AQ125" t="s">
        <v>62</v>
      </c>
      <c r="AR125" t="s">
        <v>335</v>
      </c>
      <c r="AS125" t="s">
        <v>306</v>
      </c>
      <c r="AT125" t="s">
        <v>243</v>
      </c>
      <c r="AU125" t="s">
        <v>337</v>
      </c>
      <c r="AV125">
        <v>20.999999999999996</v>
      </c>
    </row>
    <row r="126" spans="40:48" x14ac:dyDescent="0.25">
      <c r="AN126" t="s">
        <v>73</v>
      </c>
      <c r="AO126" t="s">
        <v>60</v>
      </c>
      <c r="AP126">
        <v>2001</v>
      </c>
      <c r="AQ126" t="s">
        <v>62</v>
      </c>
      <c r="AR126" t="s">
        <v>335</v>
      </c>
      <c r="AS126" t="s">
        <v>306</v>
      </c>
      <c r="AT126" t="s">
        <v>243</v>
      </c>
      <c r="AU126" t="s">
        <v>338</v>
      </c>
      <c r="AV126">
        <v>48.9</v>
      </c>
    </row>
    <row r="127" spans="40:48" x14ac:dyDescent="0.25">
      <c r="AN127" t="s">
        <v>73</v>
      </c>
      <c r="AO127" t="s">
        <v>60</v>
      </c>
      <c r="AP127">
        <v>2001</v>
      </c>
      <c r="AQ127" t="s">
        <v>62</v>
      </c>
      <c r="AR127" t="s">
        <v>335</v>
      </c>
      <c r="AS127" t="s">
        <v>306</v>
      </c>
      <c r="AT127" t="s">
        <v>243</v>
      </c>
      <c r="AU127" t="s">
        <v>339</v>
      </c>
      <c r="AV127">
        <v>69.900000000000006</v>
      </c>
    </row>
    <row r="128" spans="40:48" x14ac:dyDescent="0.25">
      <c r="AN128" t="s">
        <v>75</v>
      </c>
      <c r="AO128" t="s">
        <v>60</v>
      </c>
      <c r="AP128">
        <v>2003</v>
      </c>
      <c r="AQ128" t="s">
        <v>28</v>
      </c>
      <c r="AR128" t="s">
        <v>335</v>
      </c>
      <c r="AS128" t="s">
        <v>306</v>
      </c>
      <c r="AT128" t="s">
        <v>218</v>
      </c>
      <c r="AU128" t="s">
        <v>310</v>
      </c>
      <c r="AV128">
        <v>3.8</v>
      </c>
    </row>
    <row r="129" spans="40:48" x14ac:dyDescent="0.25">
      <c r="AN129" t="s">
        <v>75</v>
      </c>
      <c r="AO129" t="s">
        <v>60</v>
      </c>
      <c r="AP129">
        <v>2003</v>
      </c>
      <c r="AQ129" t="s">
        <v>28</v>
      </c>
      <c r="AR129" t="s">
        <v>335</v>
      </c>
      <c r="AS129" t="s">
        <v>306</v>
      </c>
      <c r="AT129" t="s">
        <v>218</v>
      </c>
      <c r="AU129" t="s">
        <v>311</v>
      </c>
      <c r="AV129">
        <v>7.3</v>
      </c>
    </row>
    <row r="130" spans="40:48" x14ac:dyDescent="0.25">
      <c r="AN130" t="s">
        <v>75</v>
      </c>
      <c r="AO130" t="s">
        <v>60</v>
      </c>
      <c r="AP130">
        <v>2003</v>
      </c>
      <c r="AQ130" t="s">
        <v>28</v>
      </c>
      <c r="AR130" t="s">
        <v>335</v>
      </c>
      <c r="AS130" t="s">
        <v>306</v>
      </c>
      <c r="AT130" t="s">
        <v>218</v>
      </c>
      <c r="AU130" t="s">
        <v>268</v>
      </c>
      <c r="AV130">
        <v>11.1</v>
      </c>
    </row>
    <row r="131" spans="40:48" x14ac:dyDescent="0.25">
      <c r="AN131" t="s">
        <v>75</v>
      </c>
      <c r="AO131" t="s">
        <v>60</v>
      </c>
      <c r="AP131">
        <v>2003</v>
      </c>
      <c r="AQ131" t="s">
        <v>28</v>
      </c>
      <c r="AR131" t="s">
        <v>335</v>
      </c>
      <c r="AS131" t="s">
        <v>306</v>
      </c>
      <c r="AT131" t="s">
        <v>238</v>
      </c>
      <c r="AU131" t="s">
        <v>310</v>
      </c>
      <c r="AV131">
        <v>4.2</v>
      </c>
    </row>
    <row r="132" spans="40:48" x14ac:dyDescent="0.25">
      <c r="AN132" t="s">
        <v>75</v>
      </c>
      <c r="AO132" t="s">
        <v>60</v>
      </c>
      <c r="AP132">
        <v>2003</v>
      </c>
      <c r="AQ132" t="s">
        <v>28</v>
      </c>
      <c r="AR132" t="s">
        <v>335</v>
      </c>
      <c r="AS132" t="s">
        <v>306</v>
      </c>
      <c r="AT132" t="s">
        <v>238</v>
      </c>
      <c r="AU132" t="s">
        <v>311</v>
      </c>
      <c r="AV132">
        <v>8.25</v>
      </c>
    </row>
    <row r="133" spans="40:48" x14ac:dyDescent="0.25">
      <c r="AN133" t="s">
        <v>75</v>
      </c>
      <c r="AO133" t="s">
        <v>60</v>
      </c>
      <c r="AP133">
        <v>2003</v>
      </c>
      <c r="AQ133" t="s">
        <v>28</v>
      </c>
      <c r="AR133" t="s">
        <v>335</v>
      </c>
      <c r="AS133" t="s">
        <v>306</v>
      </c>
      <c r="AT133" t="s">
        <v>238</v>
      </c>
      <c r="AU133" t="s">
        <v>268</v>
      </c>
      <c r="AV133">
        <v>12.45</v>
      </c>
    </row>
    <row r="134" spans="40:48" x14ac:dyDescent="0.25">
      <c r="AN134" t="s">
        <v>75</v>
      </c>
      <c r="AO134" t="s">
        <v>60</v>
      </c>
      <c r="AP134">
        <v>2003</v>
      </c>
      <c r="AQ134" t="s">
        <v>28</v>
      </c>
      <c r="AR134" t="s">
        <v>335</v>
      </c>
      <c r="AS134" t="s">
        <v>306</v>
      </c>
      <c r="AT134" t="s">
        <v>239</v>
      </c>
      <c r="AU134" t="s">
        <v>310</v>
      </c>
      <c r="AV134">
        <v>3.8</v>
      </c>
    </row>
    <row r="135" spans="40:48" x14ac:dyDescent="0.25">
      <c r="AN135" t="s">
        <v>75</v>
      </c>
      <c r="AO135" t="s">
        <v>60</v>
      </c>
      <c r="AP135">
        <v>2003</v>
      </c>
      <c r="AQ135" t="s">
        <v>28</v>
      </c>
      <c r="AR135" t="s">
        <v>335</v>
      </c>
      <c r="AS135" t="s">
        <v>306</v>
      </c>
      <c r="AT135" t="s">
        <v>239</v>
      </c>
      <c r="AU135" t="s">
        <v>311</v>
      </c>
      <c r="AV135">
        <v>7.8</v>
      </c>
    </row>
    <row r="136" spans="40:48" x14ac:dyDescent="0.25">
      <c r="AN136" t="s">
        <v>75</v>
      </c>
      <c r="AO136" t="s">
        <v>60</v>
      </c>
      <c r="AP136">
        <v>2003</v>
      </c>
      <c r="AQ136" t="s">
        <v>28</v>
      </c>
      <c r="AR136" t="s">
        <v>335</v>
      </c>
      <c r="AS136" t="s">
        <v>306</v>
      </c>
      <c r="AT136" t="s">
        <v>239</v>
      </c>
      <c r="AU136" t="s">
        <v>268</v>
      </c>
      <c r="AV136">
        <v>11.6</v>
      </c>
    </row>
    <row r="137" spans="40:48" x14ac:dyDescent="0.25">
      <c r="AN137" t="s">
        <v>75</v>
      </c>
      <c r="AO137" t="s">
        <v>60</v>
      </c>
      <c r="AP137">
        <v>2003</v>
      </c>
      <c r="AQ137" t="s">
        <v>28</v>
      </c>
      <c r="AR137" t="s">
        <v>335</v>
      </c>
      <c r="AS137" t="s">
        <v>306</v>
      </c>
      <c r="AT137" t="s">
        <v>240</v>
      </c>
      <c r="AU137" t="s">
        <v>310</v>
      </c>
      <c r="AV137">
        <v>3.2</v>
      </c>
    </row>
    <row r="138" spans="40:48" x14ac:dyDescent="0.25">
      <c r="AN138" t="s">
        <v>75</v>
      </c>
      <c r="AO138" t="s">
        <v>60</v>
      </c>
      <c r="AP138">
        <v>2003</v>
      </c>
      <c r="AQ138" t="s">
        <v>28</v>
      </c>
      <c r="AR138" t="s">
        <v>335</v>
      </c>
      <c r="AS138" t="s">
        <v>306</v>
      </c>
      <c r="AT138" t="s">
        <v>240</v>
      </c>
      <c r="AU138" t="s">
        <v>311</v>
      </c>
      <c r="AV138">
        <v>9.4499999999999993</v>
      </c>
    </row>
    <row r="139" spans="40:48" x14ac:dyDescent="0.25">
      <c r="AN139" t="s">
        <v>75</v>
      </c>
      <c r="AO139" t="s">
        <v>60</v>
      </c>
      <c r="AP139">
        <v>2003</v>
      </c>
      <c r="AQ139" t="s">
        <v>28</v>
      </c>
      <c r="AR139" t="s">
        <v>335</v>
      </c>
      <c r="AS139" t="s">
        <v>306</v>
      </c>
      <c r="AT139" t="s">
        <v>240</v>
      </c>
      <c r="AU139" t="s">
        <v>268</v>
      </c>
      <c r="AV139">
        <v>12.65</v>
      </c>
    </row>
    <row r="140" spans="40:48" x14ac:dyDescent="0.25">
      <c r="AN140" t="s">
        <v>75</v>
      </c>
      <c r="AO140" t="s">
        <v>60</v>
      </c>
      <c r="AP140">
        <v>2003</v>
      </c>
      <c r="AQ140" t="s">
        <v>28</v>
      </c>
      <c r="AR140" t="s">
        <v>335</v>
      </c>
      <c r="AS140" t="s">
        <v>306</v>
      </c>
      <c r="AT140" t="s">
        <v>316</v>
      </c>
      <c r="AU140" t="s">
        <v>310</v>
      </c>
      <c r="AV140">
        <v>3.5</v>
      </c>
    </row>
    <row r="141" spans="40:48" x14ac:dyDescent="0.25">
      <c r="AN141" t="s">
        <v>75</v>
      </c>
      <c r="AO141" t="s">
        <v>60</v>
      </c>
      <c r="AP141">
        <v>2003</v>
      </c>
      <c r="AQ141" t="s">
        <v>28</v>
      </c>
      <c r="AR141" t="s">
        <v>335</v>
      </c>
      <c r="AS141" t="s">
        <v>306</v>
      </c>
      <c r="AT141" t="s">
        <v>316</v>
      </c>
      <c r="AU141" t="s">
        <v>311</v>
      </c>
      <c r="AV141">
        <v>8.0500000000000007</v>
      </c>
    </row>
    <row r="142" spans="40:48" x14ac:dyDescent="0.25">
      <c r="AN142" t="s">
        <v>75</v>
      </c>
      <c r="AO142" t="s">
        <v>60</v>
      </c>
      <c r="AP142">
        <v>2003</v>
      </c>
      <c r="AQ142" t="s">
        <v>28</v>
      </c>
      <c r="AR142" t="s">
        <v>335</v>
      </c>
      <c r="AS142" t="s">
        <v>306</v>
      </c>
      <c r="AT142" t="s">
        <v>316</v>
      </c>
      <c r="AU142" t="s">
        <v>268</v>
      </c>
      <c r="AV142">
        <v>11.55</v>
      </c>
    </row>
    <row r="143" spans="40:48" x14ac:dyDescent="0.25">
      <c r="AN143" t="s">
        <v>75</v>
      </c>
      <c r="AO143" t="s">
        <v>60</v>
      </c>
      <c r="AP143">
        <v>2003</v>
      </c>
      <c r="AQ143" t="s">
        <v>28</v>
      </c>
      <c r="AR143" t="s">
        <v>335</v>
      </c>
      <c r="AS143" t="s">
        <v>306</v>
      </c>
      <c r="AT143" t="s">
        <v>242</v>
      </c>
      <c r="AU143" t="s">
        <v>310</v>
      </c>
      <c r="AV143">
        <v>2.2000000000000002</v>
      </c>
    </row>
    <row r="144" spans="40:48" x14ac:dyDescent="0.25">
      <c r="AN144" t="s">
        <v>75</v>
      </c>
      <c r="AO144" t="s">
        <v>60</v>
      </c>
      <c r="AP144">
        <v>2003</v>
      </c>
      <c r="AQ144" t="s">
        <v>28</v>
      </c>
      <c r="AR144" t="s">
        <v>335</v>
      </c>
      <c r="AS144" t="s">
        <v>306</v>
      </c>
      <c r="AT144" t="s">
        <v>242</v>
      </c>
      <c r="AU144" t="s">
        <v>311</v>
      </c>
      <c r="AV144">
        <v>8.1</v>
      </c>
    </row>
    <row r="145" spans="40:48" x14ac:dyDescent="0.25">
      <c r="AN145" t="s">
        <v>75</v>
      </c>
      <c r="AO145" t="s">
        <v>60</v>
      </c>
      <c r="AP145">
        <v>2003</v>
      </c>
      <c r="AQ145" t="s">
        <v>28</v>
      </c>
      <c r="AR145" t="s">
        <v>335</v>
      </c>
      <c r="AS145" t="s">
        <v>306</v>
      </c>
      <c r="AT145" t="s">
        <v>242</v>
      </c>
      <c r="AU145" t="s">
        <v>268</v>
      </c>
      <c r="AV145">
        <v>10.3</v>
      </c>
    </row>
    <row r="146" spans="40:48" x14ac:dyDescent="0.25">
      <c r="AN146" t="s">
        <v>75</v>
      </c>
      <c r="AO146" t="s">
        <v>60</v>
      </c>
      <c r="AP146">
        <v>2003</v>
      </c>
      <c r="AQ146" t="s">
        <v>28</v>
      </c>
      <c r="AR146" t="s">
        <v>335</v>
      </c>
      <c r="AS146" t="s">
        <v>306</v>
      </c>
      <c r="AT146" t="s">
        <v>243</v>
      </c>
      <c r="AU146" t="s">
        <v>337</v>
      </c>
      <c r="AV146">
        <v>20.7</v>
      </c>
    </row>
    <row r="147" spans="40:48" x14ac:dyDescent="0.25">
      <c r="AN147" t="s">
        <v>75</v>
      </c>
      <c r="AO147" t="s">
        <v>60</v>
      </c>
      <c r="AP147">
        <v>2003</v>
      </c>
      <c r="AQ147" t="s">
        <v>28</v>
      </c>
      <c r="AR147" t="s">
        <v>335</v>
      </c>
      <c r="AS147" t="s">
        <v>306</v>
      </c>
      <c r="AT147" t="s">
        <v>243</v>
      </c>
      <c r="AU147" t="s">
        <v>338</v>
      </c>
      <c r="AV147">
        <v>48.949999999999996</v>
      </c>
    </row>
    <row r="148" spans="40:48" x14ac:dyDescent="0.25">
      <c r="AN148" t="s">
        <v>75</v>
      </c>
      <c r="AO148" t="s">
        <v>60</v>
      </c>
      <c r="AP148">
        <v>2003</v>
      </c>
      <c r="AQ148" t="s">
        <v>28</v>
      </c>
      <c r="AR148" t="s">
        <v>335</v>
      </c>
      <c r="AS148" t="s">
        <v>306</v>
      </c>
      <c r="AT148" t="s">
        <v>243</v>
      </c>
      <c r="AU148" t="s">
        <v>339</v>
      </c>
      <c r="AV148">
        <v>69.649999999999991</v>
      </c>
    </row>
    <row r="149" spans="40:48" x14ac:dyDescent="0.25">
      <c r="AN149" t="s">
        <v>77</v>
      </c>
      <c r="AO149" t="s">
        <v>60</v>
      </c>
      <c r="AP149">
        <v>2002</v>
      </c>
      <c r="AQ149" t="s">
        <v>79</v>
      </c>
      <c r="AR149" t="s">
        <v>335</v>
      </c>
      <c r="AS149" t="s">
        <v>306</v>
      </c>
      <c r="AT149" t="s">
        <v>218</v>
      </c>
      <c r="AU149" t="s">
        <v>310</v>
      </c>
      <c r="AV149">
        <v>3.9</v>
      </c>
    </row>
    <row r="150" spans="40:48" x14ac:dyDescent="0.25">
      <c r="AN150" t="s">
        <v>77</v>
      </c>
      <c r="AO150" t="s">
        <v>60</v>
      </c>
      <c r="AP150">
        <v>2002</v>
      </c>
      <c r="AQ150" t="s">
        <v>79</v>
      </c>
      <c r="AR150" t="s">
        <v>335</v>
      </c>
      <c r="AS150" t="s">
        <v>306</v>
      </c>
      <c r="AT150" t="s">
        <v>218</v>
      </c>
      <c r="AU150" t="s">
        <v>311</v>
      </c>
      <c r="AV150">
        <v>7.85</v>
      </c>
    </row>
    <row r="151" spans="40:48" x14ac:dyDescent="0.25">
      <c r="AN151" t="s">
        <v>77</v>
      </c>
      <c r="AO151" t="s">
        <v>60</v>
      </c>
      <c r="AP151">
        <v>2002</v>
      </c>
      <c r="AQ151" t="s">
        <v>79</v>
      </c>
      <c r="AR151" t="s">
        <v>335</v>
      </c>
      <c r="AS151" t="s">
        <v>306</v>
      </c>
      <c r="AT151" t="s">
        <v>218</v>
      </c>
      <c r="AU151" t="s">
        <v>268</v>
      </c>
      <c r="AV151">
        <v>11.75</v>
      </c>
    </row>
    <row r="152" spans="40:48" x14ac:dyDescent="0.25">
      <c r="AN152" t="s">
        <v>77</v>
      </c>
      <c r="AO152" t="s">
        <v>60</v>
      </c>
      <c r="AP152">
        <v>2002</v>
      </c>
      <c r="AQ152" t="s">
        <v>79</v>
      </c>
      <c r="AR152" t="s">
        <v>335</v>
      </c>
      <c r="AS152" t="s">
        <v>306</v>
      </c>
      <c r="AT152" t="s">
        <v>238</v>
      </c>
      <c r="AU152" t="s">
        <v>310</v>
      </c>
      <c r="AV152">
        <v>3.8</v>
      </c>
    </row>
    <row r="153" spans="40:48" x14ac:dyDescent="0.25">
      <c r="AN153" t="s">
        <v>77</v>
      </c>
      <c r="AO153" t="s">
        <v>60</v>
      </c>
      <c r="AP153">
        <v>2002</v>
      </c>
      <c r="AQ153" t="s">
        <v>79</v>
      </c>
      <c r="AR153" t="s">
        <v>335</v>
      </c>
      <c r="AS153" t="s">
        <v>306</v>
      </c>
      <c r="AT153" t="s">
        <v>238</v>
      </c>
      <c r="AU153" t="s">
        <v>311</v>
      </c>
      <c r="AV153">
        <v>6.2</v>
      </c>
    </row>
    <row r="154" spans="40:48" x14ac:dyDescent="0.25">
      <c r="AN154" t="s">
        <v>77</v>
      </c>
      <c r="AO154" t="s">
        <v>60</v>
      </c>
      <c r="AP154">
        <v>2002</v>
      </c>
      <c r="AQ154" t="s">
        <v>79</v>
      </c>
      <c r="AR154" t="s">
        <v>335</v>
      </c>
      <c r="AS154" t="s">
        <v>306</v>
      </c>
      <c r="AT154" t="s">
        <v>238</v>
      </c>
      <c r="AU154" t="s">
        <v>268</v>
      </c>
      <c r="AV154">
        <v>10</v>
      </c>
    </row>
    <row r="155" spans="40:48" x14ac:dyDescent="0.25">
      <c r="AN155" t="s">
        <v>77</v>
      </c>
      <c r="AO155" t="s">
        <v>60</v>
      </c>
      <c r="AP155">
        <v>2002</v>
      </c>
      <c r="AQ155" t="s">
        <v>79</v>
      </c>
      <c r="AR155" t="s">
        <v>335</v>
      </c>
      <c r="AS155" t="s">
        <v>306</v>
      </c>
      <c r="AT155" t="s">
        <v>239</v>
      </c>
      <c r="AU155" t="s">
        <v>310</v>
      </c>
      <c r="AV155">
        <v>3.8</v>
      </c>
    </row>
    <row r="156" spans="40:48" x14ac:dyDescent="0.25">
      <c r="AN156" t="s">
        <v>77</v>
      </c>
      <c r="AO156" t="s">
        <v>60</v>
      </c>
      <c r="AP156">
        <v>2002</v>
      </c>
      <c r="AQ156" t="s">
        <v>79</v>
      </c>
      <c r="AR156" t="s">
        <v>335</v>
      </c>
      <c r="AS156" t="s">
        <v>306</v>
      </c>
      <c r="AT156" t="s">
        <v>239</v>
      </c>
      <c r="AU156" t="s">
        <v>311</v>
      </c>
      <c r="AV156">
        <v>8.4</v>
      </c>
    </row>
    <row r="157" spans="40:48" x14ac:dyDescent="0.25">
      <c r="AN157" t="s">
        <v>77</v>
      </c>
      <c r="AO157" t="s">
        <v>60</v>
      </c>
      <c r="AP157">
        <v>2002</v>
      </c>
      <c r="AQ157" t="s">
        <v>79</v>
      </c>
      <c r="AR157" t="s">
        <v>335</v>
      </c>
      <c r="AS157" t="s">
        <v>306</v>
      </c>
      <c r="AT157" t="s">
        <v>239</v>
      </c>
      <c r="AU157" t="s">
        <v>268</v>
      </c>
      <c r="AV157">
        <v>12.2</v>
      </c>
    </row>
    <row r="158" spans="40:48" x14ac:dyDescent="0.25">
      <c r="AN158" t="s">
        <v>77</v>
      </c>
      <c r="AO158" t="s">
        <v>60</v>
      </c>
      <c r="AP158">
        <v>2002</v>
      </c>
      <c r="AQ158" t="s">
        <v>79</v>
      </c>
      <c r="AR158" t="s">
        <v>335</v>
      </c>
      <c r="AS158" t="s">
        <v>306</v>
      </c>
      <c r="AT158" t="s">
        <v>240</v>
      </c>
      <c r="AU158" t="s">
        <v>310</v>
      </c>
      <c r="AV158">
        <v>3.2</v>
      </c>
    </row>
    <row r="159" spans="40:48" x14ac:dyDescent="0.25">
      <c r="AN159" t="s">
        <v>77</v>
      </c>
      <c r="AO159" t="s">
        <v>60</v>
      </c>
      <c r="AP159">
        <v>2002</v>
      </c>
      <c r="AQ159" t="s">
        <v>79</v>
      </c>
      <c r="AR159" t="s">
        <v>335</v>
      </c>
      <c r="AS159" t="s">
        <v>306</v>
      </c>
      <c r="AT159" t="s">
        <v>240</v>
      </c>
      <c r="AU159" t="s">
        <v>311</v>
      </c>
      <c r="AV159">
        <v>9.15</v>
      </c>
    </row>
    <row r="160" spans="40:48" x14ac:dyDescent="0.25">
      <c r="AN160" t="s">
        <v>77</v>
      </c>
      <c r="AO160" t="s">
        <v>60</v>
      </c>
      <c r="AP160">
        <v>2002</v>
      </c>
      <c r="AQ160" t="s">
        <v>79</v>
      </c>
      <c r="AR160" t="s">
        <v>335</v>
      </c>
      <c r="AS160" t="s">
        <v>306</v>
      </c>
      <c r="AT160" t="s">
        <v>240</v>
      </c>
      <c r="AU160" t="s">
        <v>268</v>
      </c>
      <c r="AV160">
        <v>12.35</v>
      </c>
    </row>
    <row r="161" spans="40:48" x14ac:dyDescent="0.25">
      <c r="AN161" t="s">
        <v>77</v>
      </c>
      <c r="AO161" t="s">
        <v>60</v>
      </c>
      <c r="AP161">
        <v>2002</v>
      </c>
      <c r="AQ161" t="s">
        <v>79</v>
      </c>
      <c r="AR161" t="s">
        <v>335</v>
      </c>
      <c r="AS161" t="s">
        <v>306</v>
      </c>
      <c r="AT161" t="s">
        <v>316</v>
      </c>
      <c r="AU161" t="s">
        <v>310</v>
      </c>
      <c r="AV161">
        <v>3.8</v>
      </c>
    </row>
    <row r="162" spans="40:48" x14ac:dyDescent="0.25">
      <c r="AN162" t="s">
        <v>77</v>
      </c>
      <c r="AO162" t="s">
        <v>60</v>
      </c>
      <c r="AP162">
        <v>2002</v>
      </c>
      <c r="AQ162" t="s">
        <v>79</v>
      </c>
      <c r="AR162" t="s">
        <v>335</v>
      </c>
      <c r="AS162" t="s">
        <v>306</v>
      </c>
      <c r="AT162" t="s">
        <v>316</v>
      </c>
      <c r="AU162" t="s">
        <v>311</v>
      </c>
      <c r="AV162">
        <v>8.75</v>
      </c>
    </row>
    <row r="163" spans="40:48" x14ac:dyDescent="0.25">
      <c r="AN163" t="s">
        <v>77</v>
      </c>
      <c r="AO163" t="s">
        <v>60</v>
      </c>
      <c r="AP163">
        <v>2002</v>
      </c>
      <c r="AQ163" t="s">
        <v>79</v>
      </c>
      <c r="AR163" t="s">
        <v>335</v>
      </c>
      <c r="AS163" t="s">
        <v>306</v>
      </c>
      <c r="AT163" t="s">
        <v>316</v>
      </c>
      <c r="AU163" t="s">
        <v>268</v>
      </c>
      <c r="AV163">
        <v>12.55</v>
      </c>
    </row>
    <row r="164" spans="40:48" x14ac:dyDescent="0.25">
      <c r="AN164" t="s">
        <v>77</v>
      </c>
      <c r="AO164" t="s">
        <v>60</v>
      </c>
      <c r="AP164">
        <v>2002</v>
      </c>
      <c r="AQ164" t="s">
        <v>79</v>
      </c>
      <c r="AR164" t="s">
        <v>335</v>
      </c>
      <c r="AS164" t="s">
        <v>306</v>
      </c>
      <c r="AT164" t="s">
        <v>242</v>
      </c>
      <c r="AU164" t="s">
        <v>310</v>
      </c>
      <c r="AV164">
        <v>2.6</v>
      </c>
    </row>
    <row r="165" spans="40:48" x14ac:dyDescent="0.25">
      <c r="AN165" t="s">
        <v>77</v>
      </c>
      <c r="AO165" t="s">
        <v>60</v>
      </c>
      <c r="AP165">
        <v>2002</v>
      </c>
      <c r="AQ165" t="s">
        <v>79</v>
      </c>
      <c r="AR165" t="s">
        <v>335</v>
      </c>
      <c r="AS165" t="s">
        <v>306</v>
      </c>
      <c r="AT165" t="s">
        <v>242</v>
      </c>
      <c r="AU165" t="s">
        <v>311</v>
      </c>
      <c r="AV165">
        <v>7.5</v>
      </c>
    </row>
    <row r="166" spans="40:48" x14ac:dyDescent="0.25">
      <c r="AN166" t="s">
        <v>77</v>
      </c>
      <c r="AO166" t="s">
        <v>60</v>
      </c>
      <c r="AP166">
        <v>2002</v>
      </c>
      <c r="AQ166" t="s">
        <v>79</v>
      </c>
      <c r="AR166" t="s">
        <v>335</v>
      </c>
      <c r="AS166" t="s">
        <v>306</v>
      </c>
      <c r="AT166" t="s">
        <v>242</v>
      </c>
      <c r="AU166" t="s">
        <v>268</v>
      </c>
      <c r="AV166">
        <v>10.1</v>
      </c>
    </row>
    <row r="167" spans="40:48" x14ac:dyDescent="0.25">
      <c r="AN167" t="s">
        <v>77</v>
      </c>
      <c r="AO167" t="s">
        <v>60</v>
      </c>
      <c r="AP167">
        <v>2002</v>
      </c>
      <c r="AQ167" t="s">
        <v>79</v>
      </c>
      <c r="AR167" t="s">
        <v>335</v>
      </c>
      <c r="AS167" t="s">
        <v>306</v>
      </c>
      <c r="AT167" t="s">
        <v>243</v>
      </c>
      <c r="AU167" t="s">
        <v>337</v>
      </c>
      <c r="AV167">
        <v>21.1</v>
      </c>
    </row>
    <row r="168" spans="40:48" x14ac:dyDescent="0.25">
      <c r="AN168" t="s">
        <v>77</v>
      </c>
      <c r="AO168" t="s">
        <v>60</v>
      </c>
      <c r="AP168">
        <v>2002</v>
      </c>
      <c r="AQ168" t="s">
        <v>79</v>
      </c>
      <c r="AR168" t="s">
        <v>335</v>
      </c>
      <c r="AS168" t="s">
        <v>306</v>
      </c>
      <c r="AT168" t="s">
        <v>243</v>
      </c>
      <c r="AU168" t="s">
        <v>338</v>
      </c>
      <c r="AV168">
        <v>47.85</v>
      </c>
    </row>
    <row r="169" spans="40:48" x14ac:dyDescent="0.25">
      <c r="AN169" t="s">
        <v>77</v>
      </c>
      <c r="AO169" t="s">
        <v>60</v>
      </c>
      <c r="AP169">
        <v>2002</v>
      </c>
      <c r="AQ169" t="s">
        <v>79</v>
      </c>
      <c r="AR169" t="s">
        <v>335</v>
      </c>
      <c r="AS169" t="s">
        <v>306</v>
      </c>
      <c r="AT169" t="s">
        <v>243</v>
      </c>
      <c r="AU169" t="s">
        <v>339</v>
      </c>
      <c r="AV169">
        <v>68.95</v>
      </c>
    </row>
    <row r="170" spans="40:48" x14ac:dyDescent="0.25">
      <c r="AN170" t="s">
        <v>80</v>
      </c>
      <c r="AO170" t="s">
        <v>60</v>
      </c>
      <c r="AP170">
        <v>2004</v>
      </c>
      <c r="AQ170" t="s">
        <v>62</v>
      </c>
      <c r="AR170" t="s">
        <v>335</v>
      </c>
      <c r="AS170" t="s">
        <v>306</v>
      </c>
      <c r="AT170" t="s">
        <v>218</v>
      </c>
      <c r="AU170" t="s">
        <v>310</v>
      </c>
      <c r="AV170">
        <v>3.4</v>
      </c>
    </row>
    <row r="171" spans="40:48" x14ac:dyDescent="0.25">
      <c r="AN171" t="s">
        <v>80</v>
      </c>
      <c r="AO171" t="s">
        <v>60</v>
      </c>
      <c r="AP171">
        <v>2004</v>
      </c>
      <c r="AQ171" t="s">
        <v>62</v>
      </c>
      <c r="AR171" t="s">
        <v>335</v>
      </c>
      <c r="AS171" t="s">
        <v>306</v>
      </c>
      <c r="AT171" t="s">
        <v>218</v>
      </c>
      <c r="AU171" t="s">
        <v>311</v>
      </c>
      <c r="AV171">
        <v>8.6999999999999993</v>
      </c>
    </row>
    <row r="172" spans="40:48" x14ac:dyDescent="0.25">
      <c r="AN172" t="s">
        <v>80</v>
      </c>
      <c r="AO172" t="s">
        <v>60</v>
      </c>
      <c r="AP172">
        <v>2004</v>
      </c>
      <c r="AQ172" t="s">
        <v>62</v>
      </c>
      <c r="AR172" t="s">
        <v>335</v>
      </c>
      <c r="AS172" t="s">
        <v>306</v>
      </c>
      <c r="AT172" t="s">
        <v>218</v>
      </c>
      <c r="AU172" t="s">
        <v>268</v>
      </c>
      <c r="AV172">
        <v>12.1</v>
      </c>
    </row>
    <row r="173" spans="40:48" x14ac:dyDescent="0.25">
      <c r="AN173" t="s">
        <v>80</v>
      </c>
      <c r="AO173" t="s">
        <v>60</v>
      </c>
      <c r="AP173">
        <v>2004</v>
      </c>
      <c r="AQ173" t="s">
        <v>62</v>
      </c>
      <c r="AR173" t="s">
        <v>335</v>
      </c>
      <c r="AS173" t="s">
        <v>306</v>
      </c>
      <c r="AT173" t="s">
        <v>238</v>
      </c>
      <c r="AU173" t="s">
        <v>310</v>
      </c>
      <c r="AV173">
        <v>4.0999999999999996</v>
      </c>
    </row>
    <row r="174" spans="40:48" x14ac:dyDescent="0.25">
      <c r="AN174" t="s">
        <v>80</v>
      </c>
      <c r="AO174" t="s">
        <v>60</v>
      </c>
      <c r="AP174">
        <v>2004</v>
      </c>
      <c r="AQ174" t="s">
        <v>62</v>
      </c>
      <c r="AR174" t="s">
        <v>335</v>
      </c>
      <c r="AS174" t="s">
        <v>306</v>
      </c>
      <c r="AT174" t="s">
        <v>238</v>
      </c>
      <c r="AU174" t="s">
        <v>311</v>
      </c>
      <c r="AV174">
        <v>6.7</v>
      </c>
    </row>
    <row r="175" spans="40:48" x14ac:dyDescent="0.25">
      <c r="AN175" t="s">
        <v>80</v>
      </c>
      <c r="AO175" t="s">
        <v>60</v>
      </c>
      <c r="AP175">
        <v>2004</v>
      </c>
      <c r="AQ175" t="s">
        <v>62</v>
      </c>
      <c r="AR175" t="s">
        <v>335</v>
      </c>
      <c r="AS175" t="s">
        <v>306</v>
      </c>
      <c r="AT175" t="s">
        <v>238</v>
      </c>
      <c r="AU175" t="s">
        <v>268</v>
      </c>
      <c r="AV175">
        <v>10.8</v>
      </c>
    </row>
    <row r="176" spans="40:48" x14ac:dyDescent="0.25">
      <c r="AN176" t="s">
        <v>80</v>
      </c>
      <c r="AO176" t="s">
        <v>60</v>
      </c>
      <c r="AP176">
        <v>2004</v>
      </c>
      <c r="AQ176" t="s">
        <v>62</v>
      </c>
      <c r="AR176" t="s">
        <v>335</v>
      </c>
      <c r="AS176" t="s">
        <v>306</v>
      </c>
      <c r="AT176" t="s">
        <v>239</v>
      </c>
      <c r="AU176" t="s">
        <v>310</v>
      </c>
      <c r="AV176">
        <v>3.7</v>
      </c>
    </row>
    <row r="177" spans="40:48" x14ac:dyDescent="0.25">
      <c r="AN177" t="s">
        <v>80</v>
      </c>
      <c r="AO177" t="s">
        <v>60</v>
      </c>
      <c r="AP177">
        <v>2004</v>
      </c>
      <c r="AQ177" t="s">
        <v>62</v>
      </c>
      <c r="AR177" t="s">
        <v>335</v>
      </c>
      <c r="AS177" t="s">
        <v>306</v>
      </c>
      <c r="AT177" t="s">
        <v>239</v>
      </c>
      <c r="AU177" t="s">
        <v>311</v>
      </c>
      <c r="AV177">
        <v>7.9</v>
      </c>
    </row>
    <row r="178" spans="40:48" x14ac:dyDescent="0.25">
      <c r="AN178" t="s">
        <v>80</v>
      </c>
      <c r="AO178" t="s">
        <v>60</v>
      </c>
      <c r="AP178">
        <v>2004</v>
      </c>
      <c r="AQ178" t="s">
        <v>62</v>
      </c>
      <c r="AR178" t="s">
        <v>335</v>
      </c>
      <c r="AS178" t="s">
        <v>306</v>
      </c>
      <c r="AT178" t="s">
        <v>239</v>
      </c>
      <c r="AU178" t="s">
        <v>268</v>
      </c>
      <c r="AV178">
        <v>11.6</v>
      </c>
    </row>
    <row r="179" spans="40:48" x14ac:dyDescent="0.25">
      <c r="AN179" t="s">
        <v>80</v>
      </c>
      <c r="AO179" t="s">
        <v>60</v>
      </c>
      <c r="AP179">
        <v>2004</v>
      </c>
      <c r="AQ179" t="s">
        <v>62</v>
      </c>
      <c r="AR179" t="s">
        <v>335</v>
      </c>
      <c r="AS179" t="s">
        <v>306</v>
      </c>
      <c r="AT179" t="s">
        <v>240</v>
      </c>
      <c r="AU179" t="s">
        <v>310</v>
      </c>
      <c r="AV179">
        <v>3.6</v>
      </c>
    </row>
    <row r="180" spans="40:48" x14ac:dyDescent="0.25">
      <c r="AN180" t="s">
        <v>80</v>
      </c>
      <c r="AO180" t="s">
        <v>60</v>
      </c>
      <c r="AP180">
        <v>2004</v>
      </c>
      <c r="AQ180" t="s">
        <v>62</v>
      </c>
      <c r="AR180" t="s">
        <v>335</v>
      </c>
      <c r="AS180" t="s">
        <v>306</v>
      </c>
      <c r="AT180" t="s">
        <v>240</v>
      </c>
      <c r="AU180" t="s">
        <v>311</v>
      </c>
      <c r="AV180">
        <v>8.15</v>
      </c>
    </row>
    <row r="181" spans="40:48" x14ac:dyDescent="0.25">
      <c r="AN181" t="s">
        <v>80</v>
      </c>
      <c r="AO181" t="s">
        <v>60</v>
      </c>
      <c r="AP181">
        <v>2004</v>
      </c>
      <c r="AQ181" t="s">
        <v>62</v>
      </c>
      <c r="AR181" t="s">
        <v>335</v>
      </c>
      <c r="AS181" t="s">
        <v>306</v>
      </c>
      <c r="AT181" t="s">
        <v>240</v>
      </c>
      <c r="AU181" t="s">
        <v>268</v>
      </c>
      <c r="AV181">
        <v>11.75</v>
      </c>
    </row>
    <row r="182" spans="40:48" x14ac:dyDescent="0.25">
      <c r="AN182" t="s">
        <v>80</v>
      </c>
      <c r="AO182" t="s">
        <v>60</v>
      </c>
      <c r="AP182">
        <v>2004</v>
      </c>
      <c r="AQ182" t="s">
        <v>62</v>
      </c>
      <c r="AR182" t="s">
        <v>335</v>
      </c>
      <c r="AS182" t="s">
        <v>306</v>
      </c>
      <c r="AT182" t="s">
        <v>316</v>
      </c>
      <c r="AU182" t="s">
        <v>310</v>
      </c>
      <c r="AV182">
        <v>3.6</v>
      </c>
    </row>
    <row r="183" spans="40:48" x14ac:dyDescent="0.25">
      <c r="AN183" t="s">
        <v>80</v>
      </c>
      <c r="AO183" t="s">
        <v>60</v>
      </c>
      <c r="AP183">
        <v>2004</v>
      </c>
      <c r="AQ183" t="s">
        <v>62</v>
      </c>
      <c r="AR183" t="s">
        <v>335</v>
      </c>
      <c r="AS183" t="s">
        <v>306</v>
      </c>
      <c r="AT183" t="s">
        <v>316</v>
      </c>
      <c r="AU183" t="s">
        <v>311</v>
      </c>
      <c r="AV183">
        <v>8.65</v>
      </c>
    </row>
    <row r="184" spans="40:48" x14ac:dyDescent="0.25">
      <c r="AN184" t="s">
        <v>80</v>
      </c>
      <c r="AO184" t="s">
        <v>60</v>
      </c>
      <c r="AP184">
        <v>2004</v>
      </c>
      <c r="AQ184" t="s">
        <v>62</v>
      </c>
      <c r="AR184" t="s">
        <v>335</v>
      </c>
      <c r="AS184" t="s">
        <v>306</v>
      </c>
      <c r="AT184" t="s">
        <v>316</v>
      </c>
      <c r="AU184" t="s">
        <v>268</v>
      </c>
      <c r="AV184">
        <v>12.25</v>
      </c>
    </row>
    <row r="185" spans="40:48" x14ac:dyDescent="0.25">
      <c r="AN185" t="s">
        <v>80</v>
      </c>
      <c r="AO185" t="s">
        <v>60</v>
      </c>
      <c r="AP185">
        <v>2004</v>
      </c>
      <c r="AQ185" t="s">
        <v>62</v>
      </c>
      <c r="AR185" t="s">
        <v>335</v>
      </c>
      <c r="AS185" t="s">
        <v>306</v>
      </c>
      <c r="AT185" t="s">
        <v>242</v>
      </c>
      <c r="AU185" t="s">
        <v>310</v>
      </c>
      <c r="AV185">
        <v>2.5</v>
      </c>
    </row>
    <row r="186" spans="40:48" x14ac:dyDescent="0.25">
      <c r="AN186" t="s">
        <v>80</v>
      </c>
      <c r="AO186" t="s">
        <v>60</v>
      </c>
      <c r="AP186">
        <v>2004</v>
      </c>
      <c r="AQ186" t="s">
        <v>62</v>
      </c>
      <c r="AR186" t="s">
        <v>335</v>
      </c>
      <c r="AS186" t="s">
        <v>306</v>
      </c>
      <c r="AT186" t="s">
        <v>242</v>
      </c>
      <c r="AU186" t="s">
        <v>311</v>
      </c>
      <c r="AV186">
        <v>7.9</v>
      </c>
    </row>
    <row r="187" spans="40:48" x14ac:dyDescent="0.25">
      <c r="AN187" t="s">
        <v>80</v>
      </c>
      <c r="AO187" t="s">
        <v>60</v>
      </c>
      <c r="AP187">
        <v>2004</v>
      </c>
      <c r="AQ187" t="s">
        <v>62</v>
      </c>
      <c r="AR187" t="s">
        <v>335</v>
      </c>
      <c r="AS187" t="s">
        <v>306</v>
      </c>
      <c r="AT187" t="s">
        <v>242</v>
      </c>
      <c r="AU187" t="s">
        <v>268</v>
      </c>
      <c r="AV187">
        <v>10.4</v>
      </c>
    </row>
    <row r="188" spans="40:48" x14ac:dyDescent="0.25">
      <c r="AN188" t="s">
        <v>80</v>
      </c>
      <c r="AO188" t="s">
        <v>60</v>
      </c>
      <c r="AP188">
        <v>2004</v>
      </c>
      <c r="AQ188" t="s">
        <v>62</v>
      </c>
      <c r="AR188" t="s">
        <v>335</v>
      </c>
      <c r="AS188" t="s">
        <v>306</v>
      </c>
      <c r="AT188" t="s">
        <v>243</v>
      </c>
      <c r="AU188" t="s">
        <v>337</v>
      </c>
      <c r="AV188">
        <v>20.9</v>
      </c>
    </row>
    <row r="189" spans="40:48" x14ac:dyDescent="0.25">
      <c r="AN189" t="s">
        <v>80</v>
      </c>
      <c r="AO189" t="s">
        <v>60</v>
      </c>
      <c r="AP189">
        <v>2004</v>
      </c>
      <c r="AQ189" t="s">
        <v>62</v>
      </c>
      <c r="AR189" t="s">
        <v>335</v>
      </c>
      <c r="AS189" t="s">
        <v>306</v>
      </c>
      <c r="AT189" t="s">
        <v>243</v>
      </c>
      <c r="AU189" t="s">
        <v>338</v>
      </c>
      <c r="AV189">
        <v>47.999999999999993</v>
      </c>
    </row>
    <row r="190" spans="40:48" x14ac:dyDescent="0.25">
      <c r="AN190" t="s">
        <v>80</v>
      </c>
      <c r="AO190" t="s">
        <v>60</v>
      </c>
      <c r="AP190">
        <v>2004</v>
      </c>
      <c r="AQ190" t="s">
        <v>62</v>
      </c>
      <c r="AR190" t="s">
        <v>335</v>
      </c>
      <c r="AS190" t="s">
        <v>306</v>
      </c>
      <c r="AT190" t="s">
        <v>243</v>
      </c>
      <c r="AU190" t="s">
        <v>339</v>
      </c>
      <c r="AV190">
        <v>68.900000000000006</v>
      </c>
    </row>
    <row r="191" spans="40:48" x14ac:dyDescent="0.25">
      <c r="AN191" t="s">
        <v>82</v>
      </c>
      <c r="AO191" t="s">
        <v>60</v>
      </c>
      <c r="AP191">
        <v>2003</v>
      </c>
      <c r="AQ191" t="s">
        <v>36</v>
      </c>
      <c r="AR191" t="s">
        <v>335</v>
      </c>
      <c r="AS191" t="s">
        <v>306</v>
      </c>
      <c r="AT191" t="s">
        <v>218</v>
      </c>
      <c r="AU191" t="s">
        <v>310</v>
      </c>
      <c r="AV191">
        <v>4.4000000000000004</v>
      </c>
    </row>
    <row r="192" spans="40:48" x14ac:dyDescent="0.25">
      <c r="AN192" t="s">
        <v>82</v>
      </c>
      <c r="AO192" t="s">
        <v>60</v>
      </c>
      <c r="AP192">
        <v>2003</v>
      </c>
      <c r="AQ192" t="s">
        <v>36</v>
      </c>
      <c r="AR192" t="s">
        <v>335</v>
      </c>
      <c r="AS192" t="s">
        <v>306</v>
      </c>
      <c r="AT192" t="s">
        <v>218</v>
      </c>
      <c r="AU192" t="s">
        <v>311</v>
      </c>
      <c r="AV192">
        <v>8.1</v>
      </c>
    </row>
    <row r="193" spans="40:48" x14ac:dyDescent="0.25">
      <c r="AN193" t="s">
        <v>82</v>
      </c>
      <c r="AO193" t="s">
        <v>60</v>
      </c>
      <c r="AP193">
        <v>2003</v>
      </c>
      <c r="AQ193" t="s">
        <v>36</v>
      </c>
      <c r="AR193" t="s">
        <v>335</v>
      </c>
      <c r="AS193" t="s">
        <v>306</v>
      </c>
      <c r="AT193" t="s">
        <v>218</v>
      </c>
      <c r="AU193" t="s">
        <v>268</v>
      </c>
      <c r="AV193">
        <v>12.5</v>
      </c>
    </row>
    <row r="194" spans="40:48" x14ac:dyDescent="0.25">
      <c r="AN194" t="s">
        <v>82</v>
      </c>
      <c r="AO194" t="s">
        <v>60</v>
      </c>
      <c r="AP194">
        <v>2003</v>
      </c>
      <c r="AQ194" t="s">
        <v>36</v>
      </c>
      <c r="AR194" t="s">
        <v>335</v>
      </c>
      <c r="AS194" t="s">
        <v>306</v>
      </c>
      <c r="AT194" t="s">
        <v>238</v>
      </c>
      <c r="AU194" t="s">
        <v>310</v>
      </c>
      <c r="AV194">
        <v>3.4</v>
      </c>
    </row>
    <row r="195" spans="40:48" x14ac:dyDescent="0.25">
      <c r="AN195" t="s">
        <v>82</v>
      </c>
      <c r="AO195" t="s">
        <v>60</v>
      </c>
      <c r="AP195">
        <v>2003</v>
      </c>
      <c r="AQ195" t="s">
        <v>36</v>
      </c>
      <c r="AR195" t="s">
        <v>335</v>
      </c>
      <c r="AS195" t="s">
        <v>306</v>
      </c>
      <c r="AT195" t="s">
        <v>238</v>
      </c>
      <c r="AU195" t="s">
        <v>311</v>
      </c>
      <c r="AV195">
        <v>5.5</v>
      </c>
    </row>
    <row r="196" spans="40:48" x14ac:dyDescent="0.25">
      <c r="AN196" t="s">
        <v>82</v>
      </c>
      <c r="AO196" t="s">
        <v>60</v>
      </c>
      <c r="AP196">
        <v>2003</v>
      </c>
      <c r="AQ196" t="s">
        <v>36</v>
      </c>
      <c r="AR196" t="s">
        <v>335</v>
      </c>
      <c r="AS196" t="s">
        <v>306</v>
      </c>
      <c r="AT196" t="s">
        <v>238</v>
      </c>
      <c r="AU196" t="s">
        <v>268</v>
      </c>
      <c r="AV196">
        <v>8.9</v>
      </c>
    </row>
    <row r="197" spans="40:48" x14ac:dyDescent="0.25">
      <c r="AN197" t="s">
        <v>82</v>
      </c>
      <c r="AO197" t="s">
        <v>60</v>
      </c>
      <c r="AP197">
        <v>2003</v>
      </c>
      <c r="AQ197" t="s">
        <v>36</v>
      </c>
      <c r="AR197" t="s">
        <v>335</v>
      </c>
      <c r="AS197" t="s">
        <v>306</v>
      </c>
      <c r="AT197" t="s">
        <v>239</v>
      </c>
      <c r="AU197" t="s">
        <v>310</v>
      </c>
      <c r="AV197">
        <v>3.8</v>
      </c>
    </row>
    <row r="198" spans="40:48" x14ac:dyDescent="0.25">
      <c r="AN198" t="s">
        <v>82</v>
      </c>
      <c r="AO198" t="s">
        <v>60</v>
      </c>
      <c r="AP198">
        <v>2003</v>
      </c>
      <c r="AQ198" t="s">
        <v>36</v>
      </c>
      <c r="AR198" t="s">
        <v>335</v>
      </c>
      <c r="AS198" t="s">
        <v>306</v>
      </c>
      <c r="AT198" t="s">
        <v>239</v>
      </c>
      <c r="AU198" t="s">
        <v>311</v>
      </c>
      <c r="AV198">
        <v>7.5</v>
      </c>
    </row>
    <row r="199" spans="40:48" x14ac:dyDescent="0.25">
      <c r="AN199" t="s">
        <v>82</v>
      </c>
      <c r="AO199" t="s">
        <v>60</v>
      </c>
      <c r="AP199">
        <v>2003</v>
      </c>
      <c r="AQ199" t="s">
        <v>36</v>
      </c>
      <c r="AR199" t="s">
        <v>335</v>
      </c>
      <c r="AS199" t="s">
        <v>306</v>
      </c>
      <c r="AT199" t="s">
        <v>239</v>
      </c>
      <c r="AU199" t="s">
        <v>268</v>
      </c>
      <c r="AV199">
        <v>11.3</v>
      </c>
    </row>
    <row r="200" spans="40:48" x14ac:dyDescent="0.25">
      <c r="AN200" t="s">
        <v>82</v>
      </c>
      <c r="AO200" t="s">
        <v>60</v>
      </c>
      <c r="AP200">
        <v>2003</v>
      </c>
      <c r="AQ200" t="s">
        <v>36</v>
      </c>
      <c r="AR200" t="s">
        <v>335</v>
      </c>
      <c r="AS200" t="s">
        <v>306</v>
      </c>
      <c r="AT200" t="s">
        <v>240</v>
      </c>
      <c r="AU200" t="s">
        <v>310</v>
      </c>
      <c r="AV200">
        <v>4</v>
      </c>
    </row>
    <row r="201" spans="40:48" x14ac:dyDescent="0.25">
      <c r="AN201" t="s">
        <v>82</v>
      </c>
      <c r="AO201" t="s">
        <v>60</v>
      </c>
      <c r="AP201">
        <v>2003</v>
      </c>
      <c r="AQ201" t="s">
        <v>36</v>
      </c>
      <c r="AR201" t="s">
        <v>335</v>
      </c>
      <c r="AS201" t="s">
        <v>306</v>
      </c>
      <c r="AT201" t="s">
        <v>240</v>
      </c>
      <c r="AU201" t="s">
        <v>311</v>
      </c>
      <c r="AV201">
        <v>9.3000000000000007</v>
      </c>
    </row>
    <row r="202" spans="40:48" x14ac:dyDescent="0.25">
      <c r="AN202" t="s">
        <v>82</v>
      </c>
      <c r="AO202" t="s">
        <v>60</v>
      </c>
      <c r="AP202">
        <v>2003</v>
      </c>
      <c r="AQ202" t="s">
        <v>36</v>
      </c>
      <c r="AR202" t="s">
        <v>335</v>
      </c>
      <c r="AS202" t="s">
        <v>306</v>
      </c>
      <c r="AT202" t="s">
        <v>240</v>
      </c>
      <c r="AU202" t="s">
        <v>268</v>
      </c>
      <c r="AV202">
        <v>13.3</v>
      </c>
    </row>
    <row r="203" spans="40:48" x14ac:dyDescent="0.25">
      <c r="AN203" t="s">
        <v>82</v>
      </c>
      <c r="AO203" t="s">
        <v>60</v>
      </c>
      <c r="AP203">
        <v>2003</v>
      </c>
      <c r="AQ203" t="s">
        <v>36</v>
      </c>
      <c r="AR203" t="s">
        <v>335</v>
      </c>
      <c r="AS203" t="s">
        <v>306</v>
      </c>
      <c r="AT203" t="s">
        <v>316</v>
      </c>
      <c r="AU203" t="s">
        <v>310</v>
      </c>
      <c r="AV203">
        <v>3</v>
      </c>
    </row>
    <row r="204" spans="40:48" x14ac:dyDescent="0.25">
      <c r="AN204" t="s">
        <v>82</v>
      </c>
      <c r="AO204" t="s">
        <v>60</v>
      </c>
      <c r="AP204">
        <v>2003</v>
      </c>
      <c r="AQ204" t="s">
        <v>36</v>
      </c>
      <c r="AR204" t="s">
        <v>335</v>
      </c>
      <c r="AS204" t="s">
        <v>306</v>
      </c>
      <c r="AT204" t="s">
        <v>316</v>
      </c>
      <c r="AU204" t="s">
        <v>311</v>
      </c>
      <c r="AV204">
        <v>8.75</v>
      </c>
    </row>
    <row r="205" spans="40:48" x14ac:dyDescent="0.25">
      <c r="AN205" t="s">
        <v>82</v>
      </c>
      <c r="AO205" t="s">
        <v>60</v>
      </c>
      <c r="AP205">
        <v>2003</v>
      </c>
      <c r="AQ205" t="s">
        <v>36</v>
      </c>
      <c r="AR205" t="s">
        <v>335</v>
      </c>
      <c r="AS205" t="s">
        <v>306</v>
      </c>
      <c r="AT205" t="s">
        <v>316</v>
      </c>
      <c r="AU205" t="s">
        <v>268</v>
      </c>
      <c r="AV205">
        <v>11.75</v>
      </c>
    </row>
    <row r="206" spans="40:48" x14ac:dyDescent="0.25">
      <c r="AN206" t="s">
        <v>82</v>
      </c>
      <c r="AO206" t="s">
        <v>60</v>
      </c>
      <c r="AP206">
        <v>2003</v>
      </c>
      <c r="AQ206" t="s">
        <v>36</v>
      </c>
      <c r="AR206" t="s">
        <v>335</v>
      </c>
      <c r="AS206" t="s">
        <v>306</v>
      </c>
      <c r="AT206" t="s">
        <v>242</v>
      </c>
      <c r="AU206" t="s">
        <v>310</v>
      </c>
      <c r="AV206">
        <v>3.3</v>
      </c>
    </row>
    <row r="207" spans="40:48" x14ac:dyDescent="0.25">
      <c r="AN207" t="s">
        <v>82</v>
      </c>
      <c r="AO207" t="s">
        <v>60</v>
      </c>
      <c r="AP207">
        <v>2003</v>
      </c>
      <c r="AQ207" t="s">
        <v>36</v>
      </c>
      <c r="AR207" t="s">
        <v>335</v>
      </c>
      <c r="AS207" t="s">
        <v>306</v>
      </c>
      <c r="AT207" t="s">
        <v>242</v>
      </c>
      <c r="AU207" t="s">
        <v>311</v>
      </c>
      <c r="AV207">
        <v>7.8</v>
      </c>
    </row>
    <row r="208" spans="40:48" x14ac:dyDescent="0.25">
      <c r="AN208" t="s">
        <v>82</v>
      </c>
      <c r="AO208" t="s">
        <v>60</v>
      </c>
      <c r="AP208">
        <v>2003</v>
      </c>
      <c r="AQ208" t="s">
        <v>36</v>
      </c>
      <c r="AR208" t="s">
        <v>335</v>
      </c>
      <c r="AS208" t="s">
        <v>306</v>
      </c>
      <c r="AT208" t="s">
        <v>242</v>
      </c>
      <c r="AU208" t="s">
        <v>268</v>
      </c>
      <c r="AV208">
        <v>11.1</v>
      </c>
    </row>
    <row r="209" spans="40:48" x14ac:dyDescent="0.25">
      <c r="AN209" t="s">
        <v>82</v>
      </c>
      <c r="AO209" t="s">
        <v>60</v>
      </c>
      <c r="AP209">
        <v>2003</v>
      </c>
      <c r="AQ209" t="s">
        <v>36</v>
      </c>
      <c r="AR209" t="s">
        <v>335</v>
      </c>
      <c r="AS209" t="s">
        <v>306</v>
      </c>
      <c r="AT209" t="s">
        <v>243</v>
      </c>
      <c r="AU209" t="s">
        <v>337</v>
      </c>
      <c r="AV209">
        <v>21.900000000000002</v>
      </c>
    </row>
    <row r="210" spans="40:48" x14ac:dyDescent="0.25">
      <c r="AN210" t="s">
        <v>82</v>
      </c>
      <c r="AO210" t="s">
        <v>60</v>
      </c>
      <c r="AP210">
        <v>2003</v>
      </c>
      <c r="AQ210" t="s">
        <v>36</v>
      </c>
      <c r="AR210" t="s">
        <v>335</v>
      </c>
      <c r="AS210" t="s">
        <v>306</v>
      </c>
      <c r="AT210" t="s">
        <v>243</v>
      </c>
      <c r="AU210" t="s">
        <v>338</v>
      </c>
      <c r="AV210">
        <v>46.95</v>
      </c>
    </row>
    <row r="211" spans="40:48" x14ac:dyDescent="0.25">
      <c r="AN211" t="s">
        <v>82</v>
      </c>
      <c r="AO211" t="s">
        <v>60</v>
      </c>
      <c r="AP211">
        <v>2003</v>
      </c>
      <c r="AQ211" t="s">
        <v>36</v>
      </c>
      <c r="AR211" t="s">
        <v>335</v>
      </c>
      <c r="AS211" t="s">
        <v>306</v>
      </c>
      <c r="AT211" t="s">
        <v>243</v>
      </c>
      <c r="AU211" t="s">
        <v>339</v>
      </c>
      <c r="AV211">
        <v>68.849999999999994</v>
      </c>
    </row>
    <row r="212" spans="40:48" x14ac:dyDescent="0.25">
      <c r="AN212" t="s">
        <v>84</v>
      </c>
      <c r="AO212" t="s">
        <v>60</v>
      </c>
      <c r="AP212">
        <v>2004</v>
      </c>
      <c r="AQ212" t="s">
        <v>39</v>
      </c>
      <c r="AR212" t="s">
        <v>335</v>
      </c>
      <c r="AS212" t="s">
        <v>306</v>
      </c>
      <c r="AT212" t="s">
        <v>218</v>
      </c>
      <c r="AU212" t="s">
        <v>310</v>
      </c>
      <c r="AV212">
        <v>4.0999999999999996</v>
      </c>
    </row>
    <row r="213" spans="40:48" x14ac:dyDescent="0.25">
      <c r="AN213" t="s">
        <v>84</v>
      </c>
      <c r="AO213" t="s">
        <v>60</v>
      </c>
      <c r="AP213">
        <v>2004</v>
      </c>
      <c r="AQ213" t="s">
        <v>39</v>
      </c>
      <c r="AR213" t="s">
        <v>335</v>
      </c>
      <c r="AS213" t="s">
        <v>306</v>
      </c>
      <c r="AT213" t="s">
        <v>218</v>
      </c>
      <c r="AU213" t="s">
        <v>311</v>
      </c>
      <c r="AV213">
        <v>6.25</v>
      </c>
    </row>
    <row r="214" spans="40:48" x14ac:dyDescent="0.25">
      <c r="AN214" t="s">
        <v>84</v>
      </c>
      <c r="AO214" t="s">
        <v>60</v>
      </c>
      <c r="AP214">
        <v>2004</v>
      </c>
      <c r="AQ214" t="s">
        <v>39</v>
      </c>
      <c r="AR214" t="s">
        <v>335</v>
      </c>
      <c r="AS214" t="s">
        <v>306</v>
      </c>
      <c r="AT214" t="s">
        <v>218</v>
      </c>
      <c r="AU214" t="s">
        <v>268</v>
      </c>
      <c r="AV214">
        <v>10.35</v>
      </c>
    </row>
    <row r="215" spans="40:48" x14ac:dyDescent="0.25">
      <c r="AN215" t="s">
        <v>84</v>
      </c>
      <c r="AO215" t="s">
        <v>60</v>
      </c>
      <c r="AP215">
        <v>2004</v>
      </c>
      <c r="AQ215" t="s">
        <v>39</v>
      </c>
      <c r="AR215" t="s">
        <v>335</v>
      </c>
      <c r="AS215" t="s">
        <v>306</v>
      </c>
      <c r="AT215" t="s">
        <v>238</v>
      </c>
      <c r="AU215" t="s">
        <v>310</v>
      </c>
      <c r="AV215">
        <v>3.2</v>
      </c>
    </row>
    <row r="216" spans="40:48" x14ac:dyDescent="0.25">
      <c r="AN216" t="s">
        <v>84</v>
      </c>
      <c r="AO216" t="s">
        <v>60</v>
      </c>
      <c r="AP216">
        <v>2004</v>
      </c>
      <c r="AQ216" t="s">
        <v>39</v>
      </c>
      <c r="AR216" t="s">
        <v>335</v>
      </c>
      <c r="AS216" t="s">
        <v>306</v>
      </c>
      <c r="AT216" t="s">
        <v>238</v>
      </c>
      <c r="AU216" t="s">
        <v>311</v>
      </c>
      <c r="AV216">
        <v>4.75</v>
      </c>
    </row>
    <row r="217" spans="40:48" x14ac:dyDescent="0.25">
      <c r="AN217" t="s">
        <v>84</v>
      </c>
      <c r="AO217" t="s">
        <v>60</v>
      </c>
      <c r="AP217">
        <v>2004</v>
      </c>
      <c r="AQ217" t="s">
        <v>39</v>
      </c>
      <c r="AR217" t="s">
        <v>335</v>
      </c>
      <c r="AS217" t="s">
        <v>306</v>
      </c>
      <c r="AT217" t="s">
        <v>238</v>
      </c>
      <c r="AU217" t="s">
        <v>268</v>
      </c>
      <c r="AV217">
        <v>7.95</v>
      </c>
    </row>
    <row r="218" spans="40:48" x14ac:dyDescent="0.25">
      <c r="AN218" t="s">
        <v>84</v>
      </c>
      <c r="AO218" t="s">
        <v>60</v>
      </c>
      <c r="AP218">
        <v>2004</v>
      </c>
      <c r="AQ218" t="s">
        <v>39</v>
      </c>
      <c r="AR218" t="s">
        <v>335</v>
      </c>
      <c r="AS218" t="s">
        <v>306</v>
      </c>
      <c r="AT218" t="s">
        <v>239</v>
      </c>
      <c r="AU218" t="s">
        <v>310</v>
      </c>
      <c r="AV218">
        <v>3.4</v>
      </c>
    </row>
    <row r="219" spans="40:48" x14ac:dyDescent="0.25">
      <c r="AN219" t="s">
        <v>84</v>
      </c>
      <c r="AO219" t="s">
        <v>60</v>
      </c>
      <c r="AP219">
        <v>2004</v>
      </c>
      <c r="AQ219" t="s">
        <v>39</v>
      </c>
      <c r="AR219" t="s">
        <v>335</v>
      </c>
      <c r="AS219" t="s">
        <v>306</v>
      </c>
      <c r="AT219" t="s">
        <v>239</v>
      </c>
      <c r="AU219" t="s">
        <v>311</v>
      </c>
      <c r="AV219">
        <v>7.3</v>
      </c>
    </row>
    <row r="220" spans="40:48" x14ac:dyDescent="0.25">
      <c r="AN220" t="s">
        <v>84</v>
      </c>
      <c r="AO220" t="s">
        <v>60</v>
      </c>
      <c r="AP220">
        <v>2004</v>
      </c>
      <c r="AQ220" t="s">
        <v>39</v>
      </c>
      <c r="AR220" t="s">
        <v>335</v>
      </c>
      <c r="AS220" t="s">
        <v>306</v>
      </c>
      <c r="AT220" t="s">
        <v>239</v>
      </c>
      <c r="AU220" t="s">
        <v>268</v>
      </c>
      <c r="AV220">
        <v>10.7</v>
      </c>
    </row>
    <row r="221" spans="40:48" x14ac:dyDescent="0.25">
      <c r="AN221" t="s">
        <v>84</v>
      </c>
      <c r="AO221" t="s">
        <v>60</v>
      </c>
      <c r="AP221">
        <v>2004</v>
      </c>
      <c r="AQ221" t="s">
        <v>39</v>
      </c>
      <c r="AR221" t="s">
        <v>335</v>
      </c>
      <c r="AS221" t="s">
        <v>306</v>
      </c>
      <c r="AT221" t="s">
        <v>240</v>
      </c>
      <c r="AU221" t="s">
        <v>310</v>
      </c>
      <c r="AV221">
        <v>3.2</v>
      </c>
    </row>
    <row r="222" spans="40:48" x14ac:dyDescent="0.25">
      <c r="AN222" t="s">
        <v>84</v>
      </c>
      <c r="AO222" t="s">
        <v>60</v>
      </c>
      <c r="AP222">
        <v>2004</v>
      </c>
      <c r="AQ222" t="s">
        <v>39</v>
      </c>
      <c r="AR222" t="s">
        <v>335</v>
      </c>
      <c r="AS222" t="s">
        <v>306</v>
      </c>
      <c r="AT222" t="s">
        <v>240</v>
      </c>
      <c r="AU222" t="s">
        <v>311</v>
      </c>
      <c r="AV222">
        <v>9.25</v>
      </c>
    </row>
    <row r="223" spans="40:48" x14ac:dyDescent="0.25">
      <c r="AN223" t="s">
        <v>84</v>
      </c>
      <c r="AO223" t="s">
        <v>60</v>
      </c>
      <c r="AP223">
        <v>2004</v>
      </c>
      <c r="AQ223" t="s">
        <v>39</v>
      </c>
      <c r="AR223" t="s">
        <v>335</v>
      </c>
      <c r="AS223" t="s">
        <v>306</v>
      </c>
      <c r="AT223" t="s">
        <v>240</v>
      </c>
      <c r="AU223" t="s">
        <v>268</v>
      </c>
      <c r="AV223">
        <v>12.45</v>
      </c>
    </row>
    <row r="224" spans="40:48" x14ac:dyDescent="0.25">
      <c r="AN224" t="s">
        <v>84</v>
      </c>
      <c r="AO224" t="s">
        <v>60</v>
      </c>
      <c r="AP224">
        <v>2004</v>
      </c>
      <c r="AQ224" t="s">
        <v>39</v>
      </c>
      <c r="AR224" t="s">
        <v>335</v>
      </c>
      <c r="AS224" t="s">
        <v>306</v>
      </c>
      <c r="AT224" t="s">
        <v>316</v>
      </c>
      <c r="AU224" t="s">
        <v>310</v>
      </c>
      <c r="AV224">
        <v>4.2</v>
      </c>
    </row>
    <row r="225" spans="40:48" x14ac:dyDescent="0.25">
      <c r="AN225" t="s">
        <v>84</v>
      </c>
      <c r="AO225" t="s">
        <v>60</v>
      </c>
      <c r="AP225">
        <v>2004</v>
      </c>
      <c r="AQ225" t="s">
        <v>39</v>
      </c>
      <c r="AR225" t="s">
        <v>335</v>
      </c>
      <c r="AS225" t="s">
        <v>306</v>
      </c>
      <c r="AT225" t="s">
        <v>316</v>
      </c>
      <c r="AU225" t="s">
        <v>311</v>
      </c>
      <c r="AV225">
        <v>7.5</v>
      </c>
    </row>
    <row r="226" spans="40:48" x14ac:dyDescent="0.25">
      <c r="AN226" t="s">
        <v>84</v>
      </c>
      <c r="AO226" t="s">
        <v>60</v>
      </c>
      <c r="AP226">
        <v>2004</v>
      </c>
      <c r="AQ226" t="s">
        <v>39</v>
      </c>
      <c r="AR226" t="s">
        <v>335</v>
      </c>
      <c r="AS226" t="s">
        <v>306</v>
      </c>
      <c r="AT226" t="s">
        <v>316</v>
      </c>
      <c r="AU226" t="s">
        <v>268</v>
      </c>
      <c r="AV226">
        <v>11.7</v>
      </c>
    </row>
    <row r="227" spans="40:48" x14ac:dyDescent="0.25">
      <c r="AN227" t="s">
        <v>84</v>
      </c>
      <c r="AO227" t="s">
        <v>60</v>
      </c>
      <c r="AP227">
        <v>2004</v>
      </c>
      <c r="AQ227" t="s">
        <v>39</v>
      </c>
      <c r="AR227" t="s">
        <v>335</v>
      </c>
      <c r="AS227" t="s">
        <v>306</v>
      </c>
      <c r="AT227" t="s">
        <v>242</v>
      </c>
      <c r="AU227" t="s">
        <v>310</v>
      </c>
      <c r="AV227">
        <v>2.8</v>
      </c>
    </row>
    <row r="228" spans="40:48" x14ac:dyDescent="0.25">
      <c r="AN228" t="s">
        <v>84</v>
      </c>
      <c r="AO228" t="s">
        <v>60</v>
      </c>
      <c r="AP228">
        <v>2004</v>
      </c>
      <c r="AQ228" t="s">
        <v>39</v>
      </c>
      <c r="AR228" t="s">
        <v>335</v>
      </c>
      <c r="AS228" t="s">
        <v>306</v>
      </c>
      <c r="AT228" t="s">
        <v>242</v>
      </c>
      <c r="AU228" t="s">
        <v>311</v>
      </c>
      <c r="AV228">
        <v>8</v>
      </c>
    </row>
    <row r="229" spans="40:48" x14ac:dyDescent="0.25">
      <c r="AN229" t="s">
        <v>84</v>
      </c>
      <c r="AO229" t="s">
        <v>60</v>
      </c>
      <c r="AP229">
        <v>2004</v>
      </c>
      <c r="AQ229" t="s">
        <v>39</v>
      </c>
      <c r="AR229" t="s">
        <v>335</v>
      </c>
      <c r="AS229" t="s">
        <v>306</v>
      </c>
      <c r="AT229" t="s">
        <v>242</v>
      </c>
      <c r="AU229" t="s">
        <v>268</v>
      </c>
      <c r="AV229">
        <v>10.8</v>
      </c>
    </row>
    <row r="230" spans="40:48" x14ac:dyDescent="0.25">
      <c r="AN230" t="s">
        <v>84</v>
      </c>
      <c r="AO230" t="s">
        <v>60</v>
      </c>
      <c r="AP230">
        <v>2004</v>
      </c>
      <c r="AQ230" t="s">
        <v>39</v>
      </c>
      <c r="AR230" t="s">
        <v>335</v>
      </c>
      <c r="AS230" t="s">
        <v>306</v>
      </c>
      <c r="AT230" t="s">
        <v>243</v>
      </c>
      <c r="AU230" t="s">
        <v>337</v>
      </c>
      <c r="AV230">
        <v>20.9</v>
      </c>
    </row>
    <row r="231" spans="40:48" x14ac:dyDescent="0.25">
      <c r="AN231" t="s">
        <v>84</v>
      </c>
      <c r="AO231" t="s">
        <v>60</v>
      </c>
      <c r="AP231">
        <v>2004</v>
      </c>
      <c r="AQ231" t="s">
        <v>39</v>
      </c>
      <c r="AR231" t="s">
        <v>335</v>
      </c>
      <c r="AS231" t="s">
        <v>306</v>
      </c>
      <c r="AT231" t="s">
        <v>243</v>
      </c>
      <c r="AU231" t="s">
        <v>338</v>
      </c>
      <c r="AV231">
        <v>43.05</v>
      </c>
    </row>
    <row r="232" spans="40:48" x14ac:dyDescent="0.25">
      <c r="AN232" t="s">
        <v>84</v>
      </c>
      <c r="AO232" t="s">
        <v>60</v>
      </c>
      <c r="AP232">
        <v>2004</v>
      </c>
      <c r="AQ232" t="s">
        <v>39</v>
      </c>
      <c r="AR232" t="s">
        <v>335</v>
      </c>
      <c r="AS232" t="s">
        <v>306</v>
      </c>
      <c r="AT232" t="s">
        <v>243</v>
      </c>
      <c r="AU232" t="s">
        <v>339</v>
      </c>
      <c r="AV232">
        <v>63.95</v>
      </c>
    </row>
    <row r="233" spans="40:48" x14ac:dyDescent="0.25">
      <c r="AN233" t="s">
        <v>86</v>
      </c>
      <c r="AO233" t="s">
        <v>60</v>
      </c>
      <c r="AP233">
        <v>2003</v>
      </c>
      <c r="AQ233" t="s">
        <v>72</v>
      </c>
      <c r="AR233" t="s">
        <v>335</v>
      </c>
      <c r="AS233" t="s">
        <v>307</v>
      </c>
      <c r="AT233" t="s">
        <v>218</v>
      </c>
      <c r="AU233" t="s">
        <v>310</v>
      </c>
      <c r="AV233">
        <v>3.9</v>
      </c>
    </row>
    <row r="234" spans="40:48" x14ac:dyDescent="0.25">
      <c r="AN234" t="s">
        <v>86</v>
      </c>
      <c r="AO234" t="s">
        <v>60</v>
      </c>
      <c r="AP234">
        <v>2003</v>
      </c>
      <c r="AQ234" t="s">
        <v>72</v>
      </c>
      <c r="AR234" t="s">
        <v>335</v>
      </c>
      <c r="AS234" t="s">
        <v>307</v>
      </c>
      <c r="AT234" t="s">
        <v>218</v>
      </c>
      <c r="AU234" t="s">
        <v>311</v>
      </c>
      <c r="AV234">
        <v>8</v>
      </c>
    </row>
    <row r="235" spans="40:48" x14ac:dyDescent="0.25">
      <c r="AN235" t="s">
        <v>86</v>
      </c>
      <c r="AO235" t="s">
        <v>60</v>
      </c>
      <c r="AP235">
        <v>2003</v>
      </c>
      <c r="AQ235" t="s">
        <v>72</v>
      </c>
      <c r="AR235" t="s">
        <v>335</v>
      </c>
      <c r="AS235" t="s">
        <v>307</v>
      </c>
      <c r="AT235" t="s">
        <v>218</v>
      </c>
      <c r="AU235" t="s">
        <v>268</v>
      </c>
      <c r="AV235">
        <v>11.9</v>
      </c>
    </row>
    <row r="236" spans="40:48" x14ac:dyDescent="0.25">
      <c r="AN236" t="s">
        <v>86</v>
      </c>
      <c r="AO236" t="s">
        <v>60</v>
      </c>
      <c r="AP236">
        <v>2003</v>
      </c>
      <c r="AQ236" t="s">
        <v>72</v>
      </c>
      <c r="AR236" t="s">
        <v>335</v>
      </c>
      <c r="AS236" t="s">
        <v>307</v>
      </c>
      <c r="AT236" t="s">
        <v>238</v>
      </c>
      <c r="AU236" t="s">
        <v>310</v>
      </c>
      <c r="AV236">
        <v>4</v>
      </c>
    </row>
    <row r="237" spans="40:48" x14ac:dyDescent="0.25">
      <c r="AN237" t="s">
        <v>86</v>
      </c>
      <c r="AO237" t="s">
        <v>60</v>
      </c>
      <c r="AP237">
        <v>2003</v>
      </c>
      <c r="AQ237" t="s">
        <v>72</v>
      </c>
      <c r="AR237" t="s">
        <v>335</v>
      </c>
      <c r="AS237" t="s">
        <v>307</v>
      </c>
      <c r="AT237" t="s">
        <v>238</v>
      </c>
      <c r="AU237" t="s">
        <v>311</v>
      </c>
      <c r="AV237">
        <v>7.8</v>
      </c>
    </row>
    <row r="238" spans="40:48" x14ac:dyDescent="0.25">
      <c r="AN238" t="s">
        <v>86</v>
      </c>
      <c r="AO238" t="s">
        <v>60</v>
      </c>
      <c r="AP238">
        <v>2003</v>
      </c>
      <c r="AQ238" t="s">
        <v>72</v>
      </c>
      <c r="AR238" t="s">
        <v>335</v>
      </c>
      <c r="AS238" t="s">
        <v>307</v>
      </c>
      <c r="AT238" t="s">
        <v>238</v>
      </c>
      <c r="AU238" t="s">
        <v>268</v>
      </c>
      <c r="AV238">
        <v>11.8</v>
      </c>
    </row>
    <row r="239" spans="40:48" x14ac:dyDescent="0.25">
      <c r="AN239" t="s">
        <v>86</v>
      </c>
      <c r="AO239" t="s">
        <v>60</v>
      </c>
      <c r="AP239">
        <v>2003</v>
      </c>
      <c r="AQ239" t="s">
        <v>72</v>
      </c>
      <c r="AR239" t="s">
        <v>335</v>
      </c>
      <c r="AS239" t="s">
        <v>307</v>
      </c>
      <c r="AT239" t="s">
        <v>239</v>
      </c>
      <c r="AU239" t="s">
        <v>310</v>
      </c>
      <c r="AV239">
        <v>2.6</v>
      </c>
    </row>
    <row r="240" spans="40:48" x14ac:dyDescent="0.25">
      <c r="AN240" t="s">
        <v>86</v>
      </c>
      <c r="AO240" t="s">
        <v>60</v>
      </c>
      <c r="AP240">
        <v>2003</v>
      </c>
      <c r="AQ240" t="s">
        <v>72</v>
      </c>
      <c r="AR240" t="s">
        <v>335</v>
      </c>
      <c r="AS240" t="s">
        <v>307</v>
      </c>
      <c r="AT240" t="s">
        <v>239</v>
      </c>
      <c r="AU240" t="s">
        <v>311</v>
      </c>
      <c r="AV240">
        <v>3</v>
      </c>
    </row>
    <row r="241" spans="40:48" x14ac:dyDescent="0.25">
      <c r="AN241" t="s">
        <v>86</v>
      </c>
      <c r="AO241" t="s">
        <v>60</v>
      </c>
      <c r="AP241">
        <v>2003</v>
      </c>
      <c r="AQ241" t="s">
        <v>72</v>
      </c>
      <c r="AR241" t="s">
        <v>335</v>
      </c>
      <c r="AS241" t="s">
        <v>307</v>
      </c>
      <c r="AT241" t="s">
        <v>239</v>
      </c>
      <c r="AU241" t="s">
        <v>268</v>
      </c>
      <c r="AV241">
        <v>5.6</v>
      </c>
    </row>
    <row r="242" spans="40:48" x14ac:dyDescent="0.25">
      <c r="AN242" t="s">
        <v>86</v>
      </c>
      <c r="AO242" t="s">
        <v>60</v>
      </c>
      <c r="AP242">
        <v>2003</v>
      </c>
      <c r="AQ242" t="s">
        <v>72</v>
      </c>
      <c r="AR242" t="s">
        <v>335</v>
      </c>
      <c r="AS242" t="s">
        <v>307</v>
      </c>
      <c r="AT242" t="s">
        <v>240</v>
      </c>
      <c r="AU242" t="s">
        <v>310</v>
      </c>
      <c r="AV242">
        <v>0</v>
      </c>
    </row>
    <row r="243" spans="40:48" x14ac:dyDescent="0.25">
      <c r="AN243" t="s">
        <v>86</v>
      </c>
      <c r="AO243" t="s">
        <v>60</v>
      </c>
      <c r="AP243">
        <v>2003</v>
      </c>
      <c r="AQ243" t="s">
        <v>72</v>
      </c>
      <c r="AR243" t="s">
        <v>335</v>
      </c>
      <c r="AS243" t="s">
        <v>307</v>
      </c>
      <c r="AT243" t="s">
        <v>240</v>
      </c>
      <c r="AU243" t="s">
        <v>311</v>
      </c>
      <c r="AV243">
        <v>0</v>
      </c>
    </row>
    <row r="244" spans="40:48" x14ac:dyDescent="0.25">
      <c r="AN244" t="s">
        <v>86</v>
      </c>
      <c r="AO244" t="s">
        <v>60</v>
      </c>
      <c r="AP244">
        <v>2003</v>
      </c>
      <c r="AQ244" t="s">
        <v>72</v>
      </c>
      <c r="AR244" t="s">
        <v>335</v>
      </c>
      <c r="AS244" t="s">
        <v>307</v>
      </c>
      <c r="AT244" t="s">
        <v>240</v>
      </c>
      <c r="AU244" t="s">
        <v>268</v>
      </c>
      <c r="AV244">
        <v>0</v>
      </c>
    </row>
    <row r="245" spans="40:48" x14ac:dyDescent="0.25">
      <c r="AN245" t="s">
        <v>86</v>
      </c>
      <c r="AO245" t="s">
        <v>60</v>
      </c>
      <c r="AP245">
        <v>2003</v>
      </c>
      <c r="AQ245" t="s">
        <v>72</v>
      </c>
      <c r="AR245" t="s">
        <v>335</v>
      </c>
      <c r="AS245" t="s">
        <v>307</v>
      </c>
      <c r="AT245" t="s">
        <v>316</v>
      </c>
      <c r="AU245" t="s">
        <v>310</v>
      </c>
      <c r="AV245">
        <v>2.8</v>
      </c>
    </row>
    <row r="246" spans="40:48" x14ac:dyDescent="0.25">
      <c r="AN246" t="s">
        <v>86</v>
      </c>
      <c r="AO246" t="s">
        <v>60</v>
      </c>
      <c r="AP246">
        <v>2003</v>
      </c>
      <c r="AQ246" t="s">
        <v>72</v>
      </c>
      <c r="AR246" t="s">
        <v>335</v>
      </c>
      <c r="AS246" t="s">
        <v>307</v>
      </c>
      <c r="AT246" t="s">
        <v>316</v>
      </c>
      <c r="AU246" t="s">
        <v>311</v>
      </c>
      <c r="AV246">
        <v>7.5</v>
      </c>
    </row>
    <row r="247" spans="40:48" x14ac:dyDescent="0.25">
      <c r="AN247" t="s">
        <v>86</v>
      </c>
      <c r="AO247" t="s">
        <v>60</v>
      </c>
      <c r="AP247">
        <v>2003</v>
      </c>
      <c r="AQ247" t="s">
        <v>72</v>
      </c>
      <c r="AR247" t="s">
        <v>335</v>
      </c>
      <c r="AS247" t="s">
        <v>307</v>
      </c>
      <c r="AT247" t="s">
        <v>316</v>
      </c>
      <c r="AU247" t="s">
        <v>268</v>
      </c>
      <c r="AV247">
        <v>10.3</v>
      </c>
    </row>
    <row r="248" spans="40:48" x14ac:dyDescent="0.25">
      <c r="AN248" t="s">
        <v>86</v>
      </c>
      <c r="AO248" t="s">
        <v>60</v>
      </c>
      <c r="AP248">
        <v>2003</v>
      </c>
      <c r="AQ248" t="s">
        <v>72</v>
      </c>
      <c r="AR248" t="s">
        <v>335</v>
      </c>
      <c r="AS248" t="s">
        <v>307</v>
      </c>
      <c r="AT248" t="s">
        <v>242</v>
      </c>
      <c r="AU248" t="s">
        <v>310</v>
      </c>
      <c r="AV248">
        <v>0</v>
      </c>
    </row>
    <row r="249" spans="40:48" x14ac:dyDescent="0.25">
      <c r="AN249" t="s">
        <v>86</v>
      </c>
      <c r="AO249" t="s">
        <v>60</v>
      </c>
      <c r="AP249">
        <v>2003</v>
      </c>
      <c r="AQ249" t="s">
        <v>72</v>
      </c>
      <c r="AR249" t="s">
        <v>335</v>
      </c>
      <c r="AS249" t="s">
        <v>307</v>
      </c>
      <c r="AT249" t="s">
        <v>242</v>
      </c>
      <c r="AU249" t="s">
        <v>311</v>
      </c>
      <c r="AV249">
        <v>0</v>
      </c>
    </row>
    <row r="250" spans="40:48" x14ac:dyDescent="0.25">
      <c r="AN250" t="s">
        <v>86</v>
      </c>
      <c r="AO250" t="s">
        <v>60</v>
      </c>
      <c r="AP250">
        <v>2003</v>
      </c>
      <c r="AQ250" t="s">
        <v>72</v>
      </c>
      <c r="AR250" t="s">
        <v>335</v>
      </c>
      <c r="AS250" t="s">
        <v>307</v>
      </c>
      <c r="AT250" t="s">
        <v>242</v>
      </c>
      <c r="AU250" t="s">
        <v>268</v>
      </c>
      <c r="AV250">
        <v>0</v>
      </c>
    </row>
    <row r="251" spans="40:48" x14ac:dyDescent="0.25">
      <c r="AN251" t="s">
        <v>86</v>
      </c>
      <c r="AO251" t="s">
        <v>60</v>
      </c>
      <c r="AP251">
        <v>2003</v>
      </c>
      <c r="AQ251" t="s">
        <v>72</v>
      </c>
      <c r="AR251" t="s">
        <v>335</v>
      </c>
      <c r="AS251" t="s">
        <v>307</v>
      </c>
      <c r="AT251" t="s">
        <v>243</v>
      </c>
      <c r="AU251" t="s">
        <v>337</v>
      </c>
      <c r="AV251">
        <v>0</v>
      </c>
    </row>
    <row r="252" spans="40:48" x14ac:dyDescent="0.25">
      <c r="AN252" t="s">
        <v>86</v>
      </c>
      <c r="AO252" t="s">
        <v>60</v>
      </c>
      <c r="AP252">
        <v>2003</v>
      </c>
      <c r="AQ252" t="s">
        <v>72</v>
      </c>
      <c r="AR252" t="s">
        <v>335</v>
      </c>
      <c r="AS252" t="s">
        <v>307</v>
      </c>
      <c r="AT252" t="s">
        <v>243</v>
      </c>
      <c r="AU252" t="s">
        <v>338</v>
      </c>
      <c r="AV252">
        <v>0</v>
      </c>
    </row>
    <row r="253" spans="40:48" x14ac:dyDescent="0.25">
      <c r="AN253" t="s">
        <v>86</v>
      </c>
      <c r="AO253" t="s">
        <v>60</v>
      </c>
      <c r="AP253">
        <v>2003</v>
      </c>
      <c r="AQ253" t="s">
        <v>72</v>
      </c>
      <c r="AR253" t="s">
        <v>335</v>
      </c>
      <c r="AS253" t="s">
        <v>307</v>
      </c>
      <c r="AT253" t="s">
        <v>243</v>
      </c>
      <c r="AU253" t="s">
        <v>339</v>
      </c>
      <c r="AV253">
        <v>39.600000000000009</v>
      </c>
    </row>
    <row r="254" spans="40:48" x14ac:dyDescent="0.25">
      <c r="AN254" t="s">
        <v>88</v>
      </c>
      <c r="AO254" t="s">
        <v>60</v>
      </c>
      <c r="AP254">
        <v>2003</v>
      </c>
      <c r="AQ254" t="s">
        <v>36</v>
      </c>
      <c r="AR254" t="s">
        <v>335</v>
      </c>
      <c r="AS254" t="s">
        <v>307</v>
      </c>
      <c r="AT254" t="s">
        <v>218</v>
      </c>
      <c r="AU254" t="s">
        <v>310</v>
      </c>
      <c r="AV254">
        <v>0</v>
      </c>
    </row>
    <row r="255" spans="40:48" x14ac:dyDescent="0.25">
      <c r="AN255" t="s">
        <v>88</v>
      </c>
      <c r="AO255" t="s">
        <v>60</v>
      </c>
      <c r="AP255">
        <v>2003</v>
      </c>
      <c r="AQ255" t="s">
        <v>36</v>
      </c>
      <c r="AR255" t="s">
        <v>335</v>
      </c>
      <c r="AS255" t="s">
        <v>307</v>
      </c>
      <c r="AT255" t="s">
        <v>218</v>
      </c>
      <c r="AU255" t="s">
        <v>311</v>
      </c>
      <c r="AV255">
        <v>0</v>
      </c>
    </row>
    <row r="256" spans="40:48" x14ac:dyDescent="0.25">
      <c r="AN256" t="s">
        <v>88</v>
      </c>
      <c r="AO256" t="s">
        <v>60</v>
      </c>
      <c r="AP256">
        <v>2003</v>
      </c>
      <c r="AQ256" t="s">
        <v>36</v>
      </c>
      <c r="AR256" t="s">
        <v>335</v>
      </c>
      <c r="AS256" t="s">
        <v>307</v>
      </c>
      <c r="AT256" t="s">
        <v>218</v>
      </c>
      <c r="AU256" t="s">
        <v>268</v>
      </c>
      <c r="AV256">
        <v>0</v>
      </c>
    </row>
    <row r="257" spans="40:48" x14ac:dyDescent="0.25">
      <c r="AN257" t="s">
        <v>88</v>
      </c>
      <c r="AO257" t="s">
        <v>60</v>
      </c>
      <c r="AP257">
        <v>2003</v>
      </c>
      <c r="AQ257" t="s">
        <v>36</v>
      </c>
      <c r="AR257" t="s">
        <v>335</v>
      </c>
      <c r="AS257" t="s">
        <v>307</v>
      </c>
      <c r="AT257" t="s">
        <v>238</v>
      </c>
      <c r="AU257" t="s">
        <v>310</v>
      </c>
      <c r="AV257">
        <v>2.7</v>
      </c>
    </row>
    <row r="258" spans="40:48" x14ac:dyDescent="0.25">
      <c r="AN258" t="s">
        <v>88</v>
      </c>
      <c r="AO258" t="s">
        <v>60</v>
      </c>
      <c r="AP258">
        <v>2003</v>
      </c>
      <c r="AQ258" t="s">
        <v>36</v>
      </c>
      <c r="AR258" t="s">
        <v>335</v>
      </c>
      <c r="AS258" t="s">
        <v>307</v>
      </c>
      <c r="AT258" t="s">
        <v>238</v>
      </c>
      <c r="AU258" t="s">
        <v>311</v>
      </c>
      <c r="AV258">
        <v>7</v>
      </c>
    </row>
    <row r="259" spans="40:48" x14ac:dyDescent="0.25">
      <c r="AN259" t="s">
        <v>88</v>
      </c>
      <c r="AO259" t="s">
        <v>60</v>
      </c>
      <c r="AP259">
        <v>2003</v>
      </c>
      <c r="AQ259" t="s">
        <v>36</v>
      </c>
      <c r="AR259" t="s">
        <v>335</v>
      </c>
      <c r="AS259" t="s">
        <v>307</v>
      </c>
      <c r="AT259" t="s">
        <v>238</v>
      </c>
      <c r="AU259" t="s">
        <v>268</v>
      </c>
      <c r="AV259">
        <v>9.6999999999999993</v>
      </c>
    </row>
    <row r="260" spans="40:48" x14ac:dyDescent="0.25">
      <c r="AN260" t="s">
        <v>88</v>
      </c>
      <c r="AO260" t="s">
        <v>60</v>
      </c>
      <c r="AP260">
        <v>2003</v>
      </c>
      <c r="AQ260" t="s">
        <v>36</v>
      </c>
      <c r="AR260" t="s">
        <v>335</v>
      </c>
      <c r="AS260" t="s">
        <v>307</v>
      </c>
      <c r="AT260" t="s">
        <v>239</v>
      </c>
      <c r="AU260" t="s">
        <v>310</v>
      </c>
      <c r="AV260">
        <v>2.5</v>
      </c>
    </row>
    <row r="261" spans="40:48" x14ac:dyDescent="0.25">
      <c r="AN261" t="s">
        <v>88</v>
      </c>
      <c r="AO261" t="s">
        <v>60</v>
      </c>
      <c r="AP261">
        <v>2003</v>
      </c>
      <c r="AQ261" t="s">
        <v>36</v>
      </c>
      <c r="AR261" t="s">
        <v>335</v>
      </c>
      <c r="AS261" t="s">
        <v>307</v>
      </c>
      <c r="AT261" t="s">
        <v>239</v>
      </c>
      <c r="AU261" t="s">
        <v>311</v>
      </c>
      <c r="AV261">
        <v>7.2</v>
      </c>
    </row>
    <row r="262" spans="40:48" x14ac:dyDescent="0.25">
      <c r="AN262" t="s">
        <v>88</v>
      </c>
      <c r="AO262" t="s">
        <v>60</v>
      </c>
      <c r="AP262">
        <v>2003</v>
      </c>
      <c r="AQ262" t="s">
        <v>36</v>
      </c>
      <c r="AR262" t="s">
        <v>335</v>
      </c>
      <c r="AS262" t="s">
        <v>307</v>
      </c>
      <c r="AT262" t="s">
        <v>239</v>
      </c>
      <c r="AU262" t="s">
        <v>268</v>
      </c>
      <c r="AV262">
        <v>9.6999999999999993</v>
      </c>
    </row>
    <row r="263" spans="40:48" x14ac:dyDescent="0.25">
      <c r="AN263" t="s">
        <v>88</v>
      </c>
      <c r="AO263" t="s">
        <v>60</v>
      </c>
      <c r="AP263">
        <v>2003</v>
      </c>
      <c r="AQ263" t="s">
        <v>36</v>
      </c>
      <c r="AR263" t="s">
        <v>335</v>
      </c>
      <c r="AS263" t="s">
        <v>307</v>
      </c>
      <c r="AT263" t="s">
        <v>240</v>
      </c>
      <c r="AU263" t="s">
        <v>310</v>
      </c>
      <c r="AV263">
        <v>0</v>
      </c>
    </row>
    <row r="264" spans="40:48" x14ac:dyDescent="0.25">
      <c r="AN264" t="s">
        <v>88</v>
      </c>
      <c r="AO264" t="s">
        <v>60</v>
      </c>
      <c r="AP264">
        <v>2003</v>
      </c>
      <c r="AQ264" t="s">
        <v>36</v>
      </c>
      <c r="AR264" t="s">
        <v>335</v>
      </c>
      <c r="AS264" t="s">
        <v>307</v>
      </c>
      <c r="AT264" t="s">
        <v>240</v>
      </c>
      <c r="AU264" t="s">
        <v>311</v>
      </c>
      <c r="AV264">
        <v>0</v>
      </c>
    </row>
    <row r="265" spans="40:48" x14ac:dyDescent="0.25">
      <c r="AN265" t="s">
        <v>88</v>
      </c>
      <c r="AO265" t="s">
        <v>60</v>
      </c>
      <c r="AP265">
        <v>2003</v>
      </c>
      <c r="AQ265" t="s">
        <v>36</v>
      </c>
      <c r="AR265" t="s">
        <v>335</v>
      </c>
      <c r="AS265" t="s">
        <v>307</v>
      </c>
      <c r="AT265" t="s">
        <v>240</v>
      </c>
      <c r="AU265" t="s">
        <v>268</v>
      </c>
      <c r="AV265">
        <v>0</v>
      </c>
    </row>
    <row r="266" spans="40:48" x14ac:dyDescent="0.25">
      <c r="AN266" t="s">
        <v>88</v>
      </c>
      <c r="AO266" t="s">
        <v>60</v>
      </c>
      <c r="AP266">
        <v>2003</v>
      </c>
      <c r="AQ266" t="s">
        <v>36</v>
      </c>
      <c r="AR266" t="s">
        <v>335</v>
      </c>
      <c r="AS266" t="s">
        <v>307</v>
      </c>
      <c r="AT266" t="s">
        <v>316</v>
      </c>
      <c r="AU266" t="s">
        <v>310</v>
      </c>
      <c r="AV266">
        <v>2.8</v>
      </c>
    </row>
    <row r="267" spans="40:48" x14ac:dyDescent="0.25">
      <c r="AN267" t="s">
        <v>88</v>
      </c>
      <c r="AO267" t="s">
        <v>60</v>
      </c>
      <c r="AP267">
        <v>2003</v>
      </c>
      <c r="AQ267" t="s">
        <v>36</v>
      </c>
      <c r="AR267" t="s">
        <v>335</v>
      </c>
      <c r="AS267" t="s">
        <v>307</v>
      </c>
      <c r="AT267" t="s">
        <v>316</v>
      </c>
      <c r="AU267" t="s">
        <v>311</v>
      </c>
      <c r="AV267">
        <v>7.4</v>
      </c>
    </row>
    <row r="268" spans="40:48" x14ac:dyDescent="0.25">
      <c r="AN268" t="s">
        <v>88</v>
      </c>
      <c r="AO268" t="s">
        <v>60</v>
      </c>
      <c r="AP268">
        <v>2003</v>
      </c>
      <c r="AQ268" t="s">
        <v>36</v>
      </c>
      <c r="AR268" t="s">
        <v>335</v>
      </c>
      <c r="AS268" t="s">
        <v>307</v>
      </c>
      <c r="AT268" t="s">
        <v>316</v>
      </c>
      <c r="AU268" t="s">
        <v>268</v>
      </c>
      <c r="AV268">
        <v>10.199999999999999</v>
      </c>
    </row>
    <row r="269" spans="40:48" x14ac:dyDescent="0.25">
      <c r="AN269" t="s">
        <v>88</v>
      </c>
      <c r="AO269" t="s">
        <v>60</v>
      </c>
      <c r="AP269">
        <v>2003</v>
      </c>
      <c r="AQ269" t="s">
        <v>36</v>
      </c>
      <c r="AR269" t="s">
        <v>335</v>
      </c>
      <c r="AS269" t="s">
        <v>307</v>
      </c>
      <c r="AT269" t="s">
        <v>242</v>
      </c>
      <c r="AU269" t="s">
        <v>310</v>
      </c>
      <c r="AV269">
        <v>2.1</v>
      </c>
    </row>
    <row r="270" spans="40:48" x14ac:dyDescent="0.25">
      <c r="AN270" t="s">
        <v>88</v>
      </c>
      <c r="AO270" t="s">
        <v>60</v>
      </c>
      <c r="AP270">
        <v>2003</v>
      </c>
      <c r="AQ270" t="s">
        <v>36</v>
      </c>
      <c r="AR270" t="s">
        <v>335</v>
      </c>
      <c r="AS270" t="s">
        <v>307</v>
      </c>
      <c r="AT270" t="s">
        <v>242</v>
      </c>
      <c r="AU270" t="s">
        <v>311</v>
      </c>
      <c r="AV270">
        <v>6.9</v>
      </c>
    </row>
    <row r="271" spans="40:48" x14ac:dyDescent="0.25">
      <c r="AN271" t="s">
        <v>88</v>
      </c>
      <c r="AO271" t="s">
        <v>60</v>
      </c>
      <c r="AP271">
        <v>2003</v>
      </c>
      <c r="AQ271" t="s">
        <v>36</v>
      </c>
      <c r="AR271" t="s">
        <v>335</v>
      </c>
      <c r="AS271" t="s">
        <v>307</v>
      </c>
      <c r="AT271" t="s">
        <v>242</v>
      </c>
      <c r="AU271" t="s">
        <v>268</v>
      </c>
      <c r="AV271">
        <v>9</v>
      </c>
    </row>
    <row r="272" spans="40:48" x14ac:dyDescent="0.25">
      <c r="AN272" t="s">
        <v>88</v>
      </c>
      <c r="AO272" t="s">
        <v>60</v>
      </c>
      <c r="AP272">
        <v>2003</v>
      </c>
      <c r="AQ272" t="s">
        <v>36</v>
      </c>
      <c r="AR272" t="s">
        <v>335</v>
      </c>
      <c r="AS272" t="s">
        <v>307</v>
      </c>
      <c r="AT272" t="s">
        <v>243</v>
      </c>
      <c r="AU272" t="s">
        <v>337</v>
      </c>
      <c r="AV272">
        <v>0</v>
      </c>
    </row>
    <row r="273" spans="40:48" x14ac:dyDescent="0.25">
      <c r="AN273" t="s">
        <v>88</v>
      </c>
      <c r="AO273" t="s">
        <v>60</v>
      </c>
      <c r="AP273">
        <v>2003</v>
      </c>
      <c r="AQ273" t="s">
        <v>36</v>
      </c>
      <c r="AR273" t="s">
        <v>335</v>
      </c>
      <c r="AS273" t="s">
        <v>307</v>
      </c>
      <c r="AT273" t="s">
        <v>243</v>
      </c>
      <c r="AU273" t="s">
        <v>338</v>
      </c>
      <c r="AV273">
        <v>0</v>
      </c>
    </row>
    <row r="274" spans="40:48" x14ac:dyDescent="0.25">
      <c r="AN274" t="s">
        <v>88</v>
      </c>
      <c r="AO274" t="s">
        <v>60</v>
      </c>
      <c r="AP274">
        <v>2003</v>
      </c>
      <c r="AQ274" t="s">
        <v>36</v>
      </c>
      <c r="AR274" t="s">
        <v>335</v>
      </c>
      <c r="AS274" t="s">
        <v>307</v>
      </c>
      <c r="AT274" t="s">
        <v>243</v>
      </c>
      <c r="AU274" t="s">
        <v>339</v>
      </c>
      <c r="AV274">
        <v>38.599999999999994</v>
      </c>
    </row>
    <row r="275" spans="40:48" x14ac:dyDescent="0.25">
      <c r="AN275" t="s">
        <v>90</v>
      </c>
      <c r="AO275" t="s">
        <v>60</v>
      </c>
      <c r="AP275">
        <v>2004</v>
      </c>
      <c r="AQ275" t="s">
        <v>36</v>
      </c>
      <c r="AR275" t="s">
        <v>335</v>
      </c>
      <c r="AS275" t="s">
        <v>307</v>
      </c>
      <c r="AT275" t="s">
        <v>218</v>
      </c>
      <c r="AU275" t="s">
        <v>310</v>
      </c>
      <c r="AV275">
        <v>4</v>
      </c>
    </row>
    <row r="276" spans="40:48" x14ac:dyDescent="0.25">
      <c r="AN276" t="s">
        <v>90</v>
      </c>
      <c r="AO276" t="s">
        <v>60</v>
      </c>
      <c r="AP276">
        <v>2004</v>
      </c>
      <c r="AQ276" t="s">
        <v>36</v>
      </c>
      <c r="AR276" t="s">
        <v>335</v>
      </c>
      <c r="AS276" t="s">
        <v>307</v>
      </c>
      <c r="AT276" t="s">
        <v>218</v>
      </c>
      <c r="AU276" t="s">
        <v>311</v>
      </c>
      <c r="AV276">
        <v>7.85</v>
      </c>
    </row>
    <row r="277" spans="40:48" x14ac:dyDescent="0.25">
      <c r="AN277" t="s">
        <v>90</v>
      </c>
      <c r="AO277" t="s">
        <v>60</v>
      </c>
      <c r="AP277">
        <v>2004</v>
      </c>
      <c r="AQ277" t="s">
        <v>36</v>
      </c>
      <c r="AR277" t="s">
        <v>335</v>
      </c>
      <c r="AS277" t="s">
        <v>307</v>
      </c>
      <c r="AT277" t="s">
        <v>218</v>
      </c>
      <c r="AU277" t="s">
        <v>268</v>
      </c>
      <c r="AV277">
        <v>11.85</v>
      </c>
    </row>
    <row r="278" spans="40:48" x14ac:dyDescent="0.25">
      <c r="AN278" t="s">
        <v>90</v>
      </c>
      <c r="AO278" t="s">
        <v>60</v>
      </c>
      <c r="AP278">
        <v>2004</v>
      </c>
      <c r="AQ278" t="s">
        <v>36</v>
      </c>
      <c r="AR278" t="s">
        <v>335</v>
      </c>
      <c r="AS278" t="s">
        <v>307</v>
      </c>
      <c r="AT278" t="s">
        <v>238</v>
      </c>
      <c r="AU278" t="s">
        <v>310</v>
      </c>
      <c r="AV278">
        <v>2.6</v>
      </c>
    </row>
    <row r="279" spans="40:48" x14ac:dyDescent="0.25">
      <c r="AN279" t="s">
        <v>90</v>
      </c>
      <c r="AO279" t="s">
        <v>60</v>
      </c>
      <c r="AP279">
        <v>2004</v>
      </c>
      <c r="AQ279" t="s">
        <v>36</v>
      </c>
      <c r="AR279" t="s">
        <v>335</v>
      </c>
      <c r="AS279" t="s">
        <v>307</v>
      </c>
      <c r="AT279" t="s">
        <v>238</v>
      </c>
      <c r="AU279" t="s">
        <v>311</v>
      </c>
      <c r="AV279">
        <v>0</v>
      </c>
    </row>
    <row r="280" spans="40:48" x14ac:dyDescent="0.25">
      <c r="AN280" t="s">
        <v>90</v>
      </c>
      <c r="AO280" t="s">
        <v>60</v>
      </c>
      <c r="AP280">
        <v>2004</v>
      </c>
      <c r="AQ280" t="s">
        <v>36</v>
      </c>
      <c r="AR280" t="s">
        <v>335</v>
      </c>
      <c r="AS280" t="s">
        <v>307</v>
      </c>
      <c r="AT280" t="s">
        <v>238</v>
      </c>
      <c r="AU280" t="s">
        <v>268</v>
      </c>
      <c r="AV280">
        <v>2.6</v>
      </c>
    </row>
    <row r="281" spans="40:48" x14ac:dyDescent="0.25">
      <c r="AN281" t="s">
        <v>90</v>
      </c>
      <c r="AO281" t="s">
        <v>60</v>
      </c>
      <c r="AP281">
        <v>2004</v>
      </c>
      <c r="AQ281" t="s">
        <v>36</v>
      </c>
      <c r="AR281" t="s">
        <v>335</v>
      </c>
      <c r="AS281" t="s">
        <v>307</v>
      </c>
      <c r="AT281" t="s">
        <v>239</v>
      </c>
      <c r="AU281" t="s">
        <v>310</v>
      </c>
      <c r="AV281">
        <v>3.8</v>
      </c>
    </row>
    <row r="282" spans="40:48" x14ac:dyDescent="0.25">
      <c r="AN282" t="s">
        <v>90</v>
      </c>
      <c r="AO282" t="s">
        <v>60</v>
      </c>
      <c r="AP282">
        <v>2004</v>
      </c>
      <c r="AQ282" t="s">
        <v>36</v>
      </c>
      <c r="AR282" t="s">
        <v>335</v>
      </c>
      <c r="AS282" t="s">
        <v>307</v>
      </c>
      <c r="AT282" t="s">
        <v>239</v>
      </c>
      <c r="AU282" t="s">
        <v>311</v>
      </c>
      <c r="AV282">
        <v>7</v>
      </c>
    </row>
    <row r="283" spans="40:48" x14ac:dyDescent="0.25">
      <c r="AN283" t="s">
        <v>90</v>
      </c>
      <c r="AO283" t="s">
        <v>60</v>
      </c>
      <c r="AP283">
        <v>2004</v>
      </c>
      <c r="AQ283" t="s">
        <v>36</v>
      </c>
      <c r="AR283" t="s">
        <v>335</v>
      </c>
      <c r="AS283" t="s">
        <v>307</v>
      </c>
      <c r="AT283" t="s">
        <v>239</v>
      </c>
      <c r="AU283" t="s">
        <v>268</v>
      </c>
      <c r="AV283">
        <v>10.8</v>
      </c>
    </row>
    <row r="284" spans="40:48" x14ac:dyDescent="0.25">
      <c r="AN284" t="s">
        <v>90</v>
      </c>
      <c r="AO284" t="s">
        <v>60</v>
      </c>
      <c r="AP284">
        <v>2004</v>
      </c>
      <c r="AQ284" t="s">
        <v>36</v>
      </c>
      <c r="AR284" t="s">
        <v>335</v>
      </c>
      <c r="AS284" t="s">
        <v>307</v>
      </c>
      <c r="AT284" t="s">
        <v>240</v>
      </c>
      <c r="AU284" t="s">
        <v>310</v>
      </c>
      <c r="AV284">
        <v>4</v>
      </c>
    </row>
    <row r="285" spans="40:48" x14ac:dyDescent="0.25">
      <c r="AN285" t="s">
        <v>90</v>
      </c>
      <c r="AO285" t="s">
        <v>60</v>
      </c>
      <c r="AP285">
        <v>2004</v>
      </c>
      <c r="AQ285" t="s">
        <v>36</v>
      </c>
      <c r="AR285" t="s">
        <v>335</v>
      </c>
      <c r="AS285" t="s">
        <v>307</v>
      </c>
      <c r="AT285" t="s">
        <v>240</v>
      </c>
      <c r="AU285" t="s">
        <v>311</v>
      </c>
      <c r="AV285">
        <v>8.4</v>
      </c>
    </row>
    <row r="286" spans="40:48" x14ac:dyDescent="0.25">
      <c r="AN286" t="s">
        <v>90</v>
      </c>
      <c r="AO286" t="s">
        <v>60</v>
      </c>
      <c r="AP286">
        <v>2004</v>
      </c>
      <c r="AQ286" t="s">
        <v>36</v>
      </c>
      <c r="AR286" t="s">
        <v>335</v>
      </c>
      <c r="AS286" t="s">
        <v>307</v>
      </c>
      <c r="AT286" t="s">
        <v>240</v>
      </c>
      <c r="AU286" t="s">
        <v>268</v>
      </c>
      <c r="AV286">
        <v>12.4</v>
      </c>
    </row>
    <row r="287" spans="40:48" x14ac:dyDescent="0.25">
      <c r="AN287" t="s">
        <v>90</v>
      </c>
      <c r="AO287" t="s">
        <v>60</v>
      </c>
      <c r="AP287">
        <v>2004</v>
      </c>
      <c r="AQ287" t="s">
        <v>36</v>
      </c>
      <c r="AR287" t="s">
        <v>335</v>
      </c>
      <c r="AS287" t="s">
        <v>307</v>
      </c>
      <c r="AT287" t="s">
        <v>316</v>
      </c>
      <c r="AU287" t="s">
        <v>310</v>
      </c>
      <c r="AV287">
        <v>0</v>
      </c>
    </row>
    <row r="288" spans="40:48" x14ac:dyDescent="0.25">
      <c r="AN288" t="s">
        <v>90</v>
      </c>
      <c r="AO288" t="s">
        <v>60</v>
      </c>
      <c r="AP288">
        <v>2004</v>
      </c>
      <c r="AQ288" t="s">
        <v>36</v>
      </c>
      <c r="AR288" t="s">
        <v>335</v>
      </c>
      <c r="AS288" t="s">
        <v>307</v>
      </c>
      <c r="AT288" t="s">
        <v>316</v>
      </c>
      <c r="AU288" t="s">
        <v>311</v>
      </c>
      <c r="AV288">
        <v>0</v>
      </c>
    </row>
    <row r="289" spans="40:48" x14ac:dyDescent="0.25">
      <c r="AN289" t="s">
        <v>90</v>
      </c>
      <c r="AO289" t="s">
        <v>60</v>
      </c>
      <c r="AP289">
        <v>2004</v>
      </c>
      <c r="AQ289" t="s">
        <v>36</v>
      </c>
      <c r="AR289" t="s">
        <v>335</v>
      </c>
      <c r="AS289" t="s">
        <v>307</v>
      </c>
      <c r="AT289" t="s">
        <v>316</v>
      </c>
      <c r="AU289" t="s">
        <v>268</v>
      </c>
      <c r="AV289">
        <v>0</v>
      </c>
    </row>
    <row r="290" spans="40:48" x14ac:dyDescent="0.25">
      <c r="AN290" t="s">
        <v>90</v>
      </c>
      <c r="AO290" t="s">
        <v>60</v>
      </c>
      <c r="AP290">
        <v>2004</v>
      </c>
      <c r="AQ290" t="s">
        <v>36</v>
      </c>
      <c r="AR290" t="s">
        <v>335</v>
      </c>
      <c r="AS290" t="s">
        <v>307</v>
      </c>
      <c r="AT290" t="s">
        <v>242</v>
      </c>
      <c r="AU290" t="s">
        <v>310</v>
      </c>
      <c r="AV290">
        <v>0</v>
      </c>
    </row>
    <row r="291" spans="40:48" x14ac:dyDescent="0.25">
      <c r="AN291" t="s">
        <v>90</v>
      </c>
      <c r="AO291" t="s">
        <v>60</v>
      </c>
      <c r="AP291">
        <v>2004</v>
      </c>
      <c r="AQ291" t="s">
        <v>36</v>
      </c>
      <c r="AR291" t="s">
        <v>335</v>
      </c>
      <c r="AS291" t="s">
        <v>307</v>
      </c>
      <c r="AT291" t="s">
        <v>242</v>
      </c>
      <c r="AU291" t="s">
        <v>311</v>
      </c>
      <c r="AV291">
        <v>0</v>
      </c>
    </row>
    <row r="292" spans="40:48" x14ac:dyDescent="0.25">
      <c r="AN292" t="s">
        <v>90</v>
      </c>
      <c r="AO292" t="s">
        <v>60</v>
      </c>
      <c r="AP292">
        <v>2004</v>
      </c>
      <c r="AQ292" t="s">
        <v>36</v>
      </c>
      <c r="AR292" t="s">
        <v>335</v>
      </c>
      <c r="AS292" t="s">
        <v>307</v>
      </c>
      <c r="AT292" t="s">
        <v>242</v>
      </c>
      <c r="AU292" t="s">
        <v>268</v>
      </c>
      <c r="AV292">
        <v>0</v>
      </c>
    </row>
    <row r="293" spans="40:48" x14ac:dyDescent="0.25">
      <c r="AN293" t="s">
        <v>90</v>
      </c>
      <c r="AO293" t="s">
        <v>60</v>
      </c>
      <c r="AP293">
        <v>2004</v>
      </c>
      <c r="AQ293" t="s">
        <v>36</v>
      </c>
      <c r="AR293" t="s">
        <v>335</v>
      </c>
      <c r="AS293" t="s">
        <v>307</v>
      </c>
      <c r="AT293" t="s">
        <v>243</v>
      </c>
      <c r="AU293" t="s">
        <v>337</v>
      </c>
      <c r="AV293">
        <v>0</v>
      </c>
    </row>
    <row r="294" spans="40:48" x14ac:dyDescent="0.25">
      <c r="AN294" t="s">
        <v>90</v>
      </c>
      <c r="AO294" t="s">
        <v>60</v>
      </c>
      <c r="AP294">
        <v>2004</v>
      </c>
      <c r="AQ294" t="s">
        <v>36</v>
      </c>
      <c r="AR294" t="s">
        <v>335</v>
      </c>
      <c r="AS294" t="s">
        <v>307</v>
      </c>
      <c r="AT294" t="s">
        <v>243</v>
      </c>
      <c r="AU294" t="s">
        <v>338</v>
      </c>
      <c r="AV294">
        <v>0</v>
      </c>
    </row>
    <row r="295" spans="40:48" x14ac:dyDescent="0.25">
      <c r="AN295" t="s">
        <v>90</v>
      </c>
      <c r="AO295" t="s">
        <v>60</v>
      </c>
      <c r="AP295">
        <v>2004</v>
      </c>
      <c r="AQ295" t="s">
        <v>36</v>
      </c>
      <c r="AR295" t="s">
        <v>335</v>
      </c>
      <c r="AS295" t="s">
        <v>307</v>
      </c>
      <c r="AT295" t="s">
        <v>243</v>
      </c>
      <c r="AU295" t="s">
        <v>339</v>
      </c>
      <c r="AV295">
        <v>37.65</v>
      </c>
    </row>
    <row r="296" spans="40:48" x14ac:dyDescent="0.25">
      <c r="AN296" t="s">
        <v>92</v>
      </c>
      <c r="AO296" t="s">
        <v>60</v>
      </c>
      <c r="AP296">
        <v>2004</v>
      </c>
      <c r="AQ296" t="s">
        <v>39</v>
      </c>
      <c r="AR296" t="s">
        <v>335</v>
      </c>
      <c r="AS296" t="s">
        <v>307</v>
      </c>
      <c r="AT296" t="s">
        <v>218</v>
      </c>
      <c r="AU296" t="s">
        <v>310</v>
      </c>
      <c r="AV296">
        <v>3.7</v>
      </c>
    </row>
    <row r="297" spans="40:48" x14ac:dyDescent="0.25">
      <c r="AN297" t="s">
        <v>92</v>
      </c>
      <c r="AO297" t="s">
        <v>60</v>
      </c>
      <c r="AP297">
        <v>2004</v>
      </c>
      <c r="AQ297" t="s">
        <v>39</v>
      </c>
      <c r="AR297" t="s">
        <v>335</v>
      </c>
      <c r="AS297" t="s">
        <v>307</v>
      </c>
      <c r="AT297" t="s">
        <v>218</v>
      </c>
      <c r="AU297" t="s">
        <v>311</v>
      </c>
      <c r="AV297">
        <v>7.95</v>
      </c>
    </row>
    <row r="298" spans="40:48" x14ac:dyDescent="0.25">
      <c r="AN298" t="s">
        <v>92</v>
      </c>
      <c r="AO298" t="s">
        <v>60</v>
      </c>
      <c r="AP298">
        <v>2004</v>
      </c>
      <c r="AQ298" t="s">
        <v>39</v>
      </c>
      <c r="AR298" t="s">
        <v>335</v>
      </c>
      <c r="AS298" t="s">
        <v>307</v>
      </c>
      <c r="AT298" t="s">
        <v>218</v>
      </c>
      <c r="AU298" t="s">
        <v>268</v>
      </c>
      <c r="AV298">
        <v>11.65</v>
      </c>
    </row>
    <row r="299" spans="40:48" x14ac:dyDescent="0.25">
      <c r="AN299" t="s">
        <v>92</v>
      </c>
      <c r="AO299" t="s">
        <v>60</v>
      </c>
      <c r="AP299">
        <v>2004</v>
      </c>
      <c r="AQ299" t="s">
        <v>39</v>
      </c>
      <c r="AR299" t="s">
        <v>335</v>
      </c>
      <c r="AS299" t="s">
        <v>307</v>
      </c>
      <c r="AT299" t="s">
        <v>238</v>
      </c>
      <c r="AU299" t="s">
        <v>310</v>
      </c>
      <c r="AV299">
        <v>3.7</v>
      </c>
    </row>
    <row r="300" spans="40:48" x14ac:dyDescent="0.25">
      <c r="AN300" t="s">
        <v>92</v>
      </c>
      <c r="AO300" t="s">
        <v>60</v>
      </c>
      <c r="AP300">
        <v>2004</v>
      </c>
      <c r="AQ300" t="s">
        <v>39</v>
      </c>
      <c r="AR300" t="s">
        <v>335</v>
      </c>
      <c r="AS300" t="s">
        <v>307</v>
      </c>
      <c r="AT300" t="s">
        <v>238</v>
      </c>
      <c r="AU300" t="s">
        <v>311</v>
      </c>
      <c r="AV300">
        <v>8.6</v>
      </c>
    </row>
    <row r="301" spans="40:48" x14ac:dyDescent="0.25">
      <c r="AN301" t="s">
        <v>92</v>
      </c>
      <c r="AO301" t="s">
        <v>60</v>
      </c>
      <c r="AP301">
        <v>2004</v>
      </c>
      <c r="AQ301" t="s">
        <v>39</v>
      </c>
      <c r="AR301" t="s">
        <v>335</v>
      </c>
      <c r="AS301" t="s">
        <v>307</v>
      </c>
      <c r="AT301" t="s">
        <v>238</v>
      </c>
      <c r="AU301" t="s">
        <v>268</v>
      </c>
      <c r="AV301">
        <v>12.3</v>
      </c>
    </row>
    <row r="302" spans="40:48" x14ac:dyDescent="0.25">
      <c r="AN302" t="s">
        <v>92</v>
      </c>
      <c r="AO302" t="s">
        <v>60</v>
      </c>
      <c r="AP302">
        <v>2004</v>
      </c>
      <c r="AQ302" t="s">
        <v>39</v>
      </c>
      <c r="AR302" t="s">
        <v>335</v>
      </c>
      <c r="AS302" t="s">
        <v>307</v>
      </c>
      <c r="AT302" t="s">
        <v>239</v>
      </c>
      <c r="AU302" t="s">
        <v>310</v>
      </c>
      <c r="AV302">
        <v>0</v>
      </c>
    </row>
    <row r="303" spans="40:48" x14ac:dyDescent="0.25">
      <c r="AN303" t="s">
        <v>92</v>
      </c>
      <c r="AO303" t="s">
        <v>60</v>
      </c>
      <c r="AP303">
        <v>2004</v>
      </c>
      <c r="AQ303" t="s">
        <v>39</v>
      </c>
      <c r="AR303" t="s">
        <v>335</v>
      </c>
      <c r="AS303" t="s">
        <v>307</v>
      </c>
      <c r="AT303" t="s">
        <v>239</v>
      </c>
      <c r="AU303" t="s">
        <v>311</v>
      </c>
      <c r="AV303">
        <v>0</v>
      </c>
    </row>
    <row r="304" spans="40:48" x14ac:dyDescent="0.25">
      <c r="AN304" t="s">
        <v>92</v>
      </c>
      <c r="AO304" t="s">
        <v>60</v>
      </c>
      <c r="AP304">
        <v>2004</v>
      </c>
      <c r="AQ304" t="s">
        <v>39</v>
      </c>
      <c r="AR304" t="s">
        <v>335</v>
      </c>
      <c r="AS304" t="s">
        <v>307</v>
      </c>
      <c r="AT304" t="s">
        <v>239</v>
      </c>
      <c r="AU304" t="s">
        <v>268</v>
      </c>
      <c r="AV304">
        <v>0</v>
      </c>
    </row>
    <row r="305" spans="40:48" x14ac:dyDescent="0.25">
      <c r="AN305" t="s">
        <v>92</v>
      </c>
      <c r="AO305" t="s">
        <v>60</v>
      </c>
      <c r="AP305">
        <v>2004</v>
      </c>
      <c r="AQ305" t="s">
        <v>39</v>
      </c>
      <c r="AR305" t="s">
        <v>335</v>
      </c>
      <c r="AS305" t="s">
        <v>307</v>
      </c>
      <c r="AT305" t="s">
        <v>240</v>
      </c>
      <c r="AU305" t="s">
        <v>310</v>
      </c>
      <c r="AV305">
        <v>4</v>
      </c>
    </row>
    <row r="306" spans="40:48" x14ac:dyDescent="0.25">
      <c r="AN306" t="s">
        <v>92</v>
      </c>
      <c r="AO306" t="s">
        <v>60</v>
      </c>
      <c r="AP306">
        <v>2004</v>
      </c>
      <c r="AQ306" t="s">
        <v>39</v>
      </c>
      <c r="AR306" t="s">
        <v>335</v>
      </c>
      <c r="AS306" t="s">
        <v>307</v>
      </c>
      <c r="AT306" t="s">
        <v>240</v>
      </c>
      <c r="AU306" t="s">
        <v>311</v>
      </c>
      <c r="AV306">
        <v>8.9</v>
      </c>
    </row>
    <row r="307" spans="40:48" x14ac:dyDescent="0.25">
      <c r="AN307" t="s">
        <v>92</v>
      </c>
      <c r="AO307" t="s">
        <v>60</v>
      </c>
      <c r="AP307">
        <v>2004</v>
      </c>
      <c r="AQ307" t="s">
        <v>39</v>
      </c>
      <c r="AR307" t="s">
        <v>335</v>
      </c>
      <c r="AS307" t="s">
        <v>307</v>
      </c>
      <c r="AT307" t="s">
        <v>240</v>
      </c>
      <c r="AU307" t="s">
        <v>268</v>
      </c>
      <c r="AV307">
        <v>12.9</v>
      </c>
    </row>
    <row r="308" spans="40:48" x14ac:dyDescent="0.25">
      <c r="AN308" t="s">
        <v>92</v>
      </c>
      <c r="AO308" t="s">
        <v>60</v>
      </c>
      <c r="AP308">
        <v>2004</v>
      </c>
      <c r="AQ308" t="s">
        <v>39</v>
      </c>
      <c r="AR308" t="s">
        <v>335</v>
      </c>
      <c r="AS308" t="s">
        <v>307</v>
      </c>
      <c r="AT308" t="s">
        <v>316</v>
      </c>
      <c r="AU308" t="s">
        <v>310</v>
      </c>
      <c r="AV308">
        <v>0</v>
      </c>
    </row>
    <row r="309" spans="40:48" x14ac:dyDescent="0.25">
      <c r="AN309" t="s">
        <v>92</v>
      </c>
      <c r="AO309" t="s">
        <v>60</v>
      </c>
      <c r="AP309">
        <v>2004</v>
      </c>
      <c r="AQ309" t="s">
        <v>39</v>
      </c>
      <c r="AR309" t="s">
        <v>335</v>
      </c>
      <c r="AS309" t="s">
        <v>307</v>
      </c>
      <c r="AT309" t="s">
        <v>316</v>
      </c>
      <c r="AU309" t="s">
        <v>311</v>
      </c>
      <c r="AV309">
        <v>0</v>
      </c>
    </row>
    <row r="310" spans="40:48" x14ac:dyDescent="0.25">
      <c r="AN310" t="s">
        <v>92</v>
      </c>
      <c r="AO310" t="s">
        <v>60</v>
      </c>
      <c r="AP310">
        <v>2004</v>
      </c>
      <c r="AQ310" t="s">
        <v>39</v>
      </c>
      <c r="AR310" t="s">
        <v>335</v>
      </c>
      <c r="AS310" t="s">
        <v>307</v>
      </c>
      <c r="AT310" t="s">
        <v>316</v>
      </c>
      <c r="AU310" t="s">
        <v>268</v>
      </c>
      <c r="AV310">
        <v>0</v>
      </c>
    </row>
    <row r="311" spans="40:48" x14ac:dyDescent="0.25">
      <c r="AN311" t="s">
        <v>92</v>
      </c>
      <c r="AO311" t="s">
        <v>60</v>
      </c>
      <c r="AP311">
        <v>2004</v>
      </c>
      <c r="AQ311" t="s">
        <v>39</v>
      </c>
      <c r="AR311" t="s">
        <v>335</v>
      </c>
      <c r="AS311" t="s">
        <v>307</v>
      </c>
      <c r="AT311" t="s">
        <v>242</v>
      </c>
      <c r="AU311" t="s">
        <v>310</v>
      </c>
      <c r="AV311">
        <v>0</v>
      </c>
    </row>
    <row r="312" spans="40:48" x14ac:dyDescent="0.25">
      <c r="AN312" t="s">
        <v>92</v>
      </c>
      <c r="AO312" t="s">
        <v>60</v>
      </c>
      <c r="AP312">
        <v>2004</v>
      </c>
      <c r="AQ312" t="s">
        <v>39</v>
      </c>
      <c r="AR312" t="s">
        <v>335</v>
      </c>
      <c r="AS312" t="s">
        <v>307</v>
      </c>
      <c r="AT312" t="s">
        <v>242</v>
      </c>
      <c r="AU312" t="s">
        <v>311</v>
      </c>
      <c r="AV312">
        <v>0</v>
      </c>
    </row>
    <row r="313" spans="40:48" x14ac:dyDescent="0.25">
      <c r="AN313" t="s">
        <v>92</v>
      </c>
      <c r="AO313" t="s">
        <v>60</v>
      </c>
      <c r="AP313">
        <v>2004</v>
      </c>
      <c r="AQ313" t="s">
        <v>39</v>
      </c>
      <c r="AR313" t="s">
        <v>335</v>
      </c>
      <c r="AS313" t="s">
        <v>307</v>
      </c>
      <c r="AT313" t="s">
        <v>242</v>
      </c>
      <c r="AU313" t="s">
        <v>268</v>
      </c>
      <c r="AV313">
        <v>0</v>
      </c>
    </row>
    <row r="314" spans="40:48" x14ac:dyDescent="0.25">
      <c r="AN314" t="s">
        <v>92</v>
      </c>
      <c r="AO314" t="s">
        <v>60</v>
      </c>
      <c r="AP314">
        <v>2004</v>
      </c>
      <c r="AQ314" t="s">
        <v>39</v>
      </c>
      <c r="AR314" t="s">
        <v>335</v>
      </c>
      <c r="AS314" t="s">
        <v>307</v>
      </c>
      <c r="AT314" t="s">
        <v>243</v>
      </c>
      <c r="AU314" t="s">
        <v>337</v>
      </c>
      <c r="AV314">
        <v>0</v>
      </c>
    </row>
    <row r="315" spans="40:48" x14ac:dyDescent="0.25">
      <c r="AN315" t="s">
        <v>92</v>
      </c>
      <c r="AO315" t="s">
        <v>60</v>
      </c>
      <c r="AP315">
        <v>2004</v>
      </c>
      <c r="AQ315" t="s">
        <v>39</v>
      </c>
      <c r="AR315" t="s">
        <v>335</v>
      </c>
      <c r="AS315" t="s">
        <v>307</v>
      </c>
      <c r="AT315" t="s">
        <v>243</v>
      </c>
      <c r="AU315" t="s">
        <v>338</v>
      </c>
      <c r="AV315">
        <v>0</v>
      </c>
    </row>
    <row r="316" spans="40:48" x14ac:dyDescent="0.25">
      <c r="AN316" t="s">
        <v>92</v>
      </c>
      <c r="AO316" t="s">
        <v>60</v>
      </c>
      <c r="AP316">
        <v>2004</v>
      </c>
      <c r="AQ316" t="s">
        <v>39</v>
      </c>
      <c r="AR316" t="s">
        <v>335</v>
      </c>
      <c r="AS316" t="s">
        <v>307</v>
      </c>
      <c r="AT316" t="s">
        <v>243</v>
      </c>
      <c r="AU316" t="s">
        <v>339</v>
      </c>
      <c r="AV316">
        <v>36.85</v>
      </c>
    </row>
    <row r="317" spans="40:48" x14ac:dyDescent="0.25">
      <c r="AN317" t="s">
        <v>94</v>
      </c>
      <c r="AO317" t="s">
        <v>60</v>
      </c>
      <c r="AP317">
        <v>2002</v>
      </c>
      <c r="AQ317" t="s">
        <v>72</v>
      </c>
      <c r="AR317" t="s">
        <v>335</v>
      </c>
      <c r="AS317" t="s">
        <v>307</v>
      </c>
      <c r="AT317" t="s">
        <v>218</v>
      </c>
      <c r="AU317" t="s">
        <v>310</v>
      </c>
      <c r="AV317">
        <v>0</v>
      </c>
    </row>
    <row r="318" spans="40:48" x14ac:dyDescent="0.25">
      <c r="AN318" t="s">
        <v>94</v>
      </c>
      <c r="AO318" t="s">
        <v>60</v>
      </c>
      <c r="AP318">
        <v>2002</v>
      </c>
      <c r="AQ318" t="s">
        <v>72</v>
      </c>
      <c r="AR318" t="s">
        <v>335</v>
      </c>
      <c r="AS318" t="s">
        <v>307</v>
      </c>
      <c r="AT318" t="s">
        <v>218</v>
      </c>
      <c r="AU318" t="s">
        <v>311</v>
      </c>
      <c r="AV318">
        <v>0</v>
      </c>
    </row>
    <row r="319" spans="40:48" x14ac:dyDescent="0.25">
      <c r="AN319" t="s">
        <v>94</v>
      </c>
      <c r="AO319" t="s">
        <v>60</v>
      </c>
      <c r="AP319">
        <v>2002</v>
      </c>
      <c r="AQ319" t="s">
        <v>72</v>
      </c>
      <c r="AR319" t="s">
        <v>335</v>
      </c>
      <c r="AS319" t="s">
        <v>307</v>
      </c>
      <c r="AT319" t="s">
        <v>218</v>
      </c>
      <c r="AU319" t="s">
        <v>268</v>
      </c>
      <c r="AV319">
        <v>0</v>
      </c>
    </row>
    <row r="320" spans="40:48" x14ac:dyDescent="0.25">
      <c r="AN320" t="s">
        <v>94</v>
      </c>
      <c r="AO320" t="s">
        <v>60</v>
      </c>
      <c r="AP320">
        <v>2002</v>
      </c>
      <c r="AQ320" t="s">
        <v>72</v>
      </c>
      <c r="AR320" t="s">
        <v>335</v>
      </c>
      <c r="AS320" t="s">
        <v>307</v>
      </c>
      <c r="AT320" t="s">
        <v>238</v>
      </c>
      <c r="AU320" t="s">
        <v>310</v>
      </c>
      <c r="AV320">
        <v>0</v>
      </c>
    </row>
    <row r="321" spans="40:48" x14ac:dyDescent="0.25">
      <c r="AN321" t="s">
        <v>94</v>
      </c>
      <c r="AO321" t="s">
        <v>60</v>
      </c>
      <c r="AP321">
        <v>2002</v>
      </c>
      <c r="AQ321" t="s">
        <v>72</v>
      </c>
      <c r="AR321" t="s">
        <v>335</v>
      </c>
      <c r="AS321" t="s">
        <v>307</v>
      </c>
      <c r="AT321" t="s">
        <v>238</v>
      </c>
      <c r="AU321" t="s">
        <v>311</v>
      </c>
      <c r="AV321">
        <v>0</v>
      </c>
    </row>
    <row r="322" spans="40:48" x14ac:dyDescent="0.25">
      <c r="AN322" t="s">
        <v>94</v>
      </c>
      <c r="AO322" t="s">
        <v>60</v>
      </c>
      <c r="AP322">
        <v>2002</v>
      </c>
      <c r="AQ322" t="s">
        <v>72</v>
      </c>
      <c r="AR322" t="s">
        <v>335</v>
      </c>
      <c r="AS322" t="s">
        <v>307</v>
      </c>
      <c r="AT322" t="s">
        <v>238</v>
      </c>
      <c r="AU322" t="s">
        <v>268</v>
      </c>
      <c r="AV322">
        <v>0</v>
      </c>
    </row>
    <row r="323" spans="40:48" x14ac:dyDescent="0.25">
      <c r="AN323" t="s">
        <v>94</v>
      </c>
      <c r="AO323" t="s">
        <v>60</v>
      </c>
      <c r="AP323">
        <v>2002</v>
      </c>
      <c r="AQ323" t="s">
        <v>72</v>
      </c>
      <c r="AR323" t="s">
        <v>335</v>
      </c>
      <c r="AS323" t="s">
        <v>307</v>
      </c>
      <c r="AT323" t="s">
        <v>239</v>
      </c>
      <c r="AU323" t="s">
        <v>310</v>
      </c>
      <c r="AV323">
        <v>4</v>
      </c>
    </row>
    <row r="324" spans="40:48" x14ac:dyDescent="0.25">
      <c r="AN324" t="s">
        <v>94</v>
      </c>
      <c r="AO324" t="s">
        <v>60</v>
      </c>
      <c r="AP324">
        <v>2002</v>
      </c>
      <c r="AQ324" t="s">
        <v>72</v>
      </c>
      <c r="AR324" t="s">
        <v>335</v>
      </c>
      <c r="AS324" t="s">
        <v>307</v>
      </c>
      <c r="AT324" t="s">
        <v>239</v>
      </c>
      <c r="AU324" t="s">
        <v>311</v>
      </c>
      <c r="AV324">
        <v>8.4</v>
      </c>
    </row>
    <row r="325" spans="40:48" x14ac:dyDescent="0.25">
      <c r="AN325" t="s">
        <v>94</v>
      </c>
      <c r="AO325" t="s">
        <v>60</v>
      </c>
      <c r="AP325">
        <v>2002</v>
      </c>
      <c r="AQ325" t="s">
        <v>72</v>
      </c>
      <c r="AR325" t="s">
        <v>335</v>
      </c>
      <c r="AS325" t="s">
        <v>307</v>
      </c>
      <c r="AT325" t="s">
        <v>239</v>
      </c>
      <c r="AU325" t="s">
        <v>268</v>
      </c>
      <c r="AV325">
        <v>12.4</v>
      </c>
    </row>
    <row r="326" spans="40:48" x14ac:dyDescent="0.25">
      <c r="AN326" t="s">
        <v>94</v>
      </c>
      <c r="AO326" t="s">
        <v>60</v>
      </c>
      <c r="AP326">
        <v>2002</v>
      </c>
      <c r="AQ326" t="s">
        <v>72</v>
      </c>
      <c r="AR326" t="s">
        <v>335</v>
      </c>
      <c r="AS326" t="s">
        <v>307</v>
      </c>
      <c r="AT326" t="s">
        <v>240</v>
      </c>
      <c r="AU326" t="s">
        <v>310</v>
      </c>
      <c r="AV326">
        <v>2.8</v>
      </c>
    </row>
    <row r="327" spans="40:48" x14ac:dyDescent="0.25">
      <c r="AN327" t="s">
        <v>94</v>
      </c>
      <c r="AO327" t="s">
        <v>60</v>
      </c>
      <c r="AP327">
        <v>2002</v>
      </c>
      <c r="AQ327" t="s">
        <v>72</v>
      </c>
      <c r="AR327" t="s">
        <v>335</v>
      </c>
      <c r="AS327" t="s">
        <v>307</v>
      </c>
      <c r="AT327" t="s">
        <v>240</v>
      </c>
      <c r="AU327" t="s">
        <v>311</v>
      </c>
      <c r="AV327">
        <v>9.4</v>
      </c>
    </row>
    <row r="328" spans="40:48" x14ac:dyDescent="0.25">
      <c r="AN328" t="s">
        <v>94</v>
      </c>
      <c r="AO328" t="s">
        <v>60</v>
      </c>
      <c r="AP328">
        <v>2002</v>
      </c>
      <c r="AQ328" t="s">
        <v>72</v>
      </c>
      <c r="AR328" t="s">
        <v>335</v>
      </c>
      <c r="AS328" t="s">
        <v>307</v>
      </c>
      <c r="AT328" t="s">
        <v>240</v>
      </c>
      <c r="AU328" t="s">
        <v>268</v>
      </c>
      <c r="AV328">
        <v>12.2</v>
      </c>
    </row>
    <row r="329" spans="40:48" x14ac:dyDescent="0.25">
      <c r="AN329" t="s">
        <v>94</v>
      </c>
      <c r="AO329" t="s">
        <v>60</v>
      </c>
      <c r="AP329">
        <v>2002</v>
      </c>
      <c r="AQ329" t="s">
        <v>72</v>
      </c>
      <c r="AR329" t="s">
        <v>335</v>
      </c>
      <c r="AS329" t="s">
        <v>307</v>
      </c>
      <c r="AT329" t="s">
        <v>316</v>
      </c>
      <c r="AU329" t="s">
        <v>310</v>
      </c>
      <c r="AV329">
        <v>3.1</v>
      </c>
    </row>
    <row r="330" spans="40:48" x14ac:dyDescent="0.25">
      <c r="AN330" t="s">
        <v>94</v>
      </c>
      <c r="AO330" t="s">
        <v>60</v>
      </c>
      <c r="AP330">
        <v>2002</v>
      </c>
      <c r="AQ330" t="s">
        <v>72</v>
      </c>
      <c r="AR330" t="s">
        <v>335</v>
      </c>
      <c r="AS330" t="s">
        <v>307</v>
      </c>
      <c r="AT330" t="s">
        <v>316</v>
      </c>
      <c r="AU330" t="s">
        <v>311</v>
      </c>
      <c r="AV330">
        <v>8.85</v>
      </c>
    </row>
    <row r="331" spans="40:48" x14ac:dyDescent="0.25">
      <c r="AN331" t="s">
        <v>94</v>
      </c>
      <c r="AO331" t="s">
        <v>60</v>
      </c>
      <c r="AP331">
        <v>2002</v>
      </c>
      <c r="AQ331" t="s">
        <v>72</v>
      </c>
      <c r="AR331" t="s">
        <v>335</v>
      </c>
      <c r="AS331" t="s">
        <v>307</v>
      </c>
      <c r="AT331" t="s">
        <v>316</v>
      </c>
      <c r="AU331" t="s">
        <v>268</v>
      </c>
      <c r="AV331">
        <v>11.95</v>
      </c>
    </row>
    <row r="332" spans="40:48" x14ac:dyDescent="0.25">
      <c r="AN332" t="s">
        <v>94</v>
      </c>
      <c r="AO332" t="s">
        <v>60</v>
      </c>
      <c r="AP332">
        <v>2002</v>
      </c>
      <c r="AQ332" t="s">
        <v>72</v>
      </c>
      <c r="AR332" t="s">
        <v>335</v>
      </c>
      <c r="AS332" t="s">
        <v>307</v>
      </c>
      <c r="AT332" t="s">
        <v>242</v>
      </c>
      <c r="AU332" t="s">
        <v>310</v>
      </c>
      <c r="AV332">
        <v>0</v>
      </c>
    </row>
    <row r="333" spans="40:48" x14ac:dyDescent="0.25">
      <c r="AN333" t="s">
        <v>94</v>
      </c>
      <c r="AO333" t="s">
        <v>60</v>
      </c>
      <c r="AP333">
        <v>2002</v>
      </c>
      <c r="AQ333" t="s">
        <v>72</v>
      </c>
      <c r="AR333" t="s">
        <v>335</v>
      </c>
      <c r="AS333" t="s">
        <v>307</v>
      </c>
      <c r="AT333" t="s">
        <v>242</v>
      </c>
      <c r="AU333" t="s">
        <v>311</v>
      </c>
      <c r="AV333">
        <v>0</v>
      </c>
    </row>
    <row r="334" spans="40:48" x14ac:dyDescent="0.25">
      <c r="AN334" t="s">
        <v>94</v>
      </c>
      <c r="AO334" t="s">
        <v>60</v>
      </c>
      <c r="AP334">
        <v>2002</v>
      </c>
      <c r="AQ334" t="s">
        <v>72</v>
      </c>
      <c r="AR334" t="s">
        <v>335</v>
      </c>
      <c r="AS334" t="s">
        <v>307</v>
      </c>
      <c r="AT334" t="s">
        <v>242</v>
      </c>
      <c r="AU334" t="s">
        <v>268</v>
      </c>
      <c r="AV334">
        <v>0</v>
      </c>
    </row>
    <row r="335" spans="40:48" x14ac:dyDescent="0.25">
      <c r="AN335" t="s">
        <v>94</v>
      </c>
      <c r="AO335" t="s">
        <v>60</v>
      </c>
      <c r="AP335">
        <v>2002</v>
      </c>
      <c r="AQ335" t="s">
        <v>72</v>
      </c>
      <c r="AR335" t="s">
        <v>335</v>
      </c>
      <c r="AS335" t="s">
        <v>307</v>
      </c>
      <c r="AT335" t="s">
        <v>243</v>
      </c>
      <c r="AU335" t="s">
        <v>337</v>
      </c>
      <c r="AV335">
        <v>0</v>
      </c>
    </row>
    <row r="336" spans="40:48" x14ac:dyDescent="0.25">
      <c r="AN336" t="s">
        <v>94</v>
      </c>
      <c r="AO336" t="s">
        <v>60</v>
      </c>
      <c r="AP336">
        <v>2002</v>
      </c>
      <c r="AQ336" t="s">
        <v>72</v>
      </c>
      <c r="AR336" t="s">
        <v>335</v>
      </c>
      <c r="AS336" t="s">
        <v>307</v>
      </c>
      <c r="AT336" t="s">
        <v>243</v>
      </c>
      <c r="AU336" t="s">
        <v>338</v>
      </c>
      <c r="AV336">
        <v>0</v>
      </c>
    </row>
    <row r="337" spans="40:48" x14ac:dyDescent="0.25">
      <c r="AN337" t="s">
        <v>94</v>
      </c>
      <c r="AO337" t="s">
        <v>60</v>
      </c>
      <c r="AP337">
        <v>2002</v>
      </c>
      <c r="AQ337" t="s">
        <v>72</v>
      </c>
      <c r="AR337" t="s">
        <v>335</v>
      </c>
      <c r="AS337" t="s">
        <v>307</v>
      </c>
      <c r="AT337" t="s">
        <v>243</v>
      </c>
      <c r="AU337" t="s">
        <v>339</v>
      </c>
      <c r="AV337">
        <v>36.549999999999997</v>
      </c>
    </row>
    <row r="338" spans="40:48" x14ac:dyDescent="0.25">
      <c r="AN338" t="s">
        <v>96</v>
      </c>
      <c r="AO338" t="s">
        <v>60</v>
      </c>
      <c r="AP338">
        <v>2002</v>
      </c>
      <c r="AQ338" t="s">
        <v>62</v>
      </c>
      <c r="AR338" t="s">
        <v>335</v>
      </c>
      <c r="AS338" t="s">
        <v>307</v>
      </c>
      <c r="AT338" t="s">
        <v>218</v>
      </c>
      <c r="AU338" t="s">
        <v>310</v>
      </c>
      <c r="AV338">
        <v>0</v>
      </c>
    </row>
    <row r="339" spans="40:48" x14ac:dyDescent="0.25">
      <c r="AN339" t="s">
        <v>96</v>
      </c>
      <c r="AO339" t="s">
        <v>60</v>
      </c>
      <c r="AP339">
        <v>2002</v>
      </c>
      <c r="AQ339" t="s">
        <v>62</v>
      </c>
      <c r="AR339" t="s">
        <v>335</v>
      </c>
      <c r="AS339" t="s">
        <v>307</v>
      </c>
      <c r="AT339" t="s">
        <v>218</v>
      </c>
      <c r="AU339" t="s">
        <v>311</v>
      </c>
      <c r="AV339">
        <v>0</v>
      </c>
    </row>
    <row r="340" spans="40:48" x14ac:dyDescent="0.25">
      <c r="AN340" t="s">
        <v>96</v>
      </c>
      <c r="AO340" t="s">
        <v>60</v>
      </c>
      <c r="AP340">
        <v>2002</v>
      </c>
      <c r="AQ340" t="s">
        <v>62</v>
      </c>
      <c r="AR340" t="s">
        <v>335</v>
      </c>
      <c r="AS340" t="s">
        <v>307</v>
      </c>
      <c r="AT340" t="s">
        <v>218</v>
      </c>
      <c r="AU340" t="s">
        <v>268</v>
      </c>
      <c r="AV340">
        <v>0</v>
      </c>
    </row>
    <row r="341" spans="40:48" x14ac:dyDescent="0.25">
      <c r="AN341" t="s">
        <v>96</v>
      </c>
      <c r="AO341" t="s">
        <v>60</v>
      </c>
      <c r="AP341">
        <v>2002</v>
      </c>
      <c r="AQ341" t="s">
        <v>62</v>
      </c>
      <c r="AR341" t="s">
        <v>335</v>
      </c>
      <c r="AS341" t="s">
        <v>307</v>
      </c>
      <c r="AT341" t="s">
        <v>238</v>
      </c>
      <c r="AU341" t="s">
        <v>310</v>
      </c>
      <c r="AV341">
        <v>4.5</v>
      </c>
    </row>
    <row r="342" spans="40:48" x14ac:dyDescent="0.25">
      <c r="AN342" t="s">
        <v>96</v>
      </c>
      <c r="AO342" t="s">
        <v>60</v>
      </c>
      <c r="AP342">
        <v>2002</v>
      </c>
      <c r="AQ342" t="s">
        <v>62</v>
      </c>
      <c r="AR342" t="s">
        <v>335</v>
      </c>
      <c r="AS342" t="s">
        <v>307</v>
      </c>
      <c r="AT342" t="s">
        <v>238</v>
      </c>
      <c r="AU342" t="s">
        <v>311</v>
      </c>
      <c r="AV342">
        <v>7.3</v>
      </c>
    </row>
    <row r="343" spans="40:48" x14ac:dyDescent="0.25">
      <c r="AN343" t="s">
        <v>96</v>
      </c>
      <c r="AO343" t="s">
        <v>60</v>
      </c>
      <c r="AP343">
        <v>2002</v>
      </c>
      <c r="AQ343" t="s">
        <v>62</v>
      </c>
      <c r="AR343" t="s">
        <v>335</v>
      </c>
      <c r="AS343" t="s">
        <v>307</v>
      </c>
      <c r="AT343" t="s">
        <v>238</v>
      </c>
      <c r="AU343" t="s">
        <v>268</v>
      </c>
      <c r="AV343">
        <v>11.8</v>
      </c>
    </row>
    <row r="344" spans="40:48" x14ac:dyDescent="0.25">
      <c r="AN344" t="s">
        <v>96</v>
      </c>
      <c r="AO344" t="s">
        <v>60</v>
      </c>
      <c r="AP344">
        <v>2002</v>
      </c>
      <c r="AQ344" t="s">
        <v>62</v>
      </c>
      <c r="AR344" t="s">
        <v>335</v>
      </c>
      <c r="AS344" t="s">
        <v>307</v>
      </c>
      <c r="AT344" t="s">
        <v>239</v>
      </c>
      <c r="AU344" t="s">
        <v>310</v>
      </c>
      <c r="AV344">
        <v>4.5999999999999996</v>
      </c>
    </row>
    <row r="345" spans="40:48" x14ac:dyDescent="0.25">
      <c r="AN345" t="s">
        <v>96</v>
      </c>
      <c r="AO345" t="s">
        <v>60</v>
      </c>
      <c r="AP345">
        <v>2002</v>
      </c>
      <c r="AQ345" t="s">
        <v>62</v>
      </c>
      <c r="AR345" t="s">
        <v>335</v>
      </c>
      <c r="AS345" t="s">
        <v>307</v>
      </c>
      <c r="AT345" t="s">
        <v>239</v>
      </c>
      <c r="AU345" t="s">
        <v>311</v>
      </c>
      <c r="AV345">
        <v>8.1</v>
      </c>
    </row>
    <row r="346" spans="40:48" x14ac:dyDescent="0.25">
      <c r="AN346" t="s">
        <v>96</v>
      </c>
      <c r="AO346" t="s">
        <v>60</v>
      </c>
      <c r="AP346">
        <v>2002</v>
      </c>
      <c r="AQ346" t="s">
        <v>62</v>
      </c>
      <c r="AR346" t="s">
        <v>335</v>
      </c>
      <c r="AS346" t="s">
        <v>307</v>
      </c>
      <c r="AT346" t="s">
        <v>239</v>
      </c>
      <c r="AU346" t="s">
        <v>268</v>
      </c>
      <c r="AV346">
        <v>12.7</v>
      </c>
    </row>
    <row r="347" spans="40:48" x14ac:dyDescent="0.25">
      <c r="AN347" t="s">
        <v>96</v>
      </c>
      <c r="AO347" t="s">
        <v>60</v>
      </c>
      <c r="AP347">
        <v>2002</v>
      </c>
      <c r="AQ347" t="s">
        <v>62</v>
      </c>
      <c r="AR347" t="s">
        <v>335</v>
      </c>
      <c r="AS347" t="s">
        <v>307</v>
      </c>
      <c r="AT347" t="s">
        <v>240</v>
      </c>
      <c r="AU347" t="s">
        <v>310</v>
      </c>
      <c r="AV347">
        <v>0</v>
      </c>
    </row>
    <row r="348" spans="40:48" x14ac:dyDescent="0.25">
      <c r="AN348" t="s">
        <v>96</v>
      </c>
      <c r="AO348" t="s">
        <v>60</v>
      </c>
      <c r="AP348">
        <v>2002</v>
      </c>
      <c r="AQ348" t="s">
        <v>62</v>
      </c>
      <c r="AR348" t="s">
        <v>335</v>
      </c>
      <c r="AS348" t="s">
        <v>307</v>
      </c>
      <c r="AT348" t="s">
        <v>240</v>
      </c>
      <c r="AU348" t="s">
        <v>311</v>
      </c>
      <c r="AV348">
        <v>0</v>
      </c>
    </row>
    <row r="349" spans="40:48" x14ac:dyDescent="0.25">
      <c r="AN349" t="s">
        <v>96</v>
      </c>
      <c r="AO349" t="s">
        <v>60</v>
      </c>
      <c r="AP349">
        <v>2002</v>
      </c>
      <c r="AQ349" t="s">
        <v>62</v>
      </c>
      <c r="AR349" t="s">
        <v>335</v>
      </c>
      <c r="AS349" t="s">
        <v>307</v>
      </c>
      <c r="AT349" t="s">
        <v>240</v>
      </c>
      <c r="AU349" t="s">
        <v>268</v>
      </c>
      <c r="AV349">
        <v>0</v>
      </c>
    </row>
    <row r="350" spans="40:48" x14ac:dyDescent="0.25">
      <c r="AN350" t="s">
        <v>96</v>
      </c>
      <c r="AO350" t="s">
        <v>60</v>
      </c>
      <c r="AP350">
        <v>2002</v>
      </c>
      <c r="AQ350" t="s">
        <v>62</v>
      </c>
      <c r="AR350" t="s">
        <v>335</v>
      </c>
      <c r="AS350" t="s">
        <v>307</v>
      </c>
      <c r="AT350" t="s">
        <v>316</v>
      </c>
      <c r="AU350" t="s">
        <v>310</v>
      </c>
      <c r="AV350">
        <v>4</v>
      </c>
    </row>
    <row r="351" spans="40:48" x14ac:dyDescent="0.25">
      <c r="AN351" t="s">
        <v>96</v>
      </c>
      <c r="AO351" t="s">
        <v>60</v>
      </c>
      <c r="AP351">
        <v>2002</v>
      </c>
      <c r="AQ351" t="s">
        <v>62</v>
      </c>
      <c r="AR351" t="s">
        <v>335</v>
      </c>
      <c r="AS351" t="s">
        <v>307</v>
      </c>
      <c r="AT351" t="s">
        <v>316</v>
      </c>
      <c r="AU351" t="s">
        <v>311</v>
      </c>
      <c r="AV351">
        <v>6.6</v>
      </c>
    </row>
    <row r="352" spans="40:48" x14ac:dyDescent="0.25">
      <c r="AN352" t="s">
        <v>96</v>
      </c>
      <c r="AO352" t="s">
        <v>60</v>
      </c>
      <c r="AP352">
        <v>2002</v>
      </c>
      <c r="AQ352" t="s">
        <v>62</v>
      </c>
      <c r="AR352" t="s">
        <v>335</v>
      </c>
      <c r="AS352" t="s">
        <v>307</v>
      </c>
      <c r="AT352" t="s">
        <v>316</v>
      </c>
      <c r="AU352" t="s">
        <v>268</v>
      </c>
      <c r="AV352">
        <v>10.6</v>
      </c>
    </row>
    <row r="353" spans="40:48" x14ac:dyDescent="0.25">
      <c r="AN353" t="s">
        <v>96</v>
      </c>
      <c r="AO353" t="s">
        <v>60</v>
      </c>
      <c r="AP353">
        <v>2002</v>
      </c>
      <c r="AQ353" t="s">
        <v>62</v>
      </c>
      <c r="AR353" t="s">
        <v>335</v>
      </c>
      <c r="AS353" t="s">
        <v>307</v>
      </c>
      <c r="AT353" t="s">
        <v>242</v>
      </c>
      <c r="AU353" t="s">
        <v>310</v>
      </c>
      <c r="AV353">
        <v>0</v>
      </c>
    </row>
    <row r="354" spans="40:48" x14ac:dyDescent="0.25">
      <c r="AN354" t="s">
        <v>96</v>
      </c>
      <c r="AO354" t="s">
        <v>60</v>
      </c>
      <c r="AP354">
        <v>2002</v>
      </c>
      <c r="AQ354" t="s">
        <v>62</v>
      </c>
      <c r="AR354" t="s">
        <v>335</v>
      </c>
      <c r="AS354" t="s">
        <v>307</v>
      </c>
      <c r="AT354" t="s">
        <v>242</v>
      </c>
      <c r="AU354" t="s">
        <v>311</v>
      </c>
      <c r="AV354">
        <v>0</v>
      </c>
    </row>
    <row r="355" spans="40:48" x14ac:dyDescent="0.25">
      <c r="AN355" t="s">
        <v>96</v>
      </c>
      <c r="AO355" t="s">
        <v>60</v>
      </c>
      <c r="AP355">
        <v>2002</v>
      </c>
      <c r="AQ355" t="s">
        <v>62</v>
      </c>
      <c r="AR355" t="s">
        <v>335</v>
      </c>
      <c r="AS355" t="s">
        <v>307</v>
      </c>
      <c r="AT355" t="s">
        <v>242</v>
      </c>
      <c r="AU355" t="s">
        <v>268</v>
      </c>
      <c r="AV355">
        <v>0</v>
      </c>
    </row>
    <row r="356" spans="40:48" x14ac:dyDescent="0.25">
      <c r="AN356" t="s">
        <v>96</v>
      </c>
      <c r="AO356" t="s">
        <v>60</v>
      </c>
      <c r="AP356">
        <v>2002</v>
      </c>
      <c r="AQ356" t="s">
        <v>62</v>
      </c>
      <c r="AR356" t="s">
        <v>335</v>
      </c>
      <c r="AS356" t="s">
        <v>307</v>
      </c>
      <c r="AT356" t="s">
        <v>243</v>
      </c>
      <c r="AU356" t="s">
        <v>337</v>
      </c>
      <c r="AV356">
        <v>0</v>
      </c>
    </row>
    <row r="357" spans="40:48" x14ac:dyDescent="0.25">
      <c r="AN357" t="s">
        <v>96</v>
      </c>
      <c r="AO357" t="s">
        <v>60</v>
      </c>
      <c r="AP357">
        <v>2002</v>
      </c>
      <c r="AQ357" t="s">
        <v>62</v>
      </c>
      <c r="AR357" t="s">
        <v>335</v>
      </c>
      <c r="AS357" t="s">
        <v>307</v>
      </c>
      <c r="AT357" t="s">
        <v>243</v>
      </c>
      <c r="AU357" t="s">
        <v>338</v>
      </c>
      <c r="AV357">
        <v>0</v>
      </c>
    </row>
    <row r="358" spans="40:48" x14ac:dyDescent="0.25">
      <c r="AN358" t="s">
        <v>96</v>
      </c>
      <c r="AO358" t="s">
        <v>60</v>
      </c>
      <c r="AP358">
        <v>2002</v>
      </c>
      <c r="AQ358" t="s">
        <v>62</v>
      </c>
      <c r="AR358" t="s">
        <v>335</v>
      </c>
      <c r="AS358" t="s">
        <v>307</v>
      </c>
      <c r="AT358" t="s">
        <v>243</v>
      </c>
      <c r="AU358" t="s">
        <v>339</v>
      </c>
      <c r="AV358">
        <v>35.1</v>
      </c>
    </row>
    <row r="359" spans="40:48" x14ac:dyDescent="0.25">
      <c r="AN359" t="s">
        <v>98</v>
      </c>
      <c r="AO359" t="s">
        <v>60</v>
      </c>
      <c r="AP359">
        <v>2003</v>
      </c>
      <c r="AQ359" t="s">
        <v>72</v>
      </c>
      <c r="AR359" t="s">
        <v>335</v>
      </c>
      <c r="AS359" t="s">
        <v>307</v>
      </c>
      <c r="AT359" t="s">
        <v>218</v>
      </c>
      <c r="AU359" t="s">
        <v>310</v>
      </c>
      <c r="AV359">
        <v>0</v>
      </c>
    </row>
    <row r="360" spans="40:48" x14ac:dyDescent="0.25">
      <c r="AN360" t="s">
        <v>98</v>
      </c>
      <c r="AO360" t="s">
        <v>60</v>
      </c>
      <c r="AP360">
        <v>2003</v>
      </c>
      <c r="AQ360" t="s">
        <v>72</v>
      </c>
      <c r="AR360" t="s">
        <v>335</v>
      </c>
      <c r="AS360" t="s">
        <v>307</v>
      </c>
      <c r="AT360" t="s">
        <v>218</v>
      </c>
      <c r="AU360" t="s">
        <v>311</v>
      </c>
      <c r="AV360">
        <v>0</v>
      </c>
    </row>
    <row r="361" spans="40:48" x14ac:dyDescent="0.25">
      <c r="AN361" t="s">
        <v>98</v>
      </c>
      <c r="AO361" t="s">
        <v>60</v>
      </c>
      <c r="AP361">
        <v>2003</v>
      </c>
      <c r="AQ361" t="s">
        <v>72</v>
      </c>
      <c r="AR361" t="s">
        <v>335</v>
      </c>
      <c r="AS361" t="s">
        <v>307</v>
      </c>
      <c r="AT361" t="s">
        <v>218</v>
      </c>
      <c r="AU361" t="s">
        <v>268</v>
      </c>
      <c r="AV361">
        <v>0</v>
      </c>
    </row>
    <row r="362" spans="40:48" x14ac:dyDescent="0.25">
      <c r="AN362" t="s">
        <v>98</v>
      </c>
      <c r="AO362" t="s">
        <v>60</v>
      </c>
      <c r="AP362">
        <v>2003</v>
      </c>
      <c r="AQ362" t="s">
        <v>72</v>
      </c>
      <c r="AR362" t="s">
        <v>335</v>
      </c>
      <c r="AS362" t="s">
        <v>307</v>
      </c>
      <c r="AT362" t="s">
        <v>238</v>
      </c>
      <c r="AU362" t="s">
        <v>310</v>
      </c>
      <c r="AV362">
        <v>3.4</v>
      </c>
    </row>
    <row r="363" spans="40:48" x14ac:dyDescent="0.25">
      <c r="AN363" t="s">
        <v>98</v>
      </c>
      <c r="AO363" t="s">
        <v>60</v>
      </c>
      <c r="AP363">
        <v>2003</v>
      </c>
      <c r="AQ363" t="s">
        <v>72</v>
      </c>
      <c r="AR363" t="s">
        <v>335</v>
      </c>
      <c r="AS363" t="s">
        <v>307</v>
      </c>
      <c r="AT363" t="s">
        <v>238</v>
      </c>
      <c r="AU363" t="s">
        <v>311</v>
      </c>
      <c r="AV363">
        <v>7</v>
      </c>
    </row>
    <row r="364" spans="40:48" x14ac:dyDescent="0.25">
      <c r="AN364" t="s">
        <v>98</v>
      </c>
      <c r="AO364" t="s">
        <v>60</v>
      </c>
      <c r="AP364">
        <v>2003</v>
      </c>
      <c r="AQ364" t="s">
        <v>72</v>
      </c>
      <c r="AR364" t="s">
        <v>335</v>
      </c>
      <c r="AS364" t="s">
        <v>307</v>
      </c>
      <c r="AT364" t="s">
        <v>238</v>
      </c>
      <c r="AU364" t="s">
        <v>268</v>
      </c>
      <c r="AV364">
        <v>10.4</v>
      </c>
    </row>
    <row r="365" spans="40:48" x14ac:dyDescent="0.25">
      <c r="AN365" t="s">
        <v>98</v>
      </c>
      <c r="AO365" t="s">
        <v>60</v>
      </c>
      <c r="AP365">
        <v>2003</v>
      </c>
      <c r="AQ365" t="s">
        <v>72</v>
      </c>
      <c r="AR365" t="s">
        <v>335</v>
      </c>
      <c r="AS365" t="s">
        <v>307</v>
      </c>
      <c r="AT365" t="s">
        <v>239</v>
      </c>
      <c r="AU365" t="s">
        <v>310</v>
      </c>
      <c r="AV365">
        <v>2.9</v>
      </c>
    </row>
    <row r="366" spans="40:48" x14ac:dyDescent="0.25">
      <c r="AN366" t="s">
        <v>98</v>
      </c>
      <c r="AO366" t="s">
        <v>60</v>
      </c>
      <c r="AP366">
        <v>2003</v>
      </c>
      <c r="AQ366" t="s">
        <v>72</v>
      </c>
      <c r="AR366" t="s">
        <v>335</v>
      </c>
      <c r="AS366" t="s">
        <v>307</v>
      </c>
      <c r="AT366" t="s">
        <v>239</v>
      </c>
      <c r="AU366" t="s">
        <v>311</v>
      </c>
      <c r="AV366">
        <v>6.7</v>
      </c>
    </row>
    <row r="367" spans="40:48" x14ac:dyDescent="0.25">
      <c r="AN367" t="s">
        <v>98</v>
      </c>
      <c r="AO367" t="s">
        <v>60</v>
      </c>
      <c r="AP367">
        <v>2003</v>
      </c>
      <c r="AQ367" t="s">
        <v>72</v>
      </c>
      <c r="AR367" t="s">
        <v>335</v>
      </c>
      <c r="AS367" t="s">
        <v>307</v>
      </c>
      <c r="AT367" t="s">
        <v>239</v>
      </c>
      <c r="AU367" t="s">
        <v>268</v>
      </c>
      <c r="AV367">
        <v>9.6</v>
      </c>
    </row>
    <row r="368" spans="40:48" x14ac:dyDescent="0.25">
      <c r="AN368" t="s">
        <v>98</v>
      </c>
      <c r="AO368" t="s">
        <v>60</v>
      </c>
      <c r="AP368">
        <v>2003</v>
      </c>
      <c r="AQ368" t="s">
        <v>72</v>
      </c>
      <c r="AR368" t="s">
        <v>335</v>
      </c>
      <c r="AS368" t="s">
        <v>307</v>
      </c>
      <c r="AT368" t="s">
        <v>240</v>
      </c>
      <c r="AU368" t="s">
        <v>310</v>
      </c>
      <c r="AV368">
        <v>0</v>
      </c>
    </row>
    <row r="369" spans="40:48" x14ac:dyDescent="0.25">
      <c r="AN369" t="s">
        <v>98</v>
      </c>
      <c r="AO369" t="s">
        <v>60</v>
      </c>
      <c r="AP369">
        <v>2003</v>
      </c>
      <c r="AQ369" t="s">
        <v>72</v>
      </c>
      <c r="AR369" t="s">
        <v>335</v>
      </c>
      <c r="AS369" t="s">
        <v>307</v>
      </c>
      <c r="AT369" t="s">
        <v>240</v>
      </c>
      <c r="AU369" t="s">
        <v>311</v>
      </c>
      <c r="AV369">
        <v>0</v>
      </c>
    </row>
    <row r="370" spans="40:48" x14ac:dyDescent="0.25">
      <c r="AN370" t="s">
        <v>98</v>
      </c>
      <c r="AO370" t="s">
        <v>60</v>
      </c>
      <c r="AP370">
        <v>2003</v>
      </c>
      <c r="AQ370" t="s">
        <v>72</v>
      </c>
      <c r="AR370" t="s">
        <v>335</v>
      </c>
      <c r="AS370" t="s">
        <v>307</v>
      </c>
      <c r="AT370" t="s">
        <v>240</v>
      </c>
      <c r="AU370" t="s">
        <v>268</v>
      </c>
      <c r="AV370">
        <v>0</v>
      </c>
    </row>
    <row r="371" spans="40:48" x14ac:dyDescent="0.25">
      <c r="AN371" t="s">
        <v>98</v>
      </c>
      <c r="AO371" t="s">
        <v>60</v>
      </c>
      <c r="AP371">
        <v>2003</v>
      </c>
      <c r="AQ371" t="s">
        <v>72</v>
      </c>
      <c r="AR371" t="s">
        <v>335</v>
      </c>
      <c r="AS371" t="s">
        <v>307</v>
      </c>
      <c r="AT371" t="s">
        <v>316</v>
      </c>
      <c r="AU371" t="s">
        <v>310</v>
      </c>
      <c r="AV371">
        <v>2.4</v>
      </c>
    </row>
    <row r="372" spans="40:48" x14ac:dyDescent="0.25">
      <c r="AN372" t="s">
        <v>98</v>
      </c>
      <c r="AO372" t="s">
        <v>60</v>
      </c>
      <c r="AP372">
        <v>2003</v>
      </c>
      <c r="AQ372" t="s">
        <v>72</v>
      </c>
      <c r="AR372" t="s">
        <v>335</v>
      </c>
      <c r="AS372" t="s">
        <v>307</v>
      </c>
      <c r="AT372" t="s">
        <v>316</v>
      </c>
      <c r="AU372" t="s">
        <v>311</v>
      </c>
      <c r="AV372">
        <v>8.6</v>
      </c>
    </row>
    <row r="373" spans="40:48" x14ac:dyDescent="0.25">
      <c r="AN373" t="s">
        <v>98</v>
      </c>
      <c r="AO373" t="s">
        <v>60</v>
      </c>
      <c r="AP373">
        <v>2003</v>
      </c>
      <c r="AQ373" t="s">
        <v>72</v>
      </c>
      <c r="AR373" t="s">
        <v>335</v>
      </c>
      <c r="AS373" t="s">
        <v>307</v>
      </c>
      <c r="AT373" t="s">
        <v>316</v>
      </c>
      <c r="AU373" t="s">
        <v>268</v>
      </c>
      <c r="AV373">
        <v>11</v>
      </c>
    </row>
    <row r="374" spans="40:48" x14ac:dyDescent="0.25">
      <c r="AN374" t="s">
        <v>98</v>
      </c>
      <c r="AO374" t="s">
        <v>60</v>
      </c>
      <c r="AP374">
        <v>2003</v>
      </c>
      <c r="AQ374" t="s">
        <v>72</v>
      </c>
      <c r="AR374" t="s">
        <v>335</v>
      </c>
      <c r="AS374" t="s">
        <v>307</v>
      </c>
      <c r="AT374" t="s">
        <v>242</v>
      </c>
      <c r="AU374" t="s">
        <v>310</v>
      </c>
      <c r="AV374">
        <v>0</v>
      </c>
    </row>
    <row r="375" spans="40:48" x14ac:dyDescent="0.25">
      <c r="AN375" t="s">
        <v>98</v>
      </c>
      <c r="AO375" t="s">
        <v>60</v>
      </c>
      <c r="AP375">
        <v>2003</v>
      </c>
      <c r="AQ375" t="s">
        <v>72</v>
      </c>
      <c r="AR375" t="s">
        <v>335</v>
      </c>
      <c r="AS375" t="s">
        <v>307</v>
      </c>
      <c r="AT375" t="s">
        <v>242</v>
      </c>
      <c r="AU375" t="s">
        <v>311</v>
      </c>
      <c r="AV375">
        <v>0</v>
      </c>
    </row>
    <row r="376" spans="40:48" x14ac:dyDescent="0.25">
      <c r="AN376" t="s">
        <v>98</v>
      </c>
      <c r="AO376" t="s">
        <v>60</v>
      </c>
      <c r="AP376">
        <v>2003</v>
      </c>
      <c r="AQ376" t="s">
        <v>72</v>
      </c>
      <c r="AR376" t="s">
        <v>335</v>
      </c>
      <c r="AS376" t="s">
        <v>307</v>
      </c>
      <c r="AT376" t="s">
        <v>242</v>
      </c>
      <c r="AU376" t="s">
        <v>268</v>
      </c>
      <c r="AV376">
        <v>0</v>
      </c>
    </row>
    <row r="377" spans="40:48" x14ac:dyDescent="0.25">
      <c r="AN377" t="s">
        <v>98</v>
      </c>
      <c r="AO377" t="s">
        <v>60</v>
      </c>
      <c r="AP377">
        <v>2003</v>
      </c>
      <c r="AQ377" t="s">
        <v>72</v>
      </c>
      <c r="AR377" t="s">
        <v>335</v>
      </c>
      <c r="AS377" t="s">
        <v>307</v>
      </c>
      <c r="AT377" t="s">
        <v>243</v>
      </c>
      <c r="AU377" t="s">
        <v>337</v>
      </c>
      <c r="AV377">
        <v>0</v>
      </c>
    </row>
    <row r="378" spans="40:48" x14ac:dyDescent="0.25">
      <c r="AN378" t="s">
        <v>98</v>
      </c>
      <c r="AO378" t="s">
        <v>60</v>
      </c>
      <c r="AP378">
        <v>2003</v>
      </c>
      <c r="AQ378" t="s">
        <v>72</v>
      </c>
      <c r="AR378" t="s">
        <v>335</v>
      </c>
      <c r="AS378" t="s">
        <v>307</v>
      </c>
      <c r="AT378" t="s">
        <v>243</v>
      </c>
      <c r="AU378" t="s">
        <v>338</v>
      </c>
      <c r="AV378">
        <v>0</v>
      </c>
    </row>
    <row r="379" spans="40:48" x14ac:dyDescent="0.25">
      <c r="AN379" t="s">
        <v>98</v>
      </c>
      <c r="AO379" t="s">
        <v>60</v>
      </c>
      <c r="AP379">
        <v>2003</v>
      </c>
      <c r="AQ379" t="s">
        <v>72</v>
      </c>
      <c r="AR379" t="s">
        <v>335</v>
      </c>
      <c r="AS379" t="s">
        <v>307</v>
      </c>
      <c r="AT379" t="s">
        <v>243</v>
      </c>
      <c r="AU379" t="s">
        <v>339</v>
      </c>
      <c r="AV379">
        <v>31</v>
      </c>
    </row>
    <row r="380" spans="40:48" x14ac:dyDescent="0.25">
      <c r="AN380" t="s">
        <v>100</v>
      </c>
      <c r="AO380" t="s">
        <v>60</v>
      </c>
      <c r="AP380">
        <v>2004</v>
      </c>
      <c r="AQ380" t="s">
        <v>31</v>
      </c>
      <c r="AR380" t="s">
        <v>335</v>
      </c>
      <c r="AS380" t="s">
        <v>307</v>
      </c>
      <c r="AT380" t="s">
        <v>218</v>
      </c>
      <c r="AU380" t="s">
        <v>310</v>
      </c>
      <c r="AV380">
        <v>4.2</v>
      </c>
    </row>
    <row r="381" spans="40:48" x14ac:dyDescent="0.25">
      <c r="AN381" t="s">
        <v>100</v>
      </c>
      <c r="AO381" t="s">
        <v>60</v>
      </c>
      <c r="AP381">
        <v>2004</v>
      </c>
      <c r="AQ381" t="s">
        <v>31</v>
      </c>
      <c r="AR381" t="s">
        <v>335</v>
      </c>
      <c r="AS381" t="s">
        <v>307</v>
      </c>
      <c r="AT381" t="s">
        <v>218</v>
      </c>
      <c r="AU381" t="s">
        <v>311</v>
      </c>
      <c r="AV381">
        <v>7.3</v>
      </c>
    </row>
    <row r="382" spans="40:48" x14ac:dyDescent="0.25">
      <c r="AN382" t="s">
        <v>100</v>
      </c>
      <c r="AO382" t="s">
        <v>60</v>
      </c>
      <c r="AP382">
        <v>2004</v>
      </c>
      <c r="AQ382" t="s">
        <v>31</v>
      </c>
      <c r="AR382" t="s">
        <v>335</v>
      </c>
      <c r="AS382" t="s">
        <v>307</v>
      </c>
      <c r="AT382" t="s">
        <v>218</v>
      </c>
      <c r="AU382" t="s">
        <v>268</v>
      </c>
      <c r="AV382">
        <v>11.5</v>
      </c>
    </row>
    <row r="383" spans="40:48" x14ac:dyDescent="0.25">
      <c r="AN383" t="s">
        <v>100</v>
      </c>
      <c r="AO383" t="s">
        <v>60</v>
      </c>
      <c r="AP383">
        <v>2004</v>
      </c>
      <c r="AQ383" t="s">
        <v>31</v>
      </c>
      <c r="AR383" t="s">
        <v>335</v>
      </c>
      <c r="AS383" t="s">
        <v>307</v>
      </c>
      <c r="AT383" t="s">
        <v>238</v>
      </c>
      <c r="AU383" t="s">
        <v>310</v>
      </c>
      <c r="AV383">
        <v>0</v>
      </c>
    </row>
    <row r="384" spans="40:48" x14ac:dyDescent="0.25">
      <c r="AN384" t="s">
        <v>100</v>
      </c>
      <c r="AO384" t="s">
        <v>60</v>
      </c>
      <c r="AP384">
        <v>2004</v>
      </c>
      <c r="AQ384" t="s">
        <v>31</v>
      </c>
      <c r="AR384" t="s">
        <v>335</v>
      </c>
      <c r="AS384" t="s">
        <v>307</v>
      </c>
      <c r="AT384" t="s">
        <v>238</v>
      </c>
      <c r="AU384" t="s">
        <v>311</v>
      </c>
      <c r="AV384">
        <v>0</v>
      </c>
    </row>
    <row r="385" spans="40:48" x14ac:dyDescent="0.25">
      <c r="AN385" t="s">
        <v>100</v>
      </c>
      <c r="AO385" t="s">
        <v>60</v>
      </c>
      <c r="AP385">
        <v>2004</v>
      </c>
      <c r="AQ385" t="s">
        <v>31</v>
      </c>
      <c r="AR385" t="s">
        <v>335</v>
      </c>
      <c r="AS385" t="s">
        <v>307</v>
      </c>
      <c r="AT385" t="s">
        <v>238</v>
      </c>
      <c r="AU385" t="s">
        <v>268</v>
      </c>
      <c r="AV385">
        <v>0</v>
      </c>
    </row>
    <row r="386" spans="40:48" x14ac:dyDescent="0.25">
      <c r="AN386" t="s">
        <v>100</v>
      </c>
      <c r="AO386" t="s">
        <v>60</v>
      </c>
      <c r="AP386">
        <v>2004</v>
      </c>
      <c r="AQ386" t="s">
        <v>31</v>
      </c>
      <c r="AR386" t="s">
        <v>335</v>
      </c>
      <c r="AS386" t="s">
        <v>307</v>
      </c>
      <c r="AT386" t="s">
        <v>239</v>
      </c>
      <c r="AU386" t="s">
        <v>310</v>
      </c>
      <c r="AV386">
        <v>0</v>
      </c>
    </row>
    <row r="387" spans="40:48" x14ac:dyDescent="0.25">
      <c r="AN387" t="s">
        <v>100</v>
      </c>
      <c r="AO387" t="s">
        <v>60</v>
      </c>
      <c r="AP387">
        <v>2004</v>
      </c>
      <c r="AQ387" t="s">
        <v>31</v>
      </c>
      <c r="AR387" t="s">
        <v>335</v>
      </c>
      <c r="AS387" t="s">
        <v>307</v>
      </c>
      <c r="AT387" t="s">
        <v>239</v>
      </c>
      <c r="AU387" t="s">
        <v>311</v>
      </c>
      <c r="AV387">
        <v>0</v>
      </c>
    </row>
    <row r="388" spans="40:48" x14ac:dyDescent="0.25">
      <c r="AN388" t="s">
        <v>100</v>
      </c>
      <c r="AO388" t="s">
        <v>60</v>
      </c>
      <c r="AP388">
        <v>2004</v>
      </c>
      <c r="AQ388" t="s">
        <v>31</v>
      </c>
      <c r="AR388" t="s">
        <v>335</v>
      </c>
      <c r="AS388" t="s">
        <v>307</v>
      </c>
      <c r="AT388" t="s">
        <v>239</v>
      </c>
      <c r="AU388" t="s">
        <v>268</v>
      </c>
      <c r="AV388">
        <v>0</v>
      </c>
    </row>
    <row r="389" spans="40:48" x14ac:dyDescent="0.25">
      <c r="AN389" t="s">
        <v>100</v>
      </c>
      <c r="AO389" t="s">
        <v>60</v>
      </c>
      <c r="AP389">
        <v>2004</v>
      </c>
      <c r="AQ389" t="s">
        <v>31</v>
      </c>
      <c r="AR389" t="s">
        <v>335</v>
      </c>
      <c r="AS389" t="s">
        <v>307</v>
      </c>
      <c r="AT389" t="s">
        <v>240</v>
      </c>
      <c r="AU389" t="s">
        <v>310</v>
      </c>
      <c r="AV389">
        <v>0</v>
      </c>
    </row>
    <row r="390" spans="40:48" x14ac:dyDescent="0.25">
      <c r="AN390" t="s">
        <v>100</v>
      </c>
      <c r="AO390" t="s">
        <v>60</v>
      </c>
      <c r="AP390">
        <v>2004</v>
      </c>
      <c r="AQ390" t="s">
        <v>31</v>
      </c>
      <c r="AR390" t="s">
        <v>335</v>
      </c>
      <c r="AS390" t="s">
        <v>307</v>
      </c>
      <c r="AT390" t="s">
        <v>240</v>
      </c>
      <c r="AU390" t="s">
        <v>311</v>
      </c>
      <c r="AV390">
        <v>0</v>
      </c>
    </row>
    <row r="391" spans="40:48" x14ac:dyDescent="0.25">
      <c r="AN391" t="s">
        <v>100</v>
      </c>
      <c r="AO391" t="s">
        <v>60</v>
      </c>
      <c r="AP391">
        <v>2004</v>
      </c>
      <c r="AQ391" t="s">
        <v>31</v>
      </c>
      <c r="AR391" t="s">
        <v>335</v>
      </c>
      <c r="AS391" t="s">
        <v>307</v>
      </c>
      <c r="AT391" t="s">
        <v>240</v>
      </c>
      <c r="AU391" t="s">
        <v>268</v>
      </c>
      <c r="AV391">
        <v>0</v>
      </c>
    </row>
    <row r="392" spans="40:48" x14ac:dyDescent="0.25">
      <c r="AN392" t="s">
        <v>100</v>
      </c>
      <c r="AO392" t="s">
        <v>60</v>
      </c>
      <c r="AP392">
        <v>2004</v>
      </c>
      <c r="AQ392" t="s">
        <v>31</v>
      </c>
      <c r="AR392" t="s">
        <v>335</v>
      </c>
      <c r="AS392" t="s">
        <v>307</v>
      </c>
      <c r="AT392" t="s">
        <v>316</v>
      </c>
      <c r="AU392" t="s">
        <v>310</v>
      </c>
      <c r="AV392">
        <v>2.4</v>
      </c>
    </row>
    <row r="393" spans="40:48" x14ac:dyDescent="0.25">
      <c r="AN393" t="s">
        <v>100</v>
      </c>
      <c r="AO393" t="s">
        <v>60</v>
      </c>
      <c r="AP393">
        <v>2004</v>
      </c>
      <c r="AQ393" t="s">
        <v>31</v>
      </c>
      <c r="AR393" t="s">
        <v>335</v>
      </c>
      <c r="AS393" t="s">
        <v>307</v>
      </c>
      <c r="AT393" t="s">
        <v>316</v>
      </c>
      <c r="AU393" t="s">
        <v>311</v>
      </c>
      <c r="AV393">
        <v>8.0500000000000007</v>
      </c>
    </row>
    <row r="394" spans="40:48" x14ac:dyDescent="0.25">
      <c r="AN394" t="s">
        <v>100</v>
      </c>
      <c r="AO394" t="s">
        <v>60</v>
      </c>
      <c r="AP394">
        <v>2004</v>
      </c>
      <c r="AQ394" t="s">
        <v>31</v>
      </c>
      <c r="AR394" t="s">
        <v>335</v>
      </c>
      <c r="AS394" t="s">
        <v>307</v>
      </c>
      <c r="AT394" t="s">
        <v>316</v>
      </c>
      <c r="AU394" t="s">
        <v>268</v>
      </c>
      <c r="AV394">
        <v>10.45</v>
      </c>
    </row>
    <row r="395" spans="40:48" x14ac:dyDescent="0.25">
      <c r="AN395" t="s">
        <v>100</v>
      </c>
      <c r="AO395" t="s">
        <v>60</v>
      </c>
      <c r="AP395">
        <v>2004</v>
      </c>
      <c r="AQ395" t="s">
        <v>31</v>
      </c>
      <c r="AR395" t="s">
        <v>335</v>
      </c>
      <c r="AS395" t="s">
        <v>307</v>
      </c>
      <c r="AT395" t="s">
        <v>242</v>
      </c>
      <c r="AU395" t="s">
        <v>310</v>
      </c>
      <c r="AV395">
        <v>2</v>
      </c>
    </row>
    <row r="396" spans="40:48" x14ac:dyDescent="0.25">
      <c r="AN396" t="s">
        <v>100</v>
      </c>
      <c r="AO396" t="s">
        <v>60</v>
      </c>
      <c r="AP396">
        <v>2004</v>
      </c>
      <c r="AQ396" t="s">
        <v>31</v>
      </c>
      <c r="AR396" t="s">
        <v>335</v>
      </c>
      <c r="AS396" t="s">
        <v>307</v>
      </c>
      <c r="AT396" t="s">
        <v>242</v>
      </c>
      <c r="AU396" t="s">
        <v>311</v>
      </c>
      <c r="AV396">
        <v>5.2</v>
      </c>
    </row>
    <row r="397" spans="40:48" x14ac:dyDescent="0.25">
      <c r="AN397" t="s">
        <v>100</v>
      </c>
      <c r="AO397" t="s">
        <v>60</v>
      </c>
      <c r="AP397">
        <v>2004</v>
      </c>
      <c r="AQ397" t="s">
        <v>31</v>
      </c>
      <c r="AR397" t="s">
        <v>335</v>
      </c>
      <c r="AS397" t="s">
        <v>307</v>
      </c>
      <c r="AT397" t="s">
        <v>242</v>
      </c>
      <c r="AU397" t="s">
        <v>268</v>
      </c>
      <c r="AV397">
        <v>7.2</v>
      </c>
    </row>
    <row r="398" spans="40:48" x14ac:dyDescent="0.25">
      <c r="AN398" t="s">
        <v>100</v>
      </c>
      <c r="AO398" t="s">
        <v>60</v>
      </c>
      <c r="AP398">
        <v>2004</v>
      </c>
      <c r="AQ398" t="s">
        <v>31</v>
      </c>
      <c r="AR398" t="s">
        <v>335</v>
      </c>
      <c r="AS398" t="s">
        <v>307</v>
      </c>
      <c r="AT398" t="s">
        <v>243</v>
      </c>
      <c r="AU398" t="s">
        <v>337</v>
      </c>
      <c r="AV398">
        <v>0</v>
      </c>
    </row>
    <row r="399" spans="40:48" x14ac:dyDescent="0.25">
      <c r="AN399" t="s">
        <v>100</v>
      </c>
      <c r="AO399" t="s">
        <v>60</v>
      </c>
      <c r="AP399">
        <v>2004</v>
      </c>
      <c r="AQ399" t="s">
        <v>31</v>
      </c>
      <c r="AR399" t="s">
        <v>335</v>
      </c>
      <c r="AS399" t="s">
        <v>307</v>
      </c>
      <c r="AT399" t="s">
        <v>243</v>
      </c>
      <c r="AU399" t="s">
        <v>338</v>
      </c>
      <c r="AV399">
        <v>0</v>
      </c>
    </row>
    <row r="400" spans="40:48" x14ac:dyDescent="0.25">
      <c r="AN400" t="s">
        <v>100</v>
      </c>
      <c r="AO400" t="s">
        <v>60</v>
      </c>
      <c r="AP400">
        <v>2004</v>
      </c>
      <c r="AQ400" t="s">
        <v>31</v>
      </c>
      <c r="AR400" t="s">
        <v>335</v>
      </c>
      <c r="AS400" t="s">
        <v>307</v>
      </c>
      <c r="AT400" t="s">
        <v>243</v>
      </c>
      <c r="AU400" t="s">
        <v>339</v>
      </c>
      <c r="AV400">
        <v>29.15</v>
      </c>
    </row>
    <row r="401" spans="40:48" x14ac:dyDescent="0.25">
      <c r="AN401" t="s">
        <v>102</v>
      </c>
      <c r="AO401" t="s">
        <v>60</v>
      </c>
      <c r="AP401">
        <v>2003</v>
      </c>
      <c r="AQ401" t="s">
        <v>31</v>
      </c>
      <c r="AR401" t="s">
        <v>335</v>
      </c>
      <c r="AS401" t="s">
        <v>307</v>
      </c>
      <c r="AT401" t="s">
        <v>218</v>
      </c>
      <c r="AU401" t="s">
        <v>310</v>
      </c>
      <c r="AV401">
        <v>0</v>
      </c>
    </row>
    <row r="402" spans="40:48" x14ac:dyDescent="0.25">
      <c r="AN402" t="s">
        <v>102</v>
      </c>
      <c r="AO402" t="s">
        <v>60</v>
      </c>
      <c r="AP402">
        <v>2003</v>
      </c>
      <c r="AQ402" t="s">
        <v>31</v>
      </c>
      <c r="AR402" t="s">
        <v>335</v>
      </c>
      <c r="AS402" t="s">
        <v>307</v>
      </c>
      <c r="AT402" t="s">
        <v>218</v>
      </c>
      <c r="AU402" t="s">
        <v>311</v>
      </c>
      <c r="AV402">
        <v>0</v>
      </c>
    </row>
    <row r="403" spans="40:48" x14ac:dyDescent="0.25">
      <c r="AN403" t="s">
        <v>102</v>
      </c>
      <c r="AO403" t="s">
        <v>60</v>
      </c>
      <c r="AP403">
        <v>2003</v>
      </c>
      <c r="AQ403" t="s">
        <v>31</v>
      </c>
      <c r="AR403" t="s">
        <v>335</v>
      </c>
      <c r="AS403" t="s">
        <v>307</v>
      </c>
      <c r="AT403" t="s">
        <v>218</v>
      </c>
      <c r="AU403" t="s">
        <v>268</v>
      </c>
      <c r="AV403">
        <v>0</v>
      </c>
    </row>
    <row r="404" spans="40:48" x14ac:dyDescent="0.25">
      <c r="AN404" t="s">
        <v>102</v>
      </c>
      <c r="AO404" t="s">
        <v>60</v>
      </c>
      <c r="AP404">
        <v>2003</v>
      </c>
      <c r="AQ404" t="s">
        <v>31</v>
      </c>
      <c r="AR404" t="s">
        <v>335</v>
      </c>
      <c r="AS404" t="s">
        <v>307</v>
      </c>
      <c r="AT404" t="s">
        <v>238</v>
      </c>
      <c r="AU404" t="s">
        <v>310</v>
      </c>
      <c r="AV404">
        <v>0</v>
      </c>
    </row>
    <row r="405" spans="40:48" x14ac:dyDescent="0.25">
      <c r="AN405" t="s">
        <v>102</v>
      </c>
      <c r="AO405" t="s">
        <v>60</v>
      </c>
      <c r="AP405">
        <v>2003</v>
      </c>
      <c r="AQ405" t="s">
        <v>31</v>
      </c>
      <c r="AR405" t="s">
        <v>335</v>
      </c>
      <c r="AS405" t="s">
        <v>307</v>
      </c>
      <c r="AT405" t="s">
        <v>238</v>
      </c>
      <c r="AU405" t="s">
        <v>311</v>
      </c>
      <c r="AV405">
        <v>0</v>
      </c>
    </row>
    <row r="406" spans="40:48" x14ac:dyDescent="0.25">
      <c r="AN406" t="s">
        <v>102</v>
      </c>
      <c r="AO406" t="s">
        <v>60</v>
      </c>
      <c r="AP406">
        <v>2003</v>
      </c>
      <c r="AQ406" t="s">
        <v>31</v>
      </c>
      <c r="AR406" t="s">
        <v>335</v>
      </c>
      <c r="AS406" t="s">
        <v>307</v>
      </c>
      <c r="AT406" t="s">
        <v>238</v>
      </c>
      <c r="AU406" t="s">
        <v>268</v>
      </c>
      <c r="AV406">
        <v>0</v>
      </c>
    </row>
    <row r="407" spans="40:48" x14ac:dyDescent="0.25">
      <c r="AN407" t="s">
        <v>102</v>
      </c>
      <c r="AO407" t="s">
        <v>60</v>
      </c>
      <c r="AP407">
        <v>2003</v>
      </c>
      <c r="AQ407" t="s">
        <v>31</v>
      </c>
      <c r="AR407" t="s">
        <v>335</v>
      </c>
      <c r="AS407" t="s">
        <v>307</v>
      </c>
      <c r="AT407" t="s">
        <v>239</v>
      </c>
      <c r="AU407" t="s">
        <v>310</v>
      </c>
      <c r="AV407">
        <v>3.2</v>
      </c>
    </row>
    <row r="408" spans="40:48" x14ac:dyDescent="0.25">
      <c r="AN408" t="s">
        <v>102</v>
      </c>
      <c r="AO408" t="s">
        <v>60</v>
      </c>
      <c r="AP408">
        <v>2003</v>
      </c>
      <c r="AQ408" t="s">
        <v>31</v>
      </c>
      <c r="AR408" t="s">
        <v>335</v>
      </c>
      <c r="AS408" t="s">
        <v>307</v>
      </c>
      <c r="AT408" t="s">
        <v>239</v>
      </c>
      <c r="AU408" t="s">
        <v>311</v>
      </c>
      <c r="AV408">
        <v>6.9</v>
      </c>
    </row>
    <row r="409" spans="40:48" x14ac:dyDescent="0.25">
      <c r="AN409" t="s">
        <v>102</v>
      </c>
      <c r="AO409" t="s">
        <v>60</v>
      </c>
      <c r="AP409">
        <v>2003</v>
      </c>
      <c r="AQ409" t="s">
        <v>31</v>
      </c>
      <c r="AR409" t="s">
        <v>335</v>
      </c>
      <c r="AS409" t="s">
        <v>307</v>
      </c>
      <c r="AT409" t="s">
        <v>239</v>
      </c>
      <c r="AU409" t="s">
        <v>268</v>
      </c>
      <c r="AV409">
        <v>10.1</v>
      </c>
    </row>
    <row r="410" spans="40:48" x14ac:dyDescent="0.25">
      <c r="AN410" t="s">
        <v>102</v>
      </c>
      <c r="AO410" t="s">
        <v>60</v>
      </c>
      <c r="AP410">
        <v>2003</v>
      </c>
      <c r="AQ410" t="s">
        <v>31</v>
      </c>
      <c r="AR410" t="s">
        <v>335</v>
      </c>
      <c r="AS410" t="s">
        <v>307</v>
      </c>
      <c r="AT410" t="s">
        <v>240</v>
      </c>
      <c r="AU410" t="s">
        <v>310</v>
      </c>
      <c r="AV410">
        <v>4</v>
      </c>
    </row>
    <row r="411" spans="40:48" x14ac:dyDescent="0.25">
      <c r="AN411" t="s">
        <v>102</v>
      </c>
      <c r="AO411" t="s">
        <v>60</v>
      </c>
      <c r="AP411">
        <v>2003</v>
      </c>
      <c r="AQ411" t="s">
        <v>31</v>
      </c>
      <c r="AR411" t="s">
        <v>335</v>
      </c>
      <c r="AS411" t="s">
        <v>307</v>
      </c>
      <c r="AT411" t="s">
        <v>240</v>
      </c>
      <c r="AU411" t="s">
        <v>311</v>
      </c>
      <c r="AV411">
        <v>8.85</v>
      </c>
    </row>
    <row r="412" spans="40:48" x14ac:dyDescent="0.25">
      <c r="AN412" t="s">
        <v>102</v>
      </c>
      <c r="AO412" t="s">
        <v>60</v>
      </c>
      <c r="AP412">
        <v>2003</v>
      </c>
      <c r="AQ412" t="s">
        <v>31</v>
      </c>
      <c r="AR412" t="s">
        <v>335</v>
      </c>
      <c r="AS412" t="s">
        <v>307</v>
      </c>
      <c r="AT412" t="s">
        <v>240</v>
      </c>
      <c r="AU412" t="s">
        <v>268</v>
      </c>
      <c r="AV412">
        <v>12.85</v>
      </c>
    </row>
    <row r="413" spans="40:48" x14ac:dyDescent="0.25">
      <c r="AN413" t="s">
        <v>102</v>
      </c>
      <c r="AO413" t="s">
        <v>60</v>
      </c>
      <c r="AP413">
        <v>2003</v>
      </c>
      <c r="AQ413" t="s">
        <v>31</v>
      </c>
      <c r="AR413" t="s">
        <v>335</v>
      </c>
      <c r="AS413" t="s">
        <v>307</v>
      </c>
      <c r="AT413" t="s">
        <v>316</v>
      </c>
      <c r="AU413" t="s">
        <v>310</v>
      </c>
      <c r="AV413">
        <v>0</v>
      </c>
    </row>
    <row r="414" spans="40:48" x14ac:dyDescent="0.25">
      <c r="AN414" t="s">
        <v>102</v>
      </c>
      <c r="AO414" t="s">
        <v>60</v>
      </c>
      <c r="AP414">
        <v>2003</v>
      </c>
      <c r="AQ414" t="s">
        <v>31</v>
      </c>
      <c r="AR414" t="s">
        <v>335</v>
      </c>
      <c r="AS414" t="s">
        <v>307</v>
      </c>
      <c r="AT414" t="s">
        <v>316</v>
      </c>
      <c r="AU414" t="s">
        <v>311</v>
      </c>
      <c r="AV414">
        <v>0</v>
      </c>
    </row>
    <row r="415" spans="40:48" x14ac:dyDescent="0.25">
      <c r="AN415" t="s">
        <v>102</v>
      </c>
      <c r="AO415" t="s">
        <v>60</v>
      </c>
      <c r="AP415">
        <v>2003</v>
      </c>
      <c r="AQ415" t="s">
        <v>31</v>
      </c>
      <c r="AR415" t="s">
        <v>335</v>
      </c>
      <c r="AS415" t="s">
        <v>307</v>
      </c>
      <c r="AT415" t="s">
        <v>316</v>
      </c>
      <c r="AU415" t="s">
        <v>268</v>
      </c>
      <c r="AV415">
        <v>0</v>
      </c>
    </row>
    <row r="416" spans="40:48" x14ac:dyDescent="0.25">
      <c r="AN416" t="s">
        <v>102</v>
      </c>
      <c r="AO416" t="s">
        <v>60</v>
      </c>
      <c r="AP416">
        <v>2003</v>
      </c>
      <c r="AQ416" t="s">
        <v>31</v>
      </c>
      <c r="AR416" t="s">
        <v>335</v>
      </c>
      <c r="AS416" t="s">
        <v>307</v>
      </c>
      <c r="AT416" t="s">
        <v>242</v>
      </c>
      <c r="AU416" t="s">
        <v>310</v>
      </c>
      <c r="AV416">
        <v>0</v>
      </c>
    </row>
    <row r="417" spans="40:48" x14ac:dyDescent="0.25">
      <c r="AN417" t="s">
        <v>102</v>
      </c>
      <c r="AO417" t="s">
        <v>60</v>
      </c>
      <c r="AP417">
        <v>2003</v>
      </c>
      <c r="AQ417" t="s">
        <v>31</v>
      </c>
      <c r="AR417" t="s">
        <v>335</v>
      </c>
      <c r="AS417" t="s">
        <v>307</v>
      </c>
      <c r="AT417" t="s">
        <v>242</v>
      </c>
      <c r="AU417" t="s">
        <v>311</v>
      </c>
      <c r="AV417">
        <v>0</v>
      </c>
    </row>
    <row r="418" spans="40:48" x14ac:dyDescent="0.25">
      <c r="AN418" t="s">
        <v>102</v>
      </c>
      <c r="AO418" t="s">
        <v>60</v>
      </c>
      <c r="AP418">
        <v>2003</v>
      </c>
      <c r="AQ418" t="s">
        <v>31</v>
      </c>
      <c r="AR418" t="s">
        <v>335</v>
      </c>
      <c r="AS418" t="s">
        <v>307</v>
      </c>
      <c r="AT418" t="s">
        <v>242</v>
      </c>
      <c r="AU418" t="s">
        <v>268</v>
      </c>
      <c r="AV418">
        <v>0</v>
      </c>
    </row>
    <row r="419" spans="40:48" x14ac:dyDescent="0.25">
      <c r="AN419" t="s">
        <v>102</v>
      </c>
      <c r="AO419" t="s">
        <v>60</v>
      </c>
      <c r="AP419">
        <v>2003</v>
      </c>
      <c r="AQ419" t="s">
        <v>31</v>
      </c>
      <c r="AR419" t="s">
        <v>335</v>
      </c>
      <c r="AS419" t="s">
        <v>307</v>
      </c>
      <c r="AT419" t="s">
        <v>243</v>
      </c>
      <c r="AU419" t="s">
        <v>337</v>
      </c>
      <c r="AV419">
        <v>0</v>
      </c>
    </row>
    <row r="420" spans="40:48" x14ac:dyDescent="0.25">
      <c r="AN420" t="s">
        <v>102</v>
      </c>
      <c r="AO420" t="s">
        <v>60</v>
      </c>
      <c r="AP420">
        <v>2003</v>
      </c>
      <c r="AQ420" t="s">
        <v>31</v>
      </c>
      <c r="AR420" t="s">
        <v>335</v>
      </c>
      <c r="AS420" t="s">
        <v>307</v>
      </c>
      <c r="AT420" t="s">
        <v>243</v>
      </c>
      <c r="AU420" t="s">
        <v>338</v>
      </c>
      <c r="AV420">
        <v>0</v>
      </c>
    </row>
    <row r="421" spans="40:48" x14ac:dyDescent="0.25">
      <c r="AN421" t="s">
        <v>102</v>
      </c>
      <c r="AO421" t="s">
        <v>60</v>
      </c>
      <c r="AP421">
        <v>2003</v>
      </c>
      <c r="AQ421" t="s">
        <v>31</v>
      </c>
      <c r="AR421" t="s">
        <v>335</v>
      </c>
      <c r="AS421" t="s">
        <v>307</v>
      </c>
      <c r="AT421" t="s">
        <v>243</v>
      </c>
      <c r="AU421" t="s">
        <v>339</v>
      </c>
      <c r="AV421">
        <v>22.95</v>
      </c>
    </row>
    <row r="422" spans="40:48" x14ac:dyDescent="0.25">
      <c r="AN422" t="s">
        <v>104</v>
      </c>
      <c r="AO422" t="s">
        <v>60</v>
      </c>
      <c r="AP422">
        <v>2004</v>
      </c>
      <c r="AQ422" t="s">
        <v>28</v>
      </c>
      <c r="AR422" t="s">
        <v>335</v>
      </c>
      <c r="AS422" t="s">
        <v>307</v>
      </c>
      <c r="AT422" t="s">
        <v>218</v>
      </c>
      <c r="AU422" t="s">
        <v>310</v>
      </c>
      <c r="AV422">
        <v>4.5</v>
      </c>
    </row>
    <row r="423" spans="40:48" x14ac:dyDescent="0.25">
      <c r="AN423" t="s">
        <v>104</v>
      </c>
      <c r="AO423" t="s">
        <v>60</v>
      </c>
      <c r="AP423">
        <v>2004</v>
      </c>
      <c r="AQ423" t="s">
        <v>28</v>
      </c>
      <c r="AR423" t="s">
        <v>335</v>
      </c>
      <c r="AS423" t="s">
        <v>307</v>
      </c>
      <c r="AT423" t="s">
        <v>218</v>
      </c>
      <c r="AU423" t="s">
        <v>311</v>
      </c>
      <c r="AV423">
        <v>6.2</v>
      </c>
    </row>
    <row r="424" spans="40:48" x14ac:dyDescent="0.25">
      <c r="AN424" t="s">
        <v>104</v>
      </c>
      <c r="AO424" t="s">
        <v>60</v>
      </c>
      <c r="AP424">
        <v>2004</v>
      </c>
      <c r="AQ424" t="s">
        <v>28</v>
      </c>
      <c r="AR424" t="s">
        <v>335</v>
      </c>
      <c r="AS424" t="s">
        <v>307</v>
      </c>
      <c r="AT424" t="s">
        <v>218</v>
      </c>
      <c r="AU424" t="s">
        <v>268</v>
      </c>
      <c r="AV424">
        <v>10.7</v>
      </c>
    </row>
    <row r="425" spans="40:48" x14ac:dyDescent="0.25">
      <c r="AN425" t="s">
        <v>104</v>
      </c>
      <c r="AO425" t="s">
        <v>60</v>
      </c>
      <c r="AP425">
        <v>2004</v>
      </c>
      <c r="AQ425" t="s">
        <v>28</v>
      </c>
      <c r="AR425" t="s">
        <v>335</v>
      </c>
      <c r="AS425" t="s">
        <v>307</v>
      </c>
      <c r="AT425" t="s">
        <v>238</v>
      </c>
      <c r="AU425" t="s">
        <v>310</v>
      </c>
      <c r="AV425">
        <v>0</v>
      </c>
    </row>
    <row r="426" spans="40:48" x14ac:dyDescent="0.25">
      <c r="AN426" t="s">
        <v>104</v>
      </c>
      <c r="AO426" t="s">
        <v>60</v>
      </c>
      <c r="AP426">
        <v>2004</v>
      </c>
      <c r="AQ426" t="s">
        <v>28</v>
      </c>
      <c r="AR426" t="s">
        <v>335</v>
      </c>
      <c r="AS426" t="s">
        <v>307</v>
      </c>
      <c r="AT426" t="s">
        <v>238</v>
      </c>
      <c r="AU426" t="s">
        <v>311</v>
      </c>
      <c r="AV426">
        <v>0</v>
      </c>
    </row>
    <row r="427" spans="40:48" x14ac:dyDescent="0.25">
      <c r="AN427" t="s">
        <v>104</v>
      </c>
      <c r="AO427" t="s">
        <v>60</v>
      </c>
      <c r="AP427">
        <v>2004</v>
      </c>
      <c r="AQ427" t="s">
        <v>28</v>
      </c>
      <c r="AR427" t="s">
        <v>335</v>
      </c>
      <c r="AS427" t="s">
        <v>307</v>
      </c>
      <c r="AT427" t="s">
        <v>238</v>
      </c>
      <c r="AU427" t="s">
        <v>268</v>
      </c>
      <c r="AV427">
        <v>0</v>
      </c>
    </row>
    <row r="428" spans="40:48" x14ac:dyDescent="0.25">
      <c r="AN428" t="s">
        <v>104</v>
      </c>
      <c r="AO428" t="s">
        <v>60</v>
      </c>
      <c r="AP428">
        <v>2004</v>
      </c>
      <c r="AQ428" t="s">
        <v>28</v>
      </c>
      <c r="AR428" t="s">
        <v>335</v>
      </c>
      <c r="AS428" t="s">
        <v>307</v>
      </c>
      <c r="AT428" t="s">
        <v>239</v>
      </c>
      <c r="AU428" t="s">
        <v>310</v>
      </c>
      <c r="AV428">
        <v>0</v>
      </c>
    </row>
    <row r="429" spans="40:48" x14ac:dyDescent="0.25">
      <c r="AN429" t="s">
        <v>104</v>
      </c>
      <c r="AO429" t="s">
        <v>60</v>
      </c>
      <c r="AP429">
        <v>2004</v>
      </c>
      <c r="AQ429" t="s">
        <v>28</v>
      </c>
      <c r="AR429" t="s">
        <v>335</v>
      </c>
      <c r="AS429" t="s">
        <v>307</v>
      </c>
      <c r="AT429" t="s">
        <v>239</v>
      </c>
      <c r="AU429" t="s">
        <v>311</v>
      </c>
      <c r="AV429">
        <v>0</v>
      </c>
    </row>
    <row r="430" spans="40:48" x14ac:dyDescent="0.25">
      <c r="AN430" t="s">
        <v>104</v>
      </c>
      <c r="AO430" t="s">
        <v>60</v>
      </c>
      <c r="AP430">
        <v>2004</v>
      </c>
      <c r="AQ430" t="s">
        <v>28</v>
      </c>
      <c r="AR430" t="s">
        <v>335</v>
      </c>
      <c r="AS430" t="s">
        <v>307</v>
      </c>
      <c r="AT430" t="s">
        <v>239</v>
      </c>
      <c r="AU430" t="s">
        <v>268</v>
      </c>
      <c r="AV430">
        <v>0</v>
      </c>
    </row>
    <row r="431" spans="40:48" x14ac:dyDescent="0.25">
      <c r="AN431" t="s">
        <v>104</v>
      </c>
      <c r="AO431" t="s">
        <v>60</v>
      </c>
      <c r="AP431">
        <v>2004</v>
      </c>
      <c r="AQ431" t="s">
        <v>28</v>
      </c>
      <c r="AR431" t="s">
        <v>335</v>
      </c>
      <c r="AS431" t="s">
        <v>307</v>
      </c>
      <c r="AT431" t="s">
        <v>240</v>
      </c>
      <c r="AU431" t="s">
        <v>310</v>
      </c>
      <c r="AV431">
        <v>3.2</v>
      </c>
    </row>
    <row r="432" spans="40:48" x14ac:dyDescent="0.25">
      <c r="AN432" t="s">
        <v>104</v>
      </c>
      <c r="AO432" t="s">
        <v>60</v>
      </c>
      <c r="AP432">
        <v>2004</v>
      </c>
      <c r="AQ432" t="s">
        <v>28</v>
      </c>
      <c r="AR432" t="s">
        <v>335</v>
      </c>
      <c r="AS432" t="s">
        <v>307</v>
      </c>
      <c r="AT432" t="s">
        <v>240</v>
      </c>
      <c r="AU432" t="s">
        <v>311</v>
      </c>
      <c r="AV432">
        <v>8.8000000000000007</v>
      </c>
    </row>
    <row r="433" spans="40:48" x14ac:dyDescent="0.25">
      <c r="AN433" t="s">
        <v>104</v>
      </c>
      <c r="AO433" t="s">
        <v>60</v>
      </c>
      <c r="AP433">
        <v>2004</v>
      </c>
      <c r="AQ433" t="s">
        <v>28</v>
      </c>
      <c r="AR433" t="s">
        <v>335</v>
      </c>
      <c r="AS433" t="s">
        <v>307</v>
      </c>
      <c r="AT433" t="s">
        <v>240</v>
      </c>
      <c r="AU433" t="s">
        <v>268</v>
      </c>
      <c r="AV433">
        <v>12</v>
      </c>
    </row>
    <row r="434" spans="40:48" x14ac:dyDescent="0.25">
      <c r="AN434" t="s">
        <v>104</v>
      </c>
      <c r="AO434" t="s">
        <v>60</v>
      </c>
      <c r="AP434">
        <v>2004</v>
      </c>
      <c r="AQ434" t="s">
        <v>28</v>
      </c>
      <c r="AR434" t="s">
        <v>335</v>
      </c>
      <c r="AS434" t="s">
        <v>307</v>
      </c>
      <c r="AT434" t="s">
        <v>316</v>
      </c>
      <c r="AU434" t="s">
        <v>310</v>
      </c>
      <c r="AV434">
        <v>0</v>
      </c>
    </row>
    <row r="435" spans="40:48" x14ac:dyDescent="0.25">
      <c r="AN435" t="s">
        <v>104</v>
      </c>
      <c r="AO435" t="s">
        <v>60</v>
      </c>
      <c r="AP435">
        <v>2004</v>
      </c>
      <c r="AQ435" t="s">
        <v>28</v>
      </c>
      <c r="AR435" t="s">
        <v>335</v>
      </c>
      <c r="AS435" t="s">
        <v>307</v>
      </c>
      <c r="AT435" t="s">
        <v>316</v>
      </c>
      <c r="AU435" t="s">
        <v>311</v>
      </c>
      <c r="AV435">
        <v>0</v>
      </c>
    </row>
    <row r="436" spans="40:48" x14ac:dyDescent="0.25">
      <c r="AN436" t="s">
        <v>104</v>
      </c>
      <c r="AO436" t="s">
        <v>60</v>
      </c>
      <c r="AP436">
        <v>2004</v>
      </c>
      <c r="AQ436" t="s">
        <v>28</v>
      </c>
      <c r="AR436" t="s">
        <v>335</v>
      </c>
      <c r="AS436" t="s">
        <v>307</v>
      </c>
      <c r="AT436" t="s">
        <v>316</v>
      </c>
      <c r="AU436" t="s">
        <v>268</v>
      </c>
      <c r="AV436">
        <v>0</v>
      </c>
    </row>
    <row r="437" spans="40:48" x14ac:dyDescent="0.25">
      <c r="AN437" t="s">
        <v>104</v>
      </c>
      <c r="AO437" t="s">
        <v>60</v>
      </c>
      <c r="AP437">
        <v>2004</v>
      </c>
      <c r="AQ437" t="s">
        <v>28</v>
      </c>
      <c r="AR437" t="s">
        <v>335</v>
      </c>
      <c r="AS437" t="s">
        <v>307</v>
      </c>
      <c r="AT437" t="s">
        <v>242</v>
      </c>
      <c r="AU437" t="s">
        <v>310</v>
      </c>
      <c r="AV437">
        <v>0</v>
      </c>
    </row>
    <row r="438" spans="40:48" x14ac:dyDescent="0.25">
      <c r="AN438" t="s">
        <v>104</v>
      </c>
      <c r="AO438" t="s">
        <v>60</v>
      </c>
      <c r="AP438">
        <v>2004</v>
      </c>
      <c r="AQ438" t="s">
        <v>28</v>
      </c>
      <c r="AR438" t="s">
        <v>335</v>
      </c>
      <c r="AS438" t="s">
        <v>307</v>
      </c>
      <c r="AT438" t="s">
        <v>242</v>
      </c>
      <c r="AU438" t="s">
        <v>311</v>
      </c>
      <c r="AV438">
        <v>0</v>
      </c>
    </row>
    <row r="439" spans="40:48" x14ac:dyDescent="0.25">
      <c r="AN439" t="s">
        <v>104</v>
      </c>
      <c r="AO439" t="s">
        <v>60</v>
      </c>
      <c r="AP439">
        <v>2004</v>
      </c>
      <c r="AQ439" t="s">
        <v>28</v>
      </c>
      <c r="AR439" t="s">
        <v>335</v>
      </c>
      <c r="AS439" t="s">
        <v>307</v>
      </c>
      <c r="AT439" t="s">
        <v>242</v>
      </c>
      <c r="AU439" t="s">
        <v>268</v>
      </c>
      <c r="AV439">
        <v>0</v>
      </c>
    </row>
    <row r="440" spans="40:48" x14ac:dyDescent="0.25">
      <c r="AN440" t="s">
        <v>104</v>
      </c>
      <c r="AO440" t="s">
        <v>60</v>
      </c>
      <c r="AP440">
        <v>2004</v>
      </c>
      <c r="AQ440" t="s">
        <v>28</v>
      </c>
      <c r="AR440" t="s">
        <v>335</v>
      </c>
      <c r="AS440" t="s">
        <v>307</v>
      </c>
      <c r="AT440" t="s">
        <v>243</v>
      </c>
      <c r="AU440" t="s">
        <v>337</v>
      </c>
      <c r="AV440">
        <v>0</v>
      </c>
    </row>
    <row r="441" spans="40:48" x14ac:dyDescent="0.25">
      <c r="AN441" t="s">
        <v>104</v>
      </c>
      <c r="AO441" t="s">
        <v>60</v>
      </c>
      <c r="AP441">
        <v>2004</v>
      </c>
      <c r="AQ441" t="s">
        <v>28</v>
      </c>
      <c r="AR441" t="s">
        <v>335</v>
      </c>
      <c r="AS441" t="s">
        <v>307</v>
      </c>
      <c r="AT441" t="s">
        <v>243</v>
      </c>
      <c r="AU441" t="s">
        <v>338</v>
      </c>
      <c r="AV441">
        <v>0</v>
      </c>
    </row>
    <row r="442" spans="40:48" x14ac:dyDescent="0.25">
      <c r="AN442" t="s">
        <v>104</v>
      </c>
      <c r="AO442" t="s">
        <v>60</v>
      </c>
      <c r="AP442">
        <v>2004</v>
      </c>
      <c r="AQ442" t="s">
        <v>28</v>
      </c>
      <c r="AR442" t="s">
        <v>335</v>
      </c>
      <c r="AS442" t="s">
        <v>307</v>
      </c>
      <c r="AT442" t="s">
        <v>243</v>
      </c>
      <c r="AU442" t="s">
        <v>339</v>
      </c>
      <c r="AV442">
        <v>22.7</v>
      </c>
    </row>
    <row r="443" spans="40:48" x14ac:dyDescent="0.25">
      <c r="AN443" t="s">
        <v>106</v>
      </c>
      <c r="AO443" t="s">
        <v>60</v>
      </c>
      <c r="AP443">
        <v>2004</v>
      </c>
      <c r="AQ443" t="s">
        <v>31</v>
      </c>
      <c r="AR443" t="s">
        <v>335</v>
      </c>
      <c r="AS443" t="s">
        <v>307</v>
      </c>
      <c r="AT443" t="s">
        <v>218</v>
      </c>
      <c r="AU443" t="s">
        <v>310</v>
      </c>
      <c r="AV443">
        <v>4</v>
      </c>
    </row>
    <row r="444" spans="40:48" x14ac:dyDescent="0.25">
      <c r="AN444" t="s">
        <v>106</v>
      </c>
      <c r="AO444" t="s">
        <v>60</v>
      </c>
      <c r="AP444">
        <v>2004</v>
      </c>
      <c r="AQ444" t="s">
        <v>31</v>
      </c>
      <c r="AR444" t="s">
        <v>335</v>
      </c>
      <c r="AS444" t="s">
        <v>307</v>
      </c>
      <c r="AT444" t="s">
        <v>218</v>
      </c>
      <c r="AU444" t="s">
        <v>311</v>
      </c>
      <c r="AV444">
        <v>6</v>
      </c>
    </row>
    <row r="445" spans="40:48" x14ac:dyDescent="0.25">
      <c r="AN445" t="s">
        <v>106</v>
      </c>
      <c r="AO445" t="s">
        <v>60</v>
      </c>
      <c r="AP445">
        <v>2004</v>
      </c>
      <c r="AQ445" t="s">
        <v>31</v>
      </c>
      <c r="AR445" t="s">
        <v>335</v>
      </c>
      <c r="AS445" t="s">
        <v>307</v>
      </c>
      <c r="AT445" t="s">
        <v>218</v>
      </c>
      <c r="AU445" t="s">
        <v>268</v>
      </c>
      <c r="AV445">
        <v>10</v>
      </c>
    </row>
    <row r="446" spans="40:48" x14ac:dyDescent="0.25">
      <c r="AN446" t="s">
        <v>106</v>
      </c>
      <c r="AO446" t="s">
        <v>60</v>
      </c>
      <c r="AP446">
        <v>2004</v>
      </c>
      <c r="AQ446" t="s">
        <v>31</v>
      </c>
      <c r="AR446" t="s">
        <v>335</v>
      </c>
      <c r="AS446" t="s">
        <v>307</v>
      </c>
      <c r="AT446" t="s">
        <v>238</v>
      </c>
      <c r="AU446" t="s">
        <v>310</v>
      </c>
      <c r="AV446">
        <v>0</v>
      </c>
    </row>
    <row r="447" spans="40:48" x14ac:dyDescent="0.25">
      <c r="AN447" t="s">
        <v>106</v>
      </c>
      <c r="AO447" t="s">
        <v>60</v>
      </c>
      <c r="AP447">
        <v>2004</v>
      </c>
      <c r="AQ447" t="s">
        <v>31</v>
      </c>
      <c r="AR447" t="s">
        <v>335</v>
      </c>
      <c r="AS447" t="s">
        <v>307</v>
      </c>
      <c r="AT447" t="s">
        <v>238</v>
      </c>
      <c r="AU447" t="s">
        <v>311</v>
      </c>
      <c r="AV447">
        <v>0</v>
      </c>
    </row>
    <row r="448" spans="40:48" x14ac:dyDescent="0.25">
      <c r="AN448" t="s">
        <v>106</v>
      </c>
      <c r="AO448" t="s">
        <v>60</v>
      </c>
      <c r="AP448">
        <v>2004</v>
      </c>
      <c r="AQ448" t="s">
        <v>31</v>
      </c>
      <c r="AR448" t="s">
        <v>335</v>
      </c>
      <c r="AS448" t="s">
        <v>307</v>
      </c>
      <c r="AT448" t="s">
        <v>238</v>
      </c>
      <c r="AU448" t="s">
        <v>268</v>
      </c>
      <c r="AV448">
        <v>0</v>
      </c>
    </row>
    <row r="449" spans="40:48" x14ac:dyDescent="0.25">
      <c r="AN449" t="s">
        <v>106</v>
      </c>
      <c r="AO449" t="s">
        <v>60</v>
      </c>
      <c r="AP449">
        <v>2004</v>
      </c>
      <c r="AQ449" t="s">
        <v>31</v>
      </c>
      <c r="AR449" t="s">
        <v>335</v>
      </c>
      <c r="AS449" t="s">
        <v>307</v>
      </c>
      <c r="AT449" t="s">
        <v>239</v>
      </c>
      <c r="AU449" t="s">
        <v>310</v>
      </c>
      <c r="AV449">
        <v>0</v>
      </c>
    </row>
    <row r="450" spans="40:48" x14ac:dyDescent="0.25">
      <c r="AN450" t="s">
        <v>106</v>
      </c>
      <c r="AO450" t="s">
        <v>60</v>
      </c>
      <c r="AP450">
        <v>2004</v>
      </c>
      <c r="AQ450" t="s">
        <v>31</v>
      </c>
      <c r="AR450" t="s">
        <v>335</v>
      </c>
      <c r="AS450" t="s">
        <v>307</v>
      </c>
      <c r="AT450" t="s">
        <v>239</v>
      </c>
      <c r="AU450" t="s">
        <v>311</v>
      </c>
      <c r="AV450">
        <v>0</v>
      </c>
    </row>
    <row r="451" spans="40:48" x14ac:dyDescent="0.25">
      <c r="AN451" t="s">
        <v>106</v>
      </c>
      <c r="AO451" t="s">
        <v>60</v>
      </c>
      <c r="AP451">
        <v>2004</v>
      </c>
      <c r="AQ451" t="s">
        <v>31</v>
      </c>
      <c r="AR451" t="s">
        <v>335</v>
      </c>
      <c r="AS451" t="s">
        <v>307</v>
      </c>
      <c r="AT451" t="s">
        <v>239</v>
      </c>
      <c r="AU451" t="s">
        <v>268</v>
      </c>
      <c r="AV451">
        <v>0</v>
      </c>
    </row>
    <row r="452" spans="40:48" x14ac:dyDescent="0.25">
      <c r="AN452" t="s">
        <v>106</v>
      </c>
      <c r="AO452" t="s">
        <v>60</v>
      </c>
      <c r="AP452">
        <v>2004</v>
      </c>
      <c r="AQ452" t="s">
        <v>31</v>
      </c>
      <c r="AR452" t="s">
        <v>335</v>
      </c>
      <c r="AS452" t="s">
        <v>307</v>
      </c>
      <c r="AT452" t="s">
        <v>240</v>
      </c>
      <c r="AU452" t="s">
        <v>310</v>
      </c>
      <c r="AV452">
        <v>3.2</v>
      </c>
    </row>
    <row r="453" spans="40:48" x14ac:dyDescent="0.25">
      <c r="AN453" t="s">
        <v>106</v>
      </c>
      <c r="AO453" t="s">
        <v>60</v>
      </c>
      <c r="AP453">
        <v>2004</v>
      </c>
      <c r="AQ453" t="s">
        <v>31</v>
      </c>
      <c r="AR453" t="s">
        <v>335</v>
      </c>
      <c r="AS453" t="s">
        <v>307</v>
      </c>
      <c r="AT453" t="s">
        <v>240</v>
      </c>
      <c r="AU453" t="s">
        <v>311</v>
      </c>
      <c r="AV453">
        <v>9.0500000000000007</v>
      </c>
    </row>
    <row r="454" spans="40:48" x14ac:dyDescent="0.25">
      <c r="AN454" t="s">
        <v>106</v>
      </c>
      <c r="AO454" t="s">
        <v>60</v>
      </c>
      <c r="AP454">
        <v>2004</v>
      </c>
      <c r="AQ454" t="s">
        <v>31</v>
      </c>
      <c r="AR454" t="s">
        <v>335</v>
      </c>
      <c r="AS454" t="s">
        <v>307</v>
      </c>
      <c r="AT454" t="s">
        <v>240</v>
      </c>
      <c r="AU454" t="s">
        <v>268</v>
      </c>
      <c r="AV454">
        <v>12.25</v>
      </c>
    </row>
    <row r="455" spans="40:48" x14ac:dyDescent="0.25">
      <c r="AN455" t="s">
        <v>106</v>
      </c>
      <c r="AO455" t="s">
        <v>60</v>
      </c>
      <c r="AP455">
        <v>2004</v>
      </c>
      <c r="AQ455" t="s">
        <v>31</v>
      </c>
      <c r="AR455" t="s">
        <v>335</v>
      </c>
      <c r="AS455" t="s">
        <v>307</v>
      </c>
      <c r="AT455" t="s">
        <v>316</v>
      </c>
      <c r="AU455" t="s">
        <v>310</v>
      </c>
      <c r="AV455">
        <v>0</v>
      </c>
    </row>
    <row r="456" spans="40:48" x14ac:dyDescent="0.25">
      <c r="AN456" t="s">
        <v>106</v>
      </c>
      <c r="AO456" t="s">
        <v>60</v>
      </c>
      <c r="AP456">
        <v>2004</v>
      </c>
      <c r="AQ456" t="s">
        <v>31</v>
      </c>
      <c r="AR456" t="s">
        <v>335</v>
      </c>
      <c r="AS456" t="s">
        <v>307</v>
      </c>
      <c r="AT456" t="s">
        <v>316</v>
      </c>
      <c r="AU456" t="s">
        <v>311</v>
      </c>
      <c r="AV456">
        <v>0</v>
      </c>
    </row>
    <row r="457" spans="40:48" x14ac:dyDescent="0.25">
      <c r="AN457" t="s">
        <v>106</v>
      </c>
      <c r="AO457" t="s">
        <v>60</v>
      </c>
      <c r="AP457">
        <v>2004</v>
      </c>
      <c r="AQ457" t="s">
        <v>31</v>
      </c>
      <c r="AR457" t="s">
        <v>335</v>
      </c>
      <c r="AS457" t="s">
        <v>307</v>
      </c>
      <c r="AT457" t="s">
        <v>316</v>
      </c>
      <c r="AU457" t="s">
        <v>268</v>
      </c>
      <c r="AV457">
        <v>0</v>
      </c>
    </row>
    <row r="458" spans="40:48" x14ac:dyDescent="0.25">
      <c r="AN458" t="s">
        <v>106</v>
      </c>
      <c r="AO458" t="s">
        <v>60</v>
      </c>
      <c r="AP458">
        <v>2004</v>
      </c>
      <c r="AQ458" t="s">
        <v>31</v>
      </c>
      <c r="AR458" t="s">
        <v>335</v>
      </c>
      <c r="AS458" t="s">
        <v>307</v>
      </c>
      <c r="AT458" t="s">
        <v>242</v>
      </c>
      <c r="AU458" t="s">
        <v>310</v>
      </c>
      <c r="AV458">
        <v>0</v>
      </c>
    </row>
    <row r="459" spans="40:48" x14ac:dyDescent="0.25">
      <c r="AN459" t="s">
        <v>106</v>
      </c>
      <c r="AO459" t="s">
        <v>60</v>
      </c>
      <c r="AP459">
        <v>2004</v>
      </c>
      <c r="AQ459" t="s">
        <v>31</v>
      </c>
      <c r="AR459" t="s">
        <v>335</v>
      </c>
      <c r="AS459" t="s">
        <v>307</v>
      </c>
      <c r="AT459" t="s">
        <v>242</v>
      </c>
      <c r="AU459" t="s">
        <v>311</v>
      </c>
      <c r="AV459">
        <v>0</v>
      </c>
    </row>
    <row r="460" spans="40:48" x14ac:dyDescent="0.25">
      <c r="AN460" t="s">
        <v>106</v>
      </c>
      <c r="AO460" t="s">
        <v>60</v>
      </c>
      <c r="AP460">
        <v>2004</v>
      </c>
      <c r="AQ460" t="s">
        <v>31</v>
      </c>
      <c r="AR460" t="s">
        <v>335</v>
      </c>
      <c r="AS460" t="s">
        <v>307</v>
      </c>
      <c r="AT460" t="s">
        <v>242</v>
      </c>
      <c r="AU460" t="s">
        <v>268</v>
      </c>
      <c r="AV460">
        <v>0</v>
      </c>
    </row>
    <row r="461" spans="40:48" x14ac:dyDescent="0.25">
      <c r="AN461" t="s">
        <v>106</v>
      </c>
      <c r="AO461" t="s">
        <v>60</v>
      </c>
      <c r="AP461">
        <v>2004</v>
      </c>
      <c r="AQ461" t="s">
        <v>31</v>
      </c>
      <c r="AR461" t="s">
        <v>335</v>
      </c>
      <c r="AS461" t="s">
        <v>307</v>
      </c>
      <c r="AT461" t="s">
        <v>243</v>
      </c>
      <c r="AU461" t="s">
        <v>337</v>
      </c>
      <c r="AV461">
        <v>0</v>
      </c>
    </row>
    <row r="462" spans="40:48" x14ac:dyDescent="0.25">
      <c r="AN462" t="s">
        <v>106</v>
      </c>
      <c r="AO462" t="s">
        <v>60</v>
      </c>
      <c r="AP462">
        <v>2004</v>
      </c>
      <c r="AQ462" t="s">
        <v>31</v>
      </c>
      <c r="AR462" t="s">
        <v>335</v>
      </c>
      <c r="AS462" t="s">
        <v>307</v>
      </c>
      <c r="AT462" t="s">
        <v>243</v>
      </c>
      <c r="AU462" t="s">
        <v>338</v>
      </c>
      <c r="AV462">
        <v>0</v>
      </c>
    </row>
    <row r="463" spans="40:48" x14ac:dyDescent="0.25">
      <c r="AN463" t="s">
        <v>106</v>
      </c>
      <c r="AO463" t="s">
        <v>60</v>
      </c>
      <c r="AP463">
        <v>2004</v>
      </c>
      <c r="AQ463" t="s">
        <v>31</v>
      </c>
      <c r="AR463" t="s">
        <v>335</v>
      </c>
      <c r="AS463" t="s">
        <v>307</v>
      </c>
      <c r="AT463" t="s">
        <v>243</v>
      </c>
      <c r="AU463" t="s">
        <v>339</v>
      </c>
      <c r="AV463">
        <v>22.25</v>
      </c>
    </row>
    <row r="464" spans="40:48" x14ac:dyDescent="0.25">
      <c r="AN464" t="s">
        <v>108</v>
      </c>
      <c r="AO464" t="s">
        <v>60</v>
      </c>
      <c r="AP464">
        <v>2000</v>
      </c>
      <c r="AQ464" t="s">
        <v>62</v>
      </c>
      <c r="AR464" t="s">
        <v>335</v>
      </c>
      <c r="AS464" t="s">
        <v>307</v>
      </c>
      <c r="AT464" t="s">
        <v>218</v>
      </c>
      <c r="AU464" t="s">
        <v>310</v>
      </c>
      <c r="AV464">
        <v>3.3</v>
      </c>
    </row>
    <row r="465" spans="40:48" x14ac:dyDescent="0.25">
      <c r="AN465" t="s">
        <v>108</v>
      </c>
      <c r="AO465" t="s">
        <v>60</v>
      </c>
      <c r="AP465">
        <v>2000</v>
      </c>
      <c r="AQ465" t="s">
        <v>62</v>
      </c>
      <c r="AR465" t="s">
        <v>335</v>
      </c>
      <c r="AS465" t="s">
        <v>307</v>
      </c>
      <c r="AT465" t="s">
        <v>218</v>
      </c>
      <c r="AU465" t="s">
        <v>311</v>
      </c>
      <c r="AV465">
        <v>8.4</v>
      </c>
    </row>
    <row r="466" spans="40:48" x14ac:dyDescent="0.25">
      <c r="AN466" t="s">
        <v>108</v>
      </c>
      <c r="AO466" t="s">
        <v>60</v>
      </c>
      <c r="AP466">
        <v>2000</v>
      </c>
      <c r="AQ466" t="s">
        <v>62</v>
      </c>
      <c r="AR466" t="s">
        <v>335</v>
      </c>
      <c r="AS466" t="s">
        <v>307</v>
      </c>
      <c r="AT466" t="s">
        <v>218</v>
      </c>
      <c r="AU466" t="s">
        <v>268</v>
      </c>
      <c r="AV466">
        <v>11.7</v>
      </c>
    </row>
    <row r="467" spans="40:48" x14ac:dyDescent="0.25">
      <c r="AN467" t="s">
        <v>108</v>
      </c>
      <c r="AO467" t="s">
        <v>60</v>
      </c>
      <c r="AP467">
        <v>2000</v>
      </c>
      <c r="AQ467" t="s">
        <v>62</v>
      </c>
      <c r="AR467" t="s">
        <v>335</v>
      </c>
      <c r="AS467" t="s">
        <v>307</v>
      </c>
      <c r="AT467" t="s">
        <v>238</v>
      </c>
      <c r="AU467" t="s">
        <v>310</v>
      </c>
      <c r="AV467">
        <v>0</v>
      </c>
    </row>
    <row r="468" spans="40:48" x14ac:dyDescent="0.25">
      <c r="AN468" t="s">
        <v>108</v>
      </c>
      <c r="AO468" t="s">
        <v>60</v>
      </c>
      <c r="AP468">
        <v>2000</v>
      </c>
      <c r="AQ468" t="s">
        <v>62</v>
      </c>
      <c r="AR468" t="s">
        <v>335</v>
      </c>
      <c r="AS468" t="s">
        <v>307</v>
      </c>
      <c r="AT468" t="s">
        <v>238</v>
      </c>
      <c r="AU468" t="s">
        <v>311</v>
      </c>
      <c r="AV468">
        <v>0</v>
      </c>
    </row>
    <row r="469" spans="40:48" x14ac:dyDescent="0.25">
      <c r="AN469" t="s">
        <v>108</v>
      </c>
      <c r="AO469" t="s">
        <v>60</v>
      </c>
      <c r="AP469">
        <v>2000</v>
      </c>
      <c r="AQ469" t="s">
        <v>62</v>
      </c>
      <c r="AR469" t="s">
        <v>335</v>
      </c>
      <c r="AS469" t="s">
        <v>307</v>
      </c>
      <c r="AT469" t="s">
        <v>238</v>
      </c>
      <c r="AU469" t="s">
        <v>268</v>
      </c>
      <c r="AV469">
        <v>0</v>
      </c>
    </row>
    <row r="470" spans="40:48" x14ac:dyDescent="0.25">
      <c r="AN470" t="s">
        <v>108</v>
      </c>
      <c r="AO470" t="s">
        <v>60</v>
      </c>
      <c r="AP470">
        <v>2000</v>
      </c>
      <c r="AQ470" t="s">
        <v>62</v>
      </c>
      <c r="AR470" t="s">
        <v>335</v>
      </c>
      <c r="AS470" t="s">
        <v>307</v>
      </c>
      <c r="AT470" t="s">
        <v>239</v>
      </c>
      <c r="AU470" t="s">
        <v>310</v>
      </c>
      <c r="AV470">
        <v>2.6</v>
      </c>
    </row>
    <row r="471" spans="40:48" x14ac:dyDescent="0.25">
      <c r="AN471" t="s">
        <v>108</v>
      </c>
      <c r="AO471" t="s">
        <v>60</v>
      </c>
      <c r="AP471">
        <v>2000</v>
      </c>
      <c r="AQ471" t="s">
        <v>62</v>
      </c>
      <c r="AR471" t="s">
        <v>335</v>
      </c>
      <c r="AS471" t="s">
        <v>307</v>
      </c>
      <c r="AT471" t="s">
        <v>239</v>
      </c>
      <c r="AU471" t="s">
        <v>311</v>
      </c>
      <c r="AV471">
        <v>1.7</v>
      </c>
    </row>
    <row r="472" spans="40:48" x14ac:dyDescent="0.25">
      <c r="AN472" t="s">
        <v>108</v>
      </c>
      <c r="AO472" t="s">
        <v>60</v>
      </c>
      <c r="AP472">
        <v>2000</v>
      </c>
      <c r="AQ472" t="s">
        <v>62</v>
      </c>
      <c r="AR472" t="s">
        <v>335</v>
      </c>
      <c r="AS472" t="s">
        <v>307</v>
      </c>
      <c r="AT472" t="s">
        <v>239</v>
      </c>
      <c r="AU472" t="s">
        <v>268</v>
      </c>
      <c r="AV472">
        <v>4.3</v>
      </c>
    </row>
    <row r="473" spans="40:48" x14ac:dyDescent="0.25">
      <c r="AN473" t="s">
        <v>108</v>
      </c>
      <c r="AO473" t="s">
        <v>60</v>
      </c>
      <c r="AP473">
        <v>2000</v>
      </c>
      <c r="AQ473" t="s">
        <v>62</v>
      </c>
      <c r="AR473" t="s">
        <v>335</v>
      </c>
      <c r="AS473" t="s">
        <v>307</v>
      </c>
      <c r="AT473" t="s">
        <v>240</v>
      </c>
      <c r="AU473" t="s">
        <v>310</v>
      </c>
      <c r="AV473">
        <v>0</v>
      </c>
    </row>
    <row r="474" spans="40:48" x14ac:dyDescent="0.25">
      <c r="AN474" t="s">
        <v>108</v>
      </c>
      <c r="AO474" t="s">
        <v>60</v>
      </c>
      <c r="AP474">
        <v>2000</v>
      </c>
      <c r="AQ474" t="s">
        <v>62</v>
      </c>
      <c r="AR474" t="s">
        <v>335</v>
      </c>
      <c r="AS474" t="s">
        <v>307</v>
      </c>
      <c r="AT474" t="s">
        <v>240</v>
      </c>
      <c r="AU474" t="s">
        <v>311</v>
      </c>
      <c r="AV474">
        <v>0</v>
      </c>
    </row>
    <row r="475" spans="40:48" x14ac:dyDescent="0.25">
      <c r="AN475" t="s">
        <v>108</v>
      </c>
      <c r="AO475" t="s">
        <v>60</v>
      </c>
      <c r="AP475">
        <v>2000</v>
      </c>
      <c r="AQ475" t="s">
        <v>62</v>
      </c>
      <c r="AR475" t="s">
        <v>335</v>
      </c>
      <c r="AS475" t="s">
        <v>307</v>
      </c>
      <c r="AT475" t="s">
        <v>240</v>
      </c>
      <c r="AU475" t="s">
        <v>268</v>
      </c>
      <c r="AV475">
        <v>0</v>
      </c>
    </row>
    <row r="476" spans="40:48" x14ac:dyDescent="0.25">
      <c r="AN476" t="s">
        <v>108</v>
      </c>
      <c r="AO476" t="s">
        <v>60</v>
      </c>
      <c r="AP476">
        <v>2000</v>
      </c>
      <c r="AQ476" t="s">
        <v>62</v>
      </c>
      <c r="AR476" t="s">
        <v>335</v>
      </c>
      <c r="AS476" t="s">
        <v>307</v>
      </c>
      <c r="AT476" t="s">
        <v>316</v>
      </c>
      <c r="AU476" t="s">
        <v>310</v>
      </c>
      <c r="AV476">
        <v>0</v>
      </c>
    </row>
    <row r="477" spans="40:48" x14ac:dyDescent="0.25">
      <c r="AN477" t="s">
        <v>108</v>
      </c>
      <c r="AO477" t="s">
        <v>60</v>
      </c>
      <c r="AP477">
        <v>2000</v>
      </c>
      <c r="AQ477" t="s">
        <v>62</v>
      </c>
      <c r="AR477" t="s">
        <v>335</v>
      </c>
      <c r="AS477" t="s">
        <v>307</v>
      </c>
      <c r="AT477" t="s">
        <v>316</v>
      </c>
      <c r="AU477" t="s">
        <v>311</v>
      </c>
      <c r="AV477">
        <v>0</v>
      </c>
    </row>
    <row r="478" spans="40:48" x14ac:dyDescent="0.25">
      <c r="AN478" t="s">
        <v>108</v>
      </c>
      <c r="AO478" t="s">
        <v>60</v>
      </c>
      <c r="AP478">
        <v>2000</v>
      </c>
      <c r="AQ478" t="s">
        <v>62</v>
      </c>
      <c r="AR478" t="s">
        <v>335</v>
      </c>
      <c r="AS478" t="s">
        <v>307</v>
      </c>
      <c r="AT478" t="s">
        <v>316</v>
      </c>
      <c r="AU478" t="s">
        <v>268</v>
      </c>
      <c r="AV478">
        <v>0</v>
      </c>
    </row>
    <row r="479" spans="40:48" x14ac:dyDescent="0.25">
      <c r="AN479" t="s">
        <v>108</v>
      </c>
      <c r="AO479" t="s">
        <v>60</v>
      </c>
      <c r="AP479">
        <v>2000</v>
      </c>
      <c r="AQ479" t="s">
        <v>62</v>
      </c>
      <c r="AR479" t="s">
        <v>335</v>
      </c>
      <c r="AS479" t="s">
        <v>307</v>
      </c>
      <c r="AT479" t="s">
        <v>242</v>
      </c>
      <c r="AU479" t="s">
        <v>310</v>
      </c>
      <c r="AV479">
        <v>0</v>
      </c>
    </row>
    <row r="480" spans="40:48" x14ac:dyDescent="0.25">
      <c r="AN480" t="s">
        <v>108</v>
      </c>
      <c r="AO480" t="s">
        <v>60</v>
      </c>
      <c r="AP480">
        <v>2000</v>
      </c>
      <c r="AQ480" t="s">
        <v>62</v>
      </c>
      <c r="AR480" t="s">
        <v>335</v>
      </c>
      <c r="AS480" t="s">
        <v>307</v>
      </c>
      <c r="AT480" t="s">
        <v>242</v>
      </c>
      <c r="AU480" t="s">
        <v>311</v>
      </c>
      <c r="AV480">
        <v>0</v>
      </c>
    </row>
    <row r="481" spans="40:48" x14ac:dyDescent="0.25">
      <c r="AN481" t="s">
        <v>108</v>
      </c>
      <c r="AO481" t="s">
        <v>60</v>
      </c>
      <c r="AP481">
        <v>2000</v>
      </c>
      <c r="AQ481" t="s">
        <v>62</v>
      </c>
      <c r="AR481" t="s">
        <v>335</v>
      </c>
      <c r="AS481" t="s">
        <v>307</v>
      </c>
      <c r="AT481" t="s">
        <v>242</v>
      </c>
      <c r="AU481" t="s">
        <v>268</v>
      </c>
      <c r="AV481">
        <v>0</v>
      </c>
    </row>
    <row r="482" spans="40:48" x14ac:dyDescent="0.25">
      <c r="AN482" t="s">
        <v>108</v>
      </c>
      <c r="AO482" t="s">
        <v>60</v>
      </c>
      <c r="AP482">
        <v>2000</v>
      </c>
      <c r="AQ482" t="s">
        <v>62</v>
      </c>
      <c r="AR482" t="s">
        <v>335</v>
      </c>
      <c r="AS482" t="s">
        <v>307</v>
      </c>
      <c r="AT482" t="s">
        <v>243</v>
      </c>
      <c r="AU482" t="s">
        <v>337</v>
      </c>
      <c r="AV482">
        <v>0</v>
      </c>
    </row>
    <row r="483" spans="40:48" x14ac:dyDescent="0.25">
      <c r="AN483" t="s">
        <v>108</v>
      </c>
      <c r="AO483" t="s">
        <v>60</v>
      </c>
      <c r="AP483">
        <v>2000</v>
      </c>
      <c r="AQ483" t="s">
        <v>62</v>
      </c>
      <c r="AR483" t="s">
        <v>335</v>
      </c>
      <c r="AS483" t="s">
        <v>307</v>
      </c>
      <c r="AT483" t="s">
        <v>243</v>
      </c>
      <c r="AU483" t="s">
        <v>338</v>
      </c>
      <c r="AV483">
        <v>0</v>
      </c>
    </row>
    <row r="484" spans="40:48" x14ac:dyDescent="0.25">
      <c r="AN484" t="s">
        <v>108</v>
      </c>
      <c r="AO484" t="s">
        <v>60</v>
      </c>
      <c r="AP484">
        <v>2000</v>
      </c>
      <c r="AQ484" t="s">
        <v>62</v>
      </c>
      <c r="AR484" t="s">
        <v>335</v>
      </c>
      <c r="AS484" t="s">
        <v>307</v>
      </c>
      <c r="AT484" t="s">
        <v>243</v>
      </c>
      <c r="AU484" t="s">
        <v>339</v>
      </c>
      <c r="AV484">
        <v>16</v>
      </c>
    </row>
    <row r="485" spans="40:48" x14ac:dyDescent="0.25">
      <c r="AN485" t="s">
        <v>110</v>
      </c>
      <c r="AO485" t="s">
        <v>60</v>
      </c>
      <c r="AP485">
        <v>2004</v>
      </c>
      <c r="AQ485" t="s">
        <v>36</v>
      </c>
      <c r="AR485" t="s">
        <v>335</v>
      </c>
      <c r="AS485" t="s">
        <v>307</v>
      </c>
      <c r="AT485" t="s">
        <v>218</v>
      </c>
      <c r="AU485" t="s">
        <v>310</v>
      </c>
      <c r="AV485">
        <v>0</v>
      </c>
    </row>
    <row r="486" spans="40:48" x14ac:dyDescent="0.25">
      <c r="AN486" t="s">
        <v>110</v>
      </c>
      <c r="AO486" t="s">
        <v>60</v>
      </c>
      <c r="AP486">
        <v>2004</v>
      </c>
      <c r="AQ486" t="s">
        <v>36</v>
      </c>
      <c r="AR486" t="s">
        <v>335</v>
      </c>
      <c r="AS486" t="s">
        <v>307</v>
      </c>
      <c r="AT486" t="s">
        <v>218</v>
      </c>
      <c r="AU486" t="s">
        <v>311</v>
      </c>
      <c r="AV486">
        <v>0</v>
      </c>
    </row>
    <row r="487" spans="40:48" x14ac:dyDescent="0.25">
      <c r="AN487" t="s">
        <v>110</v>
      </c>
      <c r="AO487" t="s">
        <v>60</v>
      </c>
      <c r="AP487">
        <v>2004</v>
      </c>
      <c r="AQ487" t="s">
        <v>36</v>
      </c>
      <c r="AR487" t="s">
        <v>335</v>
      </c>
      <c r="AS487" t="s">
        <v>307</v>
      </c>
      <c r="AT487" t="s">
        <v>218</v>
      </c>
      <c r="AU487" t="s">
        <v>268</v>
      </c>
      <c r="AV487">
        <v>0</v>
      </c>
    </row>
    <row r="488" spans="40:48" x14ac:dyDescent="0.25">
      <c r="AN488" t="s">
        <v>110</v>
      </c>
      <c r="AO488" t="s">
        <v>60</v>
      </c>
      <c r="AP488">
        <v>2004</v>
      </c>
      <c r="AQ488" t="s">
        <v>36</v>
      </c>
      <c r="AR488" t="s">
        <v>335</v>
      </c>
      <c r="AS488" t="s">
        <v>307</v>
      </c>
      <c r="AT488" t="s">
        <v>238</v>
      </c>
      <c r="AU488" t="s">
        <v>310</v>
      </c>
      <c r="AV488">
        <v>3.1</v>
      </c>
    </row>
    <row r="489" spans="40:48" x14ac:dyDescent="0.25">
      <c r="AN489" t="s">
        <v>110</v>
      </c>
      <c r="AO489" t="s">
        <v>60</v>
      </c>
      <c r="AP489">
        <v>2004</v>
      </c>
      <c r="AQ489" t="s">
        <v>36</v>
      </c>
      <c r="AR489" t="s">
        <v>335</v>
      </c>
      <c r="AS489" t="s">
        <v>307</v>
      </c>
      <c r="AT489" t="s">
        <v>238</v>
      </c>
      <c r="AU489" t="s">
        <v>311</v>
      </c>
      <c r="AV489">
        <v>6</v>
      </c>
    </row>
    <row r="490" spans="40:48" x14ac:dyDescent="0.25">
      <c r="AN490" t="s">
        <v>110</v>
      </c>
      <c r="AO490" t="s">
        <v>60</v>
      </c>
      <c r="AP490">
        <v>2004</v>
      </c>
      <c r="AQ490" t="s">
        <v>36</v>
      </c>
      <c r="AR490" t="s">
        <v>335</v>
      </c>
      <c r="AS490" t="s">
        <v>307</v>
      </c>
      <c r="AT490" t="s">
        <v>238</v>
      </c>
      <c r="AU490" t="s">
        <v>268</v>
      </c>
      <c r="AV490">
        <v>9.1</v>
      </c>
    </row>
    <row r="491" spans="40:48" x14ac:dyDescent="0.25">
      <c r="AN491" t="s">
        <v>110</v>
      </c>
      <c r="AO491" t="s">
        <v>60</v>
      </c>
      <c r="AP491">
        <v>2004</v>
      </c>
      <c r="AQ491" t="s">
        <v>36</v>
      </c>
      <c r="AR491" t="s">
        <v>335</v>
      </c>
      <c r="AS491" t="s">
        <v>307</v>
      </c>
      <c r="AT491" t="s">
        <v>239</v>
      </c>
      <c r="AU491" t="s">
        <v>310</v>
      </c>
      <c r="AV491">
        <v>0</v>
      </c>
    </row>
    <row r="492" spans="40:48" x14ac:dyDescent="0.25">
      <c r="AN492" t="s">
        <v>110</v>
      </c>
      <c r="AO492" t="s">
        <v>60</v>
      </c>
      <c r="AP492">
        <v>2004</v>
      </c>
      <c r="AQ492" t="s">
        <v>36</v>
      </c>
      <c r="AR492" t="s">
        <v>335</v>
      </c>
      <c r="AS492" t="s">
        <v>307</v>
      </c>
      <c r="AT492" t="s">
        <v>239</v>
      </c>
      <c r="AU492" t="s">
        <v>311</v>
      </c>
      <c r="AV492">
        <v>0</v>
      </c>
    </row>
    <row r="493" spans="40:48" x14ac:dyDescent="0.25">
      <c r="AN493" t="s">
        <v>110</v>
      </c>
      <c r="AO493" t="s">
        <v>60</v>
      </c>
      <c r="AP493">
        <v>2004</v>
      </c>
      <c r="AQ493" t="s">
        <v>36</v>
      </c>
      <c r="AR493" t="s">
        <v>335</v>
      </c>
      <c r="AS493" t="s">
        <v>307</v>
      </c>
      <c r="AT493" t="s">
        <v>239</v>
      </c>
      <c r="AU493" t="s">
        <v>268</v>
      </c>
      <c r="AV493">
        <v>0</v>
      </c>
    </row>
    <row r="494" spans="40:48" x14ac:dyDescent="0.25">
      <c r="AN494" t="s">
        <v>110</v>
      </c>
      <c r="AO494" t="s">
        <v>60</v>
      </c>
      <c r="AP494">
        <v>2004</v>
      </c>
      <c r="AQ494" t="s">
        <v>36</v>
      </c>
      <c r="AR494" t="s">
        <v>335</v>
      </c>
      <c r="AS494" t="s">
        <v>307</v>
      </c>
      <c r="AT494" t="s">
        <v>240</v>
      </c>
      <c r="AU494" t="s">
        <v>310</v>
      </c>
      <c r="AV494">
        <v>0</v>
      </c>
    </row>
    <row r="495" spans="40:48" x14ac:dyDescent="0.25">
      <c r="AN495" t="s">
        <v>110</v>
      </c>
      <c r="AO495" t="s">
        <v>60</v>
      </c>
      <c r="AP495">
        <v>2004</v>
      </c>
      <c r="AQ495" t="s">
        <v>36</v>
      </c>
      <c r="AR495" t="s">
        <v>335</v>
      </c>
      <c r="AS495" t="s">
        <v>307</v>
      </c>
      <c r="AT495" t="s">
        <v>240</v>
      </c>
      <c r="AU495" t="s">
        <v>311</v>
      </c>
      <c r="AV495">
        <v>0</v>
      </c>
    </row>
    <row r="496" spans="40:48" x14ac:dyDescent="0.25">
      <c r="AN496" t="s">
        <v>110</v>
      </c>
      <c r="AO496" t="s">
        <v>60</v>
      </c>
      <c r="AP496">
        <v>2004</v>
      </c>
      <c r="AQ496" t="s">
        <v>36</v>
      </c>
      <c r="AR496" t="s">
        <v>335</v>
      </c>
      <c r="AS496" t="s">
        <v>307</v>
      </c>
      <c r="AT496" t="s">
        <v>240</v>
      </c>
      <c r="AU496" t="s">
        <v>268</v>
      </c>
      <c r="AV496">
        <v>0</v>
      </c>
    </row>
    <row r="497" spans="40:48" x14ac:dyDescent="0.25">
      <c r="AN497" t="s">
        <v>110</v>
      </c>
      <c r="AO497" t="s">
        <v>60</v>
      </c>
      <c r="AP497">
        <v>2004</v>
      </c>
      <c r="AQ497" t="s">
        <v>36</v>
      </c>
      <c r="AR497" t="s">
        <v>335</v>
      </c>
      <c r="AS497" t="s">
        <v>307</v>
      </c>
      <c r="AT497" t="s">
        <v>316</v>
      </c>
      <c r="AU497" t="s">
        <v>310</v>
      </c>
      <c r="AV497">
        <v>0</v>
      </c>
    </row>
    <row r="498" spans="40:48" x14ac:dyDescent="0.25">
      <c r="AN498" t="s">
        <v>110</v>
      </c>
      <c r="AO498" t="s">
        <v>60</v>
      </c>
      <c r="AP498">
        <v>2004</v>
      </c>
      <c r="AQ498" t="s">
        <v>36</v>
      </c>
      <c r="AR498" t="s">
        <v>335</v>
      </c>
      <c r="AS498" t="s">
        <v>307</v>
      </c>
      <c r="AT498" t="s">
        <v>316</v>
      </c>
      <c r="AU498" t="s">
        <v>311</v>
      </c>
      <c r="AV498">
        <v>0</v>
      </c>
    </row>
    <row r="499" spans="40:48" x14ac:dyDescent="0.25">
      <c r="AN499" t="s">
        <v>110</v>
      </c>
      <c r="AO499" t="s">
        <v>60</v>
      </c>
      <c r="AP499">
        <v>2004</v>
      </c>
      <c r="AQ499" t="s">
        <v>36</v>
      </c>
      <c r="AR499" t="s">
        <v>335</v>
      </c>
      <c r="AS499" t="s">
        <v>307</v>
      </c>
      <c r="AT499" t="s">
        <v>316</v>
      </c>
      <c r="AU499" t="s">
        <v>268</v>
      </c>
      <c r="AV499">
        <v>0</v>
      </c>
    </row>
    <row r="500" spans="40:48" x14ac:dyDescent="0.25">
      <c r="AN500" t="s">
        <v>110</v>
      </c>
      <c r="AO500" t="s">
        <v>60</v>
      </c>
      <c r="AP500">
        <v>2004</v>
      </c>
      <c r="AQ500" t="s">
        <v>36</v>
      </c>
      <c r="AR500" t="s">
        <v>335</v>
      </c>
      <c r="AS500" t="s">
        <v>307</v>
      </c>
      <c r="AT500" t="s">
        <v>242</v>
      </c>
      <c r="AU500" t="s">
        <v>310</v>
      </c>
      <c r="AV500">
        <v>0</v>
      </c>
    </row>
    <row r="501" spans="40:48" x14ac:dyDescent="0.25">
      <c r="AN501" t="s">
        <v>110</v>
      </c>
      <c r="AO501" t="s">
        <v>60</v>
      </c>
      <c r="AP501">
        <v>2004</v>
      </c>
      <c r="AQ501" t="s">
        <v>36</v>
      </c>
      <c r="AR501" t="s">
        <v>335</v>
      </c>
      <c r="AS501" t="s">
        <v>307</v>
      </c>
      <c r="AT501" t="s">
        <v>242</v>
      </c>
      <c r="AU501" t="s">
        <v>311</v>
      </c>
      <c r="AV501">
        <v>0</v>
      </c>
    </row>
    <row r="502" spans="40:48" x14ac:dyDescent="0.25">
      <c r="AN502" t="s">
        <v>110</v>
      </c>
      <c r="AO502" t="s">
        <v>60</v>
      </c>
      <c r="AP502">
        <v>2004</v>
      </c>
      <c r="AQ502" t="s">
        <v>36</v>
      </c>
      <c r="AR502" t="s">
        <v>335</v>
      </c>
      <c r="AS502" t="s">
        <v>307</v>
      </c>
      <c r="AT502" t="s">
        <v>242</v>
      </c>
      <c r="AU502" t="s">
        <v>268</v>
      </c>
      <c r="AV502">
        <v>0</v>
      </c>
    </row>
    <row r="503" spans="40:48" x14ac:dyDescent="0.25">
      <c r="AN503" t="s">
        <v>110</v>
      </c>
      <c r="AO503" t="s">
        <v>60</v>
      </c>
      <c r="AP503">
        <v>2004</v>
      </c>
      <c r="AQ503" t="s">
        <v>36</v>
      </c>
      <c r="AR503" t="s">
        <v>335</v>
      </c>
      <c r="AS503" t="s">
        <v>307</v>
      </c>
      <c r="AT503" t="s">
        <v>243</v>
      </c>
      <c r="AU503" t="s">
        <v>337</v>
      </c>
      <c r="AV503">
        <v>0</v>
      </c>
    </row>
    <row r="504" spans="40:48" x14ac:dyDescent="0.25">
      <c r="AN504" t="s">
        <v>110</v>
      </c>
      <c r="AO504" t="s">
        <v>60</v>
      </c>
      <c r="AP504">
        <v>2004</v>
      </c>
      <c r="AQ504" t="s">
        <v>36</v>
      </c>
      <c r="AR504" t="s">
        <v>335</v>
      </c>
      <c r="AS504" t="s">
        <v>307</v>
      </c>
      <c r="AT504" t="s">
        <v>243</v>
      </c>
      <c r="AU504" t="s">
        <v>338</v>
      </c>
      <c r="AV504">
        <v>0</v>
      </c>
    </row>
    <row r="505" spans="40:48" x14ac:dyDescent="0.25">
      <c r="AN505" t="s">
        <v>110</v>
      </c>
      <c r="AO505" t="s">
        <v>60</v>
      </c>
      <c r="AP505">
        <v>2004</v>
      </c>
      <c r="AQ505" t="s">
        <v>36</v>
      </c>
      <c r="AR505" t="s">
        <v>335</v>
      </c>
      <c r="AS505" t="s">
        <v>307</v>
      </c>
      <c r="AT505" t="s">
        <v>243</v>
      </c>
      <c r="AU505" t="s">
        <v>339</v>
      </c>
      <c r="AV505">
        <v>9.1</v>
      </c>
    </row>
    <row r="506" spans="40:48" x14ac:dyDescent="0.25">
      <c r="AN506" t="s">
        <v>25</v>
      </c>
      <c r="AO506" t="s">
        <v>26</v>
      </c>
      <c r="AP506">
        <v>2008</v>
      </c>
      <c r="AQ506" t="s">
        <v>28</v>
      </c>
      <c r="AR506" t="s">
        <v>335</v>
      </c>
      <c r="AS506" t="s">
        <v>306</v>
      </c>
      <c r="AT506" t="s">
        <v>218</v>
      </c>
      <c r="AU506" t="s">
        <v>310</v>
      </c>
      <c r="AV506">
        <v>4</v>
      </c>
    </row>
    <row r="507" spans="40:48" x14ac:dyDescent="0.25">
      <c r="AN507" t="s">
        <v>25</v>
      </c>
      <c r="AO507" t="s">
        <v>26</v>
      </c>
      <c r="AP507">
        <v>2008</v>
      </c>
      <c r="AQ507" t="s">
        <v>28</v>
      </c>
      <c r="AR507" t="s">
        <v>335</v>
      </c>
      <c r="AS507" t="s">
        <v>306</v>
      </c>
      <c r="AT507" t="s">
        <v>218</v>
      </c>
      <c r="AU507" t="s">
        <v>311</v>
      </c>
      <c r="AV507">
        <v>8.6999999999999993</v>
      </c>
    </row>
    <row r="508" spans="40:48" x14ac:dyDescent="0.25">
      <c r="AN508" t="s">
        <v>25</v>
      </c>
      <c r="AO508" t="s">
        <v>26</v>
      </c>
      <c r="AP508">
        <v>2008</v>
      </c>
      <c r="AQ508" t="s">
        <v>28</v>
      </c>
      <c r="AR508" t="s">
        <v>335</v>
      </c>
      <c r="AS508" t="s">
        <v>306</v>
      </c>
      <c r="AT508" t="s">
        <v>218</v>
      </c>
      <c r="AU508" t="s">
        <v>268</v>
      </c>
      <c r="AV508">
        <v>12.7</v>
      </c>
    </row>
    <row r="509" spans="40:48" x14ac:dyDescent="0.25">
      <c r="AN509" t="s">
        <v>25</v>
      </c>
      <c r="AO509" t="s">
        <v>26</v>
      </c>
      <c r="AP509">
        <v>2008</v>
      </c>
      <c r="AQ509" t="s">
        <v>28</v>
      </c>
      <c r="AR509" t="s">
        <v>335</v>
      </c>
      <c r="AS509" t="s">
        <v>306</v>
      </c>
      <c r="AT509" t="s">
        <v>238</v>
      </c>
      <c r="AU509" t="s">
        <v>310</v>
      </c>
      <c r="AV509">
        <v>3.8</v>
      </c>
    </row>
    <row r="510" spans="40:48" x14ac:dyDescent="0.25">
      <c r="AN510" t="s">
        <v>25</v>
      </c>
      <c r="AO510" t="s">
        <v>26</v>
      </c>
      <c r="AP510">
        <v>2008</v>
      </c>
      <c r="AQ510" t="s">
        <v>28</v>
      </c>
      <c r="AR510" t="s">
        <v>335</v>
      </c>
      <c r="AS510" t="s">
        <v>306</v>
      </c>
      <c r="AT510" t="s">
        <v>238</v>
      </c>
      <c r="AU510" t="s">
        <v>311</v>
      </c>
      <c r="AV510">
        <v>8.9</v>
      </c>
    </row>
    <row r="511" spans="40:48" x14ac:dyDescent="0.25">
      <c r="AN511" t="s">
        <v>25</v>
      </c>
      <c r="AO511" t="s">
        <v>26</v>
      </c>
      <c r="AP511">
        <v>2008</v>
      </c>
      <c r="AQ511" t="s">
        <v>28</v>
      </c>
      <c r="AR511" t="s">
        <v>335</v>
      </c>
      <c r="AS511" t="s">
        <v>306</v>
      </c>
      <c r="AT511" t="s">
        <v>238</v>
      </c>
      <c r="AU511" t="s">
        <v>268</v>
      </c>
      <c r="AV511">
        <v>12.7</v>
      </c>
    </row>
    <row r="512" spans="40:48" x14ac:dyDescent="0.25">
      <c r="AN512" t="s">
        <v>25</v>
      </c>
      <c r="AO512" t="s">
        <v>26</v>
      </c>
      <c r="AP512">
        <v>2008</v>
      </c>
      <c r="AQ512" t="s">
        <v>28</v>
      </c>
      <c r="AR512" t="s">
        <v>335</v>
      </c>
      <c r="AS512" t="s">
        <v>306</v>
      </c>
      <c r="AT512" t="s">
        <v>239</v>
      </c>
      <c r="AU512" t="s">
        <v>310</v>
      </c>
      <c r="AV512">
        <v>2.6</v>
      </c>
    </row>
    <row r="513" spans="40:48" x14ac:dyDescent="0.25">
      <c r="AN513" t="s">
        <v>25</v>
      </c>
      <c r="AO513" t="s">
        <v>26</v>
      </c>
      <c r="AP513">
        <v>2008</v>
      </c>
      <c r="AQ513" t="s">
        <v>28</v>
      </c>
      <c r="AR513" t="s">
        <v>335</v>
      </c>
      <c r="AS513" t="s">
        <v>306</v>
      </c>
      <c r="AT513" t="s">
        <v>239</v>
      </c>
      <c r="AU513" t="s">
        <v>311</v>
      </c>
      <c r="AV513">
        <v>8.1999999999999993</v>
      </c>
    </row>
    <row r="514" spans="40:48" x14ac:dyDescent="0.25">
      <c r="AN514" t="s">
        <v>25</v>
      </c>
      <c r="AO514" t="s">
        <v>26</v>
      </c>
      <c r="AP514">
        <v>2008</v>
      </c>
      <c r="AQ514" t="s">
        <v>28</v>
      </c>
      <c r="AR514" t="s">
        <v>335</v>
      </c>
      <c r="AS514" t="s">
        <v>306</v>
      </c>
      <c r="AT514" t="s">
        <v>239</v>
      </c>
      <c r="AU514" t="s">
        <v>268</v>
      </c>
      <c r="AV514">
        <v>10.8</v>
      </c>
    </row>
    <row r="515" spans="40:48" x14ac:dyDescent="0.25">
      <c r="AN515" t="s">
        <v>25</v>
      </c>
      <c r="AO515" t="s">
        <v>26</v>
      </c>
      <c r="AP515">
        <v>2008</v>
      </c>
      <c r="AQ515" t="s">
        <v>28</v>
      </c>
      <c r="AR515" t="s">
        <v>335</v>
      </c>
      <c r="AS515" t="s">
        <v>306</v>
      </c>
      <c r="AT515" t="s">
        <v>240</v>
      </c>
      <c r="AU515" t="s">
        <v>310</v>
      </c>
      <c r="AV515">
        <v>2.2000000000000002</v>
      </c>
    </row>
    <row r="516" spans="40:48" x14ac:dyDescent="0.25">
      <c r="AN516" t="s">
        <v>25</v>
      </c>
      <c r="AO516" t="s">
        <v>26</v>
      </c>
      <c r="AP516">
        <v>2008</v>
      </c>
      <c r="AQ516" t="s">
        <v>28</v>
      </c>
      <c r="AR516" t="s">
        <v>335</v>
      </c>
      <c r="AS516" t="s">
        <v>306</v>
      </c>
      <c r="AT516" t="s">
        <v>240</v>
      </c>
      <c r="AU516" t="s">
        <v>311</v>
      </c>
      <c r="AV516">
        <v>9.0500000000000007</v>
      </c>
    </row>
    <row r="517" spans="40:48" x14ac:dyDescent="0.25">
      <c r="AN517" t="s">
        <v>25</v>
      </c>
      <c r="AO517" t="s">
        <v>26</v>
      </c>
      <c r="AP517">
        <v>2008</v>
      </c>
      <c r="AQ517" t="s">
        <v>28</v>
      </c>
      <c r="AR517" t="s">
        <v>335</v>
      </c>
      <c r="AS517" t="s">
        <v>306</v>
      </c>
      <c r="AT517" t="s">
        <v>240</v>
      </c>
      <c r="AU517" t="s">
        <v>268</v>
      </c>
      <c r="AV517">
        <v>11.25</v>
      </c>
    </row>
    <row r="518" spans="40:48" x14ac:dyDescent="0.25">
      <c r="AN518" t="s">
        <v>25</v>
      </c>
      <c r="AO518" t="s">
        <v>26</v>
      </c>
      <c r="AP518">
        <v>2008</v>
      </c>
      <c r="AQ518" t="s">
        <v>28</v>
      </c>
      <c r="AR518" t="s">
        <v>335</v>
      </c>
      <c r="AS518" t="s">
        <v>306</v>
      </c>
      <c r="AT518" t="s">
        <v>316</v>
      </c>
      <c r="AU518" t="s">
        <v>310</v>
      </c>
      <c r="AV518">
        <v>4.2</v>
      </c>
    </row>
    <row r="519" spans="40:48" x14ac:dyDescent="0.25">
      <c r="AN519" t="s">
        <v>25</v>
      </c>
      <c r="AO519" t="s">
        <v>26</v>
      </c>
      <c r="AP519">
        <v>2008</v>
      </c>
      <c r="AQ519" t="s">
        <v>28</v>
      </c>
      <c r="AR519" t="s">
        <v>335</v>
      </c>
      <c r="AS519" t="s">
        <v>306</v>
      </c>
      <c r="AT519" t="s">
        <v>316</v>
      </c>
      <c r="AU519" t="s">
        <v>311</v>
      </c>
      <c r="AV519">
        <v>9.1</v>
      </c>
    </row>
    <row r="520" spans="40:48" x14ac:dyDescent="0.25">
      <c r="AN520" t="s">
        <v>25</v>
      </c>
      <c r="AO520" t="s">
        <v>26</v>
      </c>
      <c r="AP520">
        <v>2008</v>
      </c>
      <c r="AQ520" t="s">
        <v>28</v>
      </c>
      <c r="AR520" t="s">
        <v>335</v>
      </c>
      <c r="AS520" t="s">
        <v>306</v>
      </c>
      <c r="AT520" t="s">
        <v>316</v>
      </c>
      <c r="AU520" t="s">
        <v>268</v>
      </c>
      <c r="AV520">
        <v>13.3</v>
      </c>
    </row>
    <row r="521" spans="40:48" x14ac:dyDescent="0.25">
      <c r="AN521" t="s">
        <v>25</v>
      </c>
      <c r="AO521" t="s">
        <v>26</v>
      </c>
      <c r="AP521">
        <v>2008</v>
      </c>
      <c r="AQ521" t="s">
        <v>28</v>
      </c>
      <c r="AR521" t="s">
        <v>335</v>
      </c>
      <c r="AS521" t="s">
        <v>306</v>
      </c>
      <c r="AT521" t="s">
        <v>242</v>
      </c>
      <c r="AU521" t="s">
        <v>310</v>
      </c>
      <c r="AV521">
        <v>2.7</v>
      </c>
    </row>
    <row r="522" spans="40:48" x14ac:dyDescent="0.25">
      <c r="AN522" t="s">
        <v>25</v>
      </c>
      <c r="AO522" t="s">
        <v>26</v>
      </c>
      <c r="AP522">
        <v>2008</v>
      </c>
      <c r="AQ522" t="s">
        <v>28</v>
      </c>
      <c r="AR522" t="s">
        <v>335</v>
      </c>
      <c r="AS522" t="s">
        <v>306</v>
      </c>
      <c r="AT522" t="s">
        <v>242</v>
      </c>
      <c r="AU522" t="s">
        <v>311</v>
      </c>
      <c r="AV522">
        <v>9.1</v>
      </c>
    </row>
    <row r="523" spans="40:48" x14ac:dyDescent="0.25">
      <c r="AN523" t="s">
        <v>25</v>
      </c>
      <c r="AO523" t="s">
        <v>26</v>
      </c>
      <c r="AP523">
        <v>2008</v>
      </c>
      <c r="AQ523" t="s">
        <v>28</v>
      </c>
      <c r="AR523" t="s">
        <v>335</v>
      </c>
      <c r="AS523" t="s">
        <v>306</v>
      </c>
      <c r="AT523" t="s">
        <v>242</v>
      </c>
      <c r="AU523" t="s">
        <v>268</v>
      </c>
      <c r="AV523">
        <v>11.8</v>
      </c>
    </row>
    <row r="524" spans="40:48" x14ac:dyDescent="0.25">
      <c r="AN524" t="s">
        <v>25</v>
      </c>
      <c r="AO524" t="s">
        <v>26</v>
      </c>
      <c r="AP524">
        <v>2008</v>
      </c>
      <c r="AQ524" t="s">
        <v>28</v>
      </c>
      <c r="AR524" t="s">
        <v>335</v>
      </c>
      <c r="AS524" t="s">
        <v>306</v>
      </c>
      <c r="AT524" t="s">
        <v>243</v>
      </c>
      <c r="AU524" t="s">
        <v>337</v>
      </c>
      <c r="AV524">
        <v>19.5</v>
      </c>
    </row>
    <row r="525" spans="40:48" x14ac:dyDescent="0.25">
      <c r="AN525" t="s">
        <v>25</v>
      </c>
      <c r="AO525" t="s">
        <v>26</v>
      </c>
      <c r="AP525">
        <v>2008</v>
      </c>
      <c r="AQ525" t="s">
        <v>28</v>
      </c>
      <c r="AR525" t="s">
        <v>335</v>
      </c>
      <c r="AS525" t="s">
        <v>306</v>
      </c>
      <c r="AT525" t="s">
        <v>243</v>
      </c>
      <c r="AU525" t="s">
        <v>338</v>
      </c>
      <c r="AV525">
        <v>53.050000000000004</v>
      </c>
    </row>
    <row r="526" spans="40:48" x14ac:dyDescent="0.25">
      <c r="AN526" t="s">
        <v>25</v>
      </c>
      <c r="AO526" t="s">
        <v>26</v>
      </c>
      <c r="AP526">
        <v>2008</v>
      </c>
      <c r="AQ526" t="s">
        <v>28</v>
      </c>
      <c r="AR526" t="s">
        <v>335</v>
      </c>
      <c r="AS526" t="s">
        <v>306</v>
      </c>
      <c r="AT526" t="s">
        <v>243</v>
      </c>
      <c r="AU526" t="s">
        <v>339</v>
      </c>
      <c r="AV526">
        <v>72.55</v>
      </c>
    </row>
    <row r="527" spans="40:48" x14ac:dyDescent="0.25">
      <c r="AN527" t="s">
        <v>29</v>
      </c>
      <c r="AO527" t="s">
        <v>26</v>
      </c>
      <c r="AP527">
        <v>2005</v>
      </c>
      <c r="AQ527" t="s">
        <v>31</v>
      </c>
      <c r="AR527" t="s">
        <v>335</v>
      </c>
      <c r="AS527" t="s">
        <v>306</v>
      </c>
      <c r="AT527" t="s">
        <v>218</v>
      </c>
      <c r="AU527" t="s">
        <v>310</v>
      </c>
      <c r="AV527">
        <v>4.3</v>
      </c>
    </row>
    <row r="528" spans="40:48" x14ac:dyDescent="0.25">
      <c r="AN528" t="s">
        <v>29</v>
      </c>
      <c r="AO528" t="s">
        <v>26</v>
      </c>
      <c r="AP528">
        <v>2005</v>
      </c>
      <c r="AQ528" t="s">
        <v>31</v>
      </c>
      <c r="AR528" t="s">
        <v>335</v>
      </c>
      <c r="AS528" t="s">
        <v>306</v>
      </c>
      <c r="AT528" t="s">
        <v>218</v>
      </c>
      <c r="AU528" t="s">
        <v>311</v>
      </c>
      <c r="AV528">
        <v>8.15</v>
      </c>
    </row>
    <row r="529" spans="40:48" x14ac:dyDescent="0.25">
      <c r="AN529" t="s">
        <v>29</v>
      </c>
      <c r="AO529" t="s">
        <v>26</v>
      </c>
      <c r="AP529">
        <v>2005</v>
      </c>
      <c r="AQ529" t="s">
        <v>31</v>
      </c>
      <c r="AR529" t="s">
        <v>335</v>
      </c>
      <c r="AS529" t="s">
        <v>306</v>
      </c>
      <c r="AT529" t="s">
        <v>218</v>
      </c>
      <c r="AU529" t="s">
        <v>268</v>
      </c>
      <c r="AV529">
        <v>12.45</v>
      </c>
    </row>
    <row r="530" spans="40:48" x14ac:dyDescent="0.25">
      <c r="AN530" t="s">
        <v>29</v>
      </c>
      <c r="AO530" t="s">
        <v>26</v>
      </c>
      <c r="AP530">
        <v>2005</v>
      </c>
      <c r="AQ530" t="s">
        <v>31</v>
      </c>
      <c r="AR530" t="s">
        <v>335</v>
      </c>
      <c r="AS530" t="s">
        <v>306</v>
      </c>
      <c r="AT530" t="s">
        <v>238</v>
      </c>
      <c r="AU530" t="s">
        <v>310</v>
      </c>
      <c r="AV530">
        <v>3.6</v>
      </c>
    </row>
    <row r="531" spans="40:48" x14ac:dyDescent="0.25">
      <c r="AN531" t="s">
        <v>29</v>
      </c>
      <c r="AO531" t="s">
        <v>26</v>
      </c>
      <c r="AP531">
        <v>2005</v>
      </c>
      <c r="AQ531" t="s">
        <v>31</v>
      </c>
      <c r="AR531" t="s">
        <v>335</v>
      </c>
      <c r="AS531" t="s">
        <v>306</v>
      </c>
      <c r="AT531" t="s">
        <v>238</v>
      </c>
      <c r="AU531" t="s">
        <v>311</v>
      </c>
      <c r="AV531">
        <v>8.35</v>
      </c>
    </row>
    <row r="532" spans="40:48" x14ac:dyDescent="0.25">
      <c r="AN532" t="s">
        <v>29</v>
      </c>
      <c r="AO532" t="s">
        <v>26</v>
      </c>
      <c r="AP532">
        <v>2005</v>
      </c>
      <c r="AQ532" t="s">
        <v>31</v>
      </c>
      <c r="AR532" t="s">
        <v>335</v>
      </c>
      <c r="AS532" t="s">
        <v>306</v>
      </c>
      <c r="AT532" t="s">
        <v>238</v>
      </c>
      <c r="AU532" t="s">
        <v>268</v>
      </c>
      <c r="AV532">
        <v>11.95</v>
      </c>
    </row>
    <row r="533" spans="40:48" x14ac:dyDescent="0.25">
      <c r="AN533" t="s">
        <v>29</v>
      </c>
      <c r="AO533" t="s">
        <v>26</v>
      </c>
      <c r="AP533">
        <v>2005</v>
      </c>
      <c r="AQ533" t="s">
        <v>31</v>
      </c>
      <c r="AR533" t="s">
        <v>335</v>
      </c>
      <c r="AS533" t="s">
        <v>306</v>
      </c>
      <c r="AT533" t="s">
        <v>239</v>
      </c>
      <c r="AU533" t="s">
        <v>310</v>
      </c>
      <c r="AV533">
        <v>2.9</v>
      </c>
    </row>
    <row r="534" spans="40:48" x14ac:dyDescent="0.25">
      <c r="AN534" t="s">
        <v>29</v>
      </c>
      <c r="AO534" t="s">
        <v>26</v>
      </c>
      <c r="AP534">
        <v>2005</v>
      </c>
      <c r="AQ534" t="s">
        <v>31</v>
      </c>
      <c r="AR534" t="s">
        <v>335</v>
      </c>
      <c r="AS534" t="s">
        <v>306</v>
      </c>
      <c r="AT534" t="s">
        <v>239</v>
      </c>
      <c r="AU534" t="s">
        <v>311</v>
      </c>
      <c r="AV534">
        <v>8.1</v>
      </c>
    </row>
    <row r="535" spans="40:48" x14ac:dyDescent="0.25">
      <c r="AN535" t="s">
        <v>29</v>
      </c>
      <c r="AO535" t="s">
        <v>26</v>
      </c>
      <c r="AP535">
        <v>2005</v>
      </c>
      <c r="AQ535" t="s">
        <v>31</v>
      </c>
      <c r="AR535" t="s">
        <v>335</v>
      </c>
      <c r="AS535" t="s">
        <v>306</v>
      </c>
      <c r="AT535" t="s">
        <v>239</v>
      </c>
      <c r="AU535" t="s">
        <v>268</v>
      </c>
      <c r="AV535">
        <v>11</v>
      </c>
    </row>
    <row r="536" spans="40:48" x14ac:dyDescent="0.25">
      <c r="AN536" t="s">
        <v>29</v>
      </c>
      <c r="AO536" t="s">
        <v>26</v>
      </c>
      <c r="AP536">
        <v>2005</v>
      </c>
      <c r="AQ536" t="s">
        <v>31</v>
      </c>
      <c r="AR536" t="s">
        <v>335</v>
      </c>
      <c r="AS536" t="s">
        <v>306</v>
      </c>
      <c r="AT536" t="s">
        <v>240</v>
      </c>
      <c r="AU536" t="s">
        <v>310</v>
      </c>
      <c r="AV536">
        <v>4</v>
      </c>
    </row>
    <row r="537" spans="40:48" x14ac:dyDescent="0.25">
      <c r="AN537" t="s">
        <v>29</v>
      </c>
      <c r="AO537" t="s">
        <v>26</v>
      </c>
      <c r="AP537">
        <v>2005</v>
      </c>
      <c r="AQ537" t="s">
        <v>31</v>
      </c>
      <c r="AR537" t="s">
        <v>335</v>
      </c>
      <c r="AS537" t="s">
        <v>306</v>
      </c>
      <c r="AT537" t="s">
        <v>240</v>
      </c>
      <c r="AU537" t="s">
        <v>311</v>
      </c>
      <c r="AV537">
        <v>8.9499999999999993</v>
      </c>
    </row>
    <row r="538" spans="40:48" x14ac:dyDescent="0.25">
      <c r="AN538" t="s">
        <v>29</v>
      </c>
      <c r="AO538" t="s">
        <v>26</v>
      </c>
      <c r="AP538">
        <v>2005</v>
      </c>
      <c r="AQ538" t="s">
        <v>31</v>
      </c>
      <c r="AR538" t="s">
        <v>335</v>
      </c>
      <c r="AS538" t="s">
        <v>306</v>
      </c>
      <c r="AT538" t="s">
        <v>240</v>
      </c>
      <c r="AU538" t="s">
        <v>268</v>
      </c>
      <c r="AV538">
        <v>12.95</v>
      </c>
    </row>
    <row r="539" spans="40:48" x14ac:dyDescent="0.25">
      <c r="AN539" t="s">
        <v>29</v>
      </c>
      <c r="AO539" t="s">
        <v>26</v>
      </c>
      <c r="AP539">
        <v>2005</v>
      </c>
      <c r="AQ539" t="s">
        <v>31</v>
      </c>
      <c r="AR539" t="s">
        <v>335</v>
      </c>
      <c r="AS539" t="s">
        <v>306</v>
      </c>
      <c r="AT539" t="s">
        <v>316</v>
      </c>
      <c r="AU539" t="s">
        <v>310</v>
      </c>
      <c r="AV539">
        <v>3.4</v>
      </c>
    </row>
    <row r="540" spans="40:48" x14ac:dyDescent="0.25">
      <c r="AN540" t="s">
        <v>29</v>
      </c>
      <c r="AO540" t="s">
        <v>26</v>
      </c>
      <c r="AP540">
        <v>2005</v>
      </c>
      <c r="AQ540" t="s">
        <v>31</v>
      </c>
      <c r="AR540" t="s">
        <v>335</v>
      </c>
      <c r="AS540" t="s">
        <v>306</v>
      </c>
      <c r="AT540" t="s">
        <v>316</v>
      </c>
      <c r="AU540" t="s">
        <v>311</v>
      </c>
      <c r="AV540">
        <v>8.35</v>
      </c>
    </row>
    <row r="541" spans="40:48" x14ac:dyDescent="0.25">
      <c r="AN541" t="s">
        <v>29</v>
      </c>
      <c r="AO541" t="s">
        <v>26</v>
      </c>
      <c r="AP541">
        <v>2005</v>
      </c>
      <c r="AQ541" t="s">
        <v>31</v>
      </c>
      <c r="AR541" t="s">
        <v>335</v>
      </c>
      <c r="AS541" t="s">
        <v>306</v>
      </c>
      <c r="AT541" t="s">
        <v>316</v>
      </c>
      <c r="AU541" t="s">
        <v>268</v>
      </c>
      <c r="AV541">
        <v>11.75</v>
      </c>
    </row>
    <row r="542" spans="40:48" x14ac:dyDescent="0.25">
      <c r="AN542" t="s">
        <v>29</v>
      </c>
      <c r="AO542" t="s">
        <v>26</v>
      </c>
      <c r="AP542">
        <v>2005</v>
      </c>
      <c r="AQ542" t="s">
        <v>31</v>
      </c>
      <c r="AR542" t="s">
        <v>335</v>
      </c>
      <c r="AS542" t="s">
        <v>306</v>
      </c>
      <c r="AT542" t="s">
        <v>242</v>
      </c>
      <c r="AU542" t="s">
        <v>310</v>
      </c>
      <c r="AV542">
        <v>3</v>
      </c>
    </row>
    <row r="543" spans="40:48" x14ac:dyDescent="0.25">
      <c r="AN543" t="s">
        <v>29</v>
      </c>
      <c r="AO543" t="s">
        <v>26</v>
      </c>
      <c r="AP543">
        <v>2005</v>
      </c>
      <c r="AQ543" t="s">
        <v>31</v>
      </c>
      <c r="AR543" t="s">
        <v>335</v>
      </c>
      <c r="AS543" t="s">
        <v>306</v>
      </c>
      <c r="AT543" t="s">
        <v>242</v>
      </c>
      <c r="AU543" t="s">
        <v>311</v>
      </c>
      <c r="AV543">
        <v>7.9</v>
      </c>
    </row>
    <row r="544" spans="40:48" x14ac:dyDescent="0.25">
      <c r="AN544" t="s">
        <v>29</v>
      </c>
      <c r="AO544" t="s">
        <v>26</v>
      </c>
      <c r="AP544">
        <v>2005</v>
      </c>
      <c r="AQ544" t="s">
        <v>31</v>
      </c>
      <c r="AR544" t="s">
        <v>335</v>
      </c>
      <c r="AS544" t="s">
        <v>306</v>
      </c>
      <c r="AT544" t="s">
        <v>242</v>
      </c>
      <c r="AU544" t="s">
        <v>268</v>
      </c>
      <c r="AV544">
        <v>10.9</v>
      </c>
    </row>
    <row r="545" spans="40:48" x14ac:dyDescent="0.25">
      <c r="AN545" t="s">
        <v>29</v>
      </c>
      <c r="AO545" t="s">
        <v>26</v>
      </c>
      <c r="AP545">
        <v>2005</v>
      </c>
      <c r="AQ545" t="s">
        <v>31</v>
      </c>
      <c r="AR545" t="s">
        <v>335</v>
      </c>
      <c r="AS545" t="s">
        <v>306</v>
      </c>
      <c r="AT545" t="s">
        <v>243</v>
      </c>
      <c r="AU545" t="s">
        <v>337</v>
      </c>
      <c r="AV545">
        <v>21.2</v>
      </c>
    </row>
    <row r="546" spans="40:48" x14ac:dyDescent="0.25">
      <c r="AN546" t="s">
        <v>29</v>
      </c>
      <c r="AO546" t="s">
        <v>26</v>
      </c>
      <c r="AP546">
        <v>2005</v>
      </c>
      <c r="AQ546" t="s">
        <v>31</v>
      </c>
      <c r="AR546" t="s">
        <v>335</v>
      </c>
      <c r="AS546" t="s">
        <v>306</v>
      </c>
      <c r="AT546" t="s">
        <v>243</v>
      </c>
      <c r="AU546" t="s">
        <v>338</v>
      </c>
      <c r="AV546">
        <v>49.8</v>
      </c>
    </row>
    <row r="547" spans="40:48" x14ac:dyDescent="0.25">
      <c r="AN547" t="s">
        <v>29</v>
      </c>
      <c r="AO547" t="s">
        <v>26</v>
      </c>
      <c r="AP547">
        <v>2005</v>
      </c>
      <c r="AQ547" t="s">
        <v>31</v>
      </c>
      <c r="AR547" t="s">
        <v>335</v>
      </c>
      <c r="AS547" t="s">
        <v>306</v>
      </c>
      <c r="AT547" t="s">
        <v>243</v>
      </c>
      <c r="AU547" t="s">
        <v>339</v>
      </c>
      <c r="AV547">
        <v>71</v>
      </c>
    </row>
    <row r="548" spans="40:48" x14ac:dyDescent="0.25">
      <c r="AN548" t="s">
        <v>32</v>
      </c>
      <c r="AO548" t="s">
        <v>26</v>
      </c>
      <c r="AP548">
        <v>2005</v>
      </c>
      <c r="AQ548" t="s">
        <v>31</v>
      </c>
      <c r="AR548" t="s">
        <v>335</v>
      </c>
      <c r="AS548" t="s">
        <v>306</v>
      </c>
      <c r="AT548" t="s">
        <v>218</v>
      </c>
      <c r="AU548" t="s">
        <v>310</v>
      </c>
      <c r="AV548">
        <v>4.2</v>
      </c>
    </row>
    <row r="549" spans="40:48" x14ac:dyDescent="0.25">
      <c r="AN549" t="s">
        <v>32</v>
      </c>
      <c r="AO549" t="s">
        <v>26</v>
      </c>
      <c r="AP549">
        <v>2005</v>
      </c>
      <c r="AQ549" t="s">
        <v>31</v>
      </c>
      <c r="AR549" t="s">
        <v>335</v>
      </c>
      <c r="AS549" t="s">
        <v>306</v>
      </c>
      <c r="AT549" t="s">
        <v>218</v>
      </c>
      <c r="AU549" t="s">
        <v>311</v>
      </c>
      <c r="AV549">
        <v>8.5500000000000007</v>
      </c>
    </row>
    <row r="550" spans="40:48" x14ac:dyDescent="0.25">
      <c r="AN550" t="s">
        <v>32</v>
      </c>
      <c r="AO550" t="s">
        <v>26</v>
      </c>
      <c r="AP550">
        <v>2005</v>
      </c>
      <c r="AQ550" t="s">
        <v>31</v>
      </c>
      <c r="AR550" t="s">
        <v>335</v>
      </c>
      <c r="AS550" t="s">
        <v>306</v>
      </c>
      <c r="AT550" t="s">
        <v>218</v>
      </c>
      <c r="AU550" t="s">
        <v>268</v>
      </c>
      <c r="AV550">
        <v>12.75</v>
      </c>
    </row>
    <row r="551" spans="40:48" x14ac:dyDescent="0.25">
      <c r="AN551" t="s">
        <v>32</v>
      </c>
      <c r="AO551" t="s">
        <v>26</v>
      </c>
      <c r="AP551">
        <v>2005</v>
      </c>
      <c r="AQ551" t="s">
        <v>31</v>
      </c>
      <c r="AR551" t="s">
        <v>335</v>
      </c>
      <c r="AS551" t="s">
        <v>306</v>
      </c>
      <c r="AT551" t="s">
        <v>238</v>
      </c>
      <c r="AU551" t="s">
        <v>310</v>
      </c>
      <c r="AV551">
        <v>3.6</v>
      </c>
    </row>
    <row r="552" spans="40:48" x14ac:dyDescent="0.25">
      <c r="AN552" t="s">
        <v>32</v>
      </c>
      <c r="AO552" t="s">
        <v>26</v>
      </c>
      <c r="AP552">
        <v>2005</v>
      </c>
      <c r="AQ552" t="s">
        <v>31</v>
      </c>
      <c r="AR552" t="s">
        <v>335</v>
      </c>
      <c r="AS552" t="s">
        <v>306</v>
      </c>
      <c r="AT552" t="s">
        <v>238</v>
      </c>
      <c r="AU552" t="s">
        <v>311</v>
      </c>
      <c r="AV552">
        <v>6.2</v>
      </c>
    </row>
    <row r="553" spans="40:48" x14ac:dyDescent="0.25">
      <c r="AN553" t="s">
        <v>32</v>
      </c>
      <c r="AO553" t="s">
        <v>26</v>
      </c>
      <c r="AP553">
        <v>2005</v>
      </c>
      <c r="AQ553" t="s">
        <v>31</v>
      </c>
      <c r="AR553" t="s">
        <v>335</v>
      </c>
      <c r="AS553" t="s">
        <v>306</v>
      </c>
      <c r="AT553" t="s">
        <v>238</v>
      </c>
      <c r="AU553" t="s">
        <v>268</v>
      </c>
      <c r="AV553">
        <v>9.8000000000000007</v>
      </c>
    </row>
    <row r="554" spans="40:48" x14ac:dyDescent="0.25">
      <c r="AN554" t="s">
        <v>32</v>
      </c>
      <c r="AO554" t="s">
        <v>26</v>
      </c>
      <c r="AP554">
        <v>2005</v>
      </c>
      <c r="AQ554" t="s">
        <v>31</v>
      </c>
      <c r="AR554" t="s">
        <v>335</v>
      </c>
      <c r="AS554" t="s">
        <v>306</v>
      </c>
      <c r="AT554" t="s">
        <v>239</v>
      </c>
      <c r="AU554" t="s">
        <v>310</v>
      </c>
      <c r="AV554">
        <v>3.2</v>
      </c>
    </row>
    <row r="555" spans="40:48" x14ac:dyDescent="0.25">
      <c r="AN555" t="s">
        <v>32</v>
      </c>
      <c r="AO555" t="s">
        <v>26</v>
      </c>
      <c r="AP555">
        <v>2005</v>
      </c>
      <c r="AQ555" t="s">
        <v>31</v>
      </c>
      <c r="AR555" t="s">
        <v>335</v>
      </c>
      <c r="AS555" t="s">
        <v>306</v>
      </c>
      <c r="AT555" t="s">
        <v>239</v>
      </c>
      <c r="AU555" t="s">
        <v>311</v>
      </c>
      <c r="AV555">
        <v>9</v>
      </c>
    </row>
    <row r="556" spans="40:48" x14ac:dyDescent="0.25">
      <c r="AN556" t="s">
        <v>32</v>
      </c>
      <c r="AO556" t="s">
        <v>26</v>
      </c>
      <c r="AP556">
        <v>2005</v>
      </c>
      <c r="AQ556" t="s">
        <v>31</v>
      </c>
      <c r="AR556" t="s">
        <v>335</v>
      </c>
      <c r="AS556" t="s">
        <v>306</v>
      </c>
      <c r="AT556" t="s">
        <v>239</v>
      </c>
      <c r="AU556" t="s">
        <v>268</v>
      </c>
      <c r="AV556">
        <v>12.2</v>
      </c>
    </row>
    <row r="557" spans="40:48" x14ac:dyDescent="0.25">
      <c r="AN557" t="s">
        <v>32</v>
      </c>
      <c r="AO557" t="s">
        <v>26</v>
      </c>
      <c r="AP557">
        <v>2005</v>
      </c>
      <c r="AQ557" t="s">
        <v>31</v>
      </c>
      <c r="AR557" t="s">
        <v>335</v>
      </c>
      <c r="AS557" t="s">
        <v>306</v>
      </c>
      <c r="AT557" t="s">
        <v>240</v>
      </c>
      <c r="AU557" t="s">
        <v>310</v>
      </c>
      <c r="AV557">
        <v>3.2</v>
      </c>
    </row>
    <row r="558" spans="40:48" x14ac:dyDescent="0.25">
      <c r="AN558" t="s">
        <v>32</v>
      </c>
      <c r="AO558" t="s">
        <v>26</v>
      </c>
      <c r="AP558">
        <v>2005</v>
      </c>
      <c r="AQ558" t="s">
        <v>31</v>
      </c>
      <c r="AR558" t="s">
        <v>335</v>
      </c>
      <c r="AS558" t="s">
        <v>306</v>
      </c>
      <c r="AT558" t="s">
        <v>240</v>
      </c>
      <c r="AU558" t="s">
        <v>311</v>
      </c>
      <c r="AV558">
        <v>9.4499999999999993</v>
      </c>
    </row>
    <row r="559" spans="40:48" x14ac:dyDescent="0.25">
      <c r="AN559" t="s">
        <v>32</v>
      </c>
      <c r="AO559" t="s">
        <v>26</v>
      </c>
      <c r="AP559">
        <v>2005</v>
      </c>
      <c r="AQ559" t="s">
        <v>31</v>
      </c>
      <c r="AR559" t="s">
        <v>335</v>
      </c>
      <c r="AS559" t="s">
        <v>306</v>
      </c>
      <c r="AT559" t="s">
        <v>240</v>
      </c>
      <c r="AU559" t="s">
        <v>268</v>
      </c>
      <c r="AV559">
        <v>12.65</v>
      </c>
    </row>
    <row r="560" spans="40:48" x14ac:dyDescent="0.25">
      <c r="AN560" t="s">
        <v>32</v>
      </c>
      <c r="AO560" t="s">
        <v>26</v>
      </c>
      <c r="AP560">
        <v>2005</v>
      </c>
      <c r="AQ560" t="s">
        <v>31</v>
      </c>
      <c r="AR560" t="s">
        <v>335</v>
      </c>
      <c r="AS560" t="s">
        <v>306</v>
      </c>
      <c r="AT560" t="s">
        <v>316</v>
      </c>
      <c r="AU560" t="s">
        <v>310</v>
      </c>
      <c r="AV560">
        <v>3.4</v>
      </c>
    </row>
    <row r="561" spans="40:48" x14ac:dyDescent="0.25">
      <c r="AN561" t="s">
        <v>32</v>
      </c>
      <c r="AO561" t="s">
        <v>26</v>
      </c>
      <c r="AP561">
        <v>2005</v>
      </c>
      <c r="AQ561" t="s">
        <v>31</v>
      </c>
      <c r="AR561" t="s">
        <v>335</v>
      </c>
      <c r="AS561" t="s">
        <v>306</v>
      </c>
      <c r="AT561" t="s">
        <v>316</v>
      </c>
      <c r="AU561" t="s">
        <v>311</v>
      </c>
      <c r="AV561">
        <v>7.95</v>
      </c>
    </row>
    <row r="562" spans="40:48" x14ac:dyDescent="0.25">
      <c r="AN562" t="s">
        <v>32</v>
      </c>
      <c r="AO562" t="s">
        <v>26</v>
      </c>
      <c r="AP562">
        <v>2005</v>
      </c>
      <c r="AQ562" t="s">
        <v>31</v>
      </c>
      <c r="AR562" t="s">
        <v>335</v>
      </c>
      <c r="AS562" t="s">
        <v>306</v>
      </c>
      <c r="AT562" t="s">
        <v>316</v>
      </c>
      <c r="AU562" t="s">
        <v>268</v>
      </c>
      <c r="AV562">
        <v>11.35</v>
      </c>
    </row>
    <row r="563" spans="40:48" x14ac:dyDescent="0.25">
      <c r="AN563" t="s">
        <v>32</v>
      </c>
      <c r="AO563" t="s">
        <v>26</v>
      </c>
      <c r="AP563">
        <v>2005</v>
      </c>
      <c r="AQ563" t="s">
        <v>31</v>
      </c>
      <c r="AR563" t="s">
        <v>335</v>
      </c>
      <c r="AS563" t="s">
        <v>306</v>
      </c>
      <c r="AT563" t="s">
        <v>242</v>
      </c>
      <c r="AU563" t="s">
        <v>310</v>
      </c>
      <c r="AV563">
        <v>3.2</v>
      </c>
    </row>
    <row r="564" spans="40:48" x14ac:dyDescent="0.25">
      <c r="AN564" t="s">
        <v>32</v>
      </c>
      <c r="AO564" t="s">
        <v>26</v>
      </c>
      <c r="AP564">
        <v>2005</v>
      </c>
      <c r="AQ564" t="s">
        <v>31</v>
      </c>
      <c r="AR564" t="s">
        <v>335</v>
      </c>
      <c r="AS564" t="s">
        <v>306</v>
      </c>
      <c r="AT564" t="s">
        <v>242</v>
      </c>
      <c r="AU564" t="s">
        <v>311</v>
      </c>
      <c r="AV564">
        <v>7.8</v>
      </c>
    </row>
    <row r="565" spans="40:48" x14ac:dyDescent="0.25">
      <c r="AN565" t="s">
        <v>32</v>
      </c>
      <c r="AO565" t="s">
        <v>26</v>
      </c>
      <c r="AP565">
        <v>2005</v>
      </c>
      <c r="AQ565" t="s">
        <v>31</v>
      </c>
      <c r="AR565" t="s">
        <v>335</v>
      </c>
      <c r="AS565" t="s">
        <v>306</v>
      </c>
      <c r="AT565" t="s">
        <v>242</v>
      </c>
      <c r="AU565" t="s">
        <v>268</v>
      </c>
      <c r="AV565">
        <v>11</v>
      </c>
    </row>
    <row r="566" spans="40:48" x14ac:dyDescent="0.25">
      <c r="AN566" t="s">
        <v>32</v>
      </c>
      <c r="AO566" t="s">
        <v>26</v>
      </c>
      <c r="AP566">
        <v>2005</v>
      </c>
      <c r="AQ566" t="s">
        <v>31</v>
      </c>
      <c r="AR566" t="s">
        <v>335</v>
      </c>
      <c r="AS566" t="s">
        <v>306</v>
      </c>
      <c r="AT566" t="s">
        <v>243</v>
      </c>
      <c r="AU566" t="s">
        <v>337</v>
      </c>
      <c r="AV566">
        <v>20.799999999999997</v>
      </c>
    </row>
    <row r="567" spans="40:48" x14ac:dyDescent="0.25">
      <c r="AN567" t="s">
        <v>32</v>
      </c>
      <c r="AO567" t="s">
        <v>26</v>
      </c>
      <c r="AP567">
        <v>2005</v>
      </c>
      <c r="AQ567" t="s">
        <v>31</v>
      </c>
      <c r="AR567" t="s">
        <v>335</v>
      </c>
      <c r="AS567" t="s">
        <v>306</v>
      </c>
      <c r="AT567" t="s">
        <v>243</v>
      </c>
      <c r="AU567" t="s">
        <v>338</v>
      </c>
      <c r="AV567">
        <v>48.95</v>
      </c>
    </row>
    <row r="568" spans="40:48" x14ac:dyDescent="0.25">
      <c r="AN568" t="s">
        <v>32</v>
      </c>
      <c r="AO568" t="s">
        <v>26</v>
      </c>
      <c r="AP568">
        <v>2005</v>
      </c>
      <c r="AQ568" t="s">
        <v>31</v>
      </c>
      <c r="AR568" t="s">
        <v>335</v>
      </c>
      <c r="AS568" t="s">
        <v>306</v>
      </c>
      <c r="AT568" t="s">
        <v>243</v>
      </c>
      <c r="AU568" t="s">
        <v>339</v>
      </c>
      <c r="AV568">
        <v>69.75</v>
      </c>
    </row>
    <row r="569" spans="40:48" x14ac:dyDescent="0.25">
      <c r="AN569" t="s">
        <v>34</v>
      </c>
      <c r="AO569" t="s">
        <v>26</v>
      </c>
      <c r="AP569">
        <v>2006</v>
      </c>
      <c r="AQ569" t="s">
        <v>36</v>
      </c>
      <c r="AR569" t="s">
        <v>335</v>
      </c>
      <c r="AS569" t="s">
        <v>306</v>
      </c>
      <c r="AT569" t="s">
        <v>218</v>
      </c>
      <c r="AU569" t="s">
        <v>310</v>
      </c>
      <c r="AV569">
        <v>3.7</v>
      </c>
    </row>
    <row r="570" spans="40:48" x14ac:dyDescent="0.25">
      <c r="AN570" t="s">
        <v>34</v>
      </c>
      <c r="AO570" t="s">
        <v>26</v>
      </c>
      <c r="AP570">
        <v>2006</v>
      </c>
      <c r="AQ570" t="s">
        <v>36</v>
      </c>
      <c r="AR570" t="s">
        <v>335</v>
      </c>
      <c r="AS570" t="s">
        <v>306</v>
      </c>
      <c r="AT570" t="s">
        <v>218</v>
      </c>
      <c r="AU570" t="s">
        <v>311</v>
      </c>
      <c r="AV570">
        <v>8.1</v>
      </c>
    </row>
    <row r="571" spans="40:48" x14ac:dyDescent="0.25">
      <c r="AN571" t="s">
        <v>34</v>
      </c>
      <c r="AO571" t="s">
        <v>26</v>
      </c>
      <c r="AP571">
        <v>2006</v>
      </c>
      <c r="AQ571" t="s">
        <v>36</v>
      </c>
      <c r="AR571" t="s">
        <v>335</v>
      </c>
      <c r="AS571" t="s">
        <v>306</v>
      </c>
      <c r="AT571" t="s">
        <v>218</v>
      </c>
      <c r="AU571" t="s">
        <v>268</v>
      </c>
      <c r="AV571">
        <v>11.8</v>
      </c>
    </row>
    <row r="572" spans="40:48" x14ac:dyDescent="0.25">
      <c r="AN572" t="s">
        <v>34</v>
      </c>
      <c r="AO572" t="s">
        <v>26</v>
      </c>
      <c r="AP572">
        <v>2006</v>
      </c>
      <c r="AQ572" t="s">
        <v>36</v>
      </c>
      <c r="AR572" t="s">
        <v>335</v>
      </c>
      <c r="AS572" t="s">
        <v>306</v>
      </c>
      <c r="AT572" t="s">
        <v>238</v>
      </c>
      <c r="AU572" t="s">
        <v>310</v>
      </c>
      <c r="AV572">
        <v>3.9</v>
      </c>
    </row>
    <row r="573" spans="40:48" x14ac:dyDescent="0.25">
      <c r="AN573" t="s">
        <v>34</v>
      </c>
      <c r="AO573" t="s">
        <v>26</v>
      </c>
      <c r="AP573">
        <v>2006</v>
      </c>
      <c r="AQ573" t="s">
        <v>36</v>
      </c>
      <c r="AR573" t="s">
        <v>335</v>
      </c>
      <c r="AS573" t="s">
        <v>306</v>
      </c>
      <c r="AT573" t="s">
        <v>238</v>
      </c>
      <c r="AU573" t="s">
        <v>311</v>
      </c>
      <c r="AV573">
        <v>7</v>
      </c>
    </row>
    <row r="574" spans="40:48" x14ac:dyDescent="0.25">
      <c r="AN574" t="s">
        <v>34</v>
      </c>
      <c r="AO574" t="s">
        <v>26</v>
      </c>
      <c r="AP574">
        <v>2006</v>
      </c>
      <c r="AQ574" t="s">
        <v>36</v>
      </c>
      <c r="AR574" t="s">
        <v>335</v>
      </c>
      <c r="AS574" t="s">
        <v>306</v>
      </c>
      <c r="AT574" t="s">
        <v>238</v>
      </c>
      <c r="AU574" t="s">
        <v>268</v>
      </c>
      <c r="AV574">
        <v>10.9</v>
      </c>
    </row>
    <row r="575" spans="40:48" x14ac:dyDescent="0.25">
      <c r="AN575" t="s">
        <v>34</v>
      </c>
      <c r="AO575" t="s">
        <v>26</v>
      </c>
      <c r="AP575">
        <v>2006</v>
      </c>
      <c r="AQ575" t="s">
        <v>36</v>
      </c>
      <c r="AR575" t="s">
        <v>335</v>
      </c>
      <c r="AS575" t="s">
        <v>306</v>
      </c>
      <c r="AT575" t="s">
        <v>239</v>
      </c>
      <c r="AU575" t="s">
        <v>310</v>
      </c>
      <c r="AV575">
        <v>3.9</v>
      </c>
    </row>
    <row r="576" spans="40:48" x14ac:dyDescent="0.25">
      <c r="AN576" t="s">
        <v>34</v>
      </c>
      <c r="AO576" t="s">
        <v>26</v>
      </c>
      <c r="AP576">
        <v>2006</v>
      </c>
      <c r="AQ576" t="s">
        <v>36</v>
      </c>
      <c r="AR576" t="s">
        <v>335</v>
      </c>
      <c r="AS576" t="s">
        <v>306</v>
      </c>
      <c r="AT576" t="s">
        <v>239</v>
      </c>
      <c r="AU576" t="s">
        <v>311</v>
      </c>
      <c r="AV576">
        <v>8.1</v>
      </c>
    </row>
    <row r="577" spans="40:48" x14ac:dyDescent="0.25">
      <c r="AN577" t="s">
        <v>34</v>
      </c>
      <c r="AO577" t="s">
        <v>26</v>
      </c>
      <c r="AP577">
        <v>2006</v>
      </c>
      <c r="AQ577" t="s">
        <v>36</v>
      </c>
      <c r="AR577" t="s">
        <v>335</v>
      </c>
      <c r="AS577" t="s">
        <v>306</v>
      </c>
      <c r="AT577" t="s">
        <v>239</v>
      </c>
      <c r="AU577" t="s">
        <v>268</v>
      </c>
      <c r="AV577">
        <v>12</v>
      </c>
    </row>
    <row r="578" spans="40:48" x14ac:dyDescent="0.25">
      <c r="AN578" t="s">
        <v>34</v>
      </c>
      <c r="AO578" t="s">
        <v>26</v>
      </c>
      <c r="AP578">
        <v>2006</v>
      </c>
      <c r="AQ578" t="s">
        <v>36</v>
      </c>
      <c r="AR578" t="s">
        <v>335</v>
      </c>
      <c r="AS578" t="s">
        <v>306</v>
      </c>
      <c r="AT578" t="s">
        <v>240</v>
      </c>
      <c r="AU578" t="s">
        <v>310</v>
      </c>
      <c r="AV578">
        <v>2.4</v>
      </c>
    </row>
    <row r="579" spans="40:48" x14ac:dyDescent="0.25">
      <c r="AN579" t="s">
        <v>34</v>
      </c>
      <c r="AO579" t="s">
        <v>26</v>
      </c>
      <c r="AP579">
        <v>2006</v>
      </c>
      <c r="AQ579" t="s">
        <v>36</v>
      </c>
      <c r="AR579" t="s">
        <v>335</v>
      </c>
      <c r="AS579" t="s">
        <v>306</v>
      </c>
      <c r="AT579" t="s">
        <v>240</v>
      </c>
      <c r="AU579" t="s">
        <v>311</v>
      </c>
      <c r="AV579">
        <v>8.9</v>
      </c>
    </row>
    <row r="580" spans="40:48" x14ac:dyDescent="0.25">
      <c r="AN580" t="s">
        <v>34</v>
      </c>
      <c r="AO580" t="s">
        <v>26</v>
      </c>
      <c r="AP580">
        <v>2006</v>
      </c>
      <c r="AQ580" t="s">
        <v>36</v>
      </c>
      <c r="AR580" t="s">
        <v>335</v>
      </c>
      <c r="AS580" t="s">
        <v>306</v>
      </c>
      <c r="AT580" t="s">
        <v>240</v>
      </c>
      <c r="AU580" t="s">
        <v>268</v>
      </c>
      <c r="AV580">
        <v>11.3</v>
      </c>
    </row>
    <row r="581" spans="40:48" x14ac:dyDescent="0.25">
      <c r="AN581" t="s">
        <v>34</v>
      </c>
      <c r="AO581" t="s">
        <v>26</v>
      </c>
      <c r="AP581">
        <v>2006</v>
      </c>
      <c r="AQ581" t="s">
        <v>36</v>
      </c>
      <c r="AR581" t="s">
        <v>335</v>
      </c>
      <c r="AS581" t="s">
        <v>306</v>
      </c>
      <c r="AT581" t="s">
        <v>316</v>
      </c>
      <c r="AU581" t="s">
        <v>310</v>
      </c>
      <c r="AV581">
        <v>3.7</v>
      </c>
    </row>
    <row r="582" spans="40:48" x14ac:dyDescent="0.25">
      <c r="AN582" t="s">
        <v>34</v>
      </c>
      <c r="AO582" t="s">
        <v>26</v>
      </c>
      <c r="AP582">
        <v>2006</v>
      </c>
      <c r="AQ582" t="s">
        <v>36</v>
      </c>
      <c r="AR582" t="s">
        <v>335</v>
      </c>
      <c r="AS582" t="s">
        <v>306</v>
      </c>
      <c r="AT582" t="s">
        <v>316</v>
      </c>
      <c r="AU582" t="s">
        <v>311</v>
      </c>
      <c r="AV582">
        <v>7.45</v>
      </c>
    </row>
    <row r="583" spans="40:48" x14ac:dyDescent="0.25">
      <c r="AN583" t="s">
        <v>34</v>
      </c>
      <c r="AO583" t="s">
        <v>26</v>
      </c>
      <c r="AP583">
        <v>2006</v>
      </c>
      <c r="AQ583" t="s">
        <v>36</v>
      </c>
      <c r="AR583" t="s">
        <v>335</v>
      </c>
      <c r="AS583" t="s">
        <v>306</v>
      </c>
      <c r="AT583" t="s">
        <v>316</v>
      </c>
      <c r="AU583" t="s">
        <v>268</v>
      </c>
      <c r="AV583">
        <v>11.15</v>
      </c>
    </row>
    <row r="584" spans="40:48" x14ac:dyDescent="0.25">
      <c r="AN584" t="s">
        <v>34</v>
      </c>
      <c r="AO584" t="s">
        <v>26</v>
      </c>
      <c r="AP584">
        <v>2006</v>
      </c>
      <c r="AQ584" t="s">
        <v>36</v>
      </c>
      <c r="AR584" t="s">
        <v>335</v>
      </c>
      <c r="AS584" t="s">
        <v>306</v>
      </c>
      <c r="AT584" t="s">
        <v>242</v>
      </c>
      <c r="AU584" t="s">
        <v>310</v>
      </c>
      <c r="AV584">
        <v>3.4</v>
      </c>
    </row>
    <row r="585" spans="40:48" x14ac:dyDescent="0.25">
      <c r="AN585" t="s">
        <v>34</v>
      </c>
      <c r="AO585" t="s">
        <v>26</v>
      </c>
      <c r="AP585">
        <v>2006</v>
      </c>
      <c r="AQ585" t="s">
        <v>36</v>
      </c>
      <c r="AR585" t="s">
        <v>335</v>
      </c>
      <c r="AS585" t="s">
        <v>306</v>
      </c>
      <c r="AT585" t="s">
        <v>242</v>
      </c>
      <c r="AU585" t="s">
        <v>311</v>
      </c>
      <c r="AV585">
        <v>7.5</v>
      </c>
    </row>
    <row r="586" spans="40:48" x14ac:dyDescent="0.25">
      <c r="AN586" t="s">
        <v>34</v>
      </c>
      <c r="AO586" t="s">
        <v>26</v>
      </c>
      <c r="AP586">
        <v>2006</v>
      </c>
      <c r="AQ586" t="s">
        <v>36</v>
      </c>
      <c r="AR586" t="s">
        <v>335</v>
      </c>
      <c r="AS586" t="s">
        <v>306</v>
      </c>
      <c r="AT586" t="s">
        <v>242</v>
      </c>
      <c r="AU586" t="s">
        <v>268</v>
      </c>
      <c r="AV586">
        <v>10.9</v>
      </c>
    </row>
    <row r="587" spans="40:48" x14ac:dyDescent="0.25">
      <c r="AN587" t="s">
        <v>34</v>
      </c>
      <c r="AO587" t="s">
        <v>26</v>
      </c>
      <c r="AP587">
        <v>2006</v>
      </c>
      <c r="AQ587" t="s">
        <v>36</v>
      </c>
      <c r="AR587" t="s">
        <v>335</v>
      </c>
      <c r="AS587" t="s">
        <v>306</v>
      </c>
      <c r="AT587" t="s">
        <v>243</v>
      </c>
      <c r="AU587" t="s">
        <v>337</v>
      </c>
      <c r="AV587">
        <v>21</v>
      </c>
    </row>
    <row r="588" spans="40:48" x14ac:dyDescent="0.25">
      <c r="AN588" t="s">
        <v>34</v>
      </c>
      <c r="AO588" t="s">
        <v>26</v>
      </c>
      <c r="AP588">
        <v>2006</v>
      </c>
      <c r="AQ588" t="s">
        <v>36</v>
      </c>
      <c r="AR588" t="s">
        <v>335</v>
      </c>
      <c r="AS588" t="s">
        <v>306</v>
      </c>
      <c r="AT588" t="s">
        <v>243</v>
      </c>
      <c r="AU588" t="s">
        <v>338</v>
      </c>
      <c r="AV588">
        <v>47.050000000000004</v>
      </c>
    </row>
    <row r="589" spans="40:48" x14ac:dyDescent="0.25">
      <c r="AN589" t="s">
        <v>34</v>
      </c>
      <c r="AO589" t="s">
        <v>26</v>
      </c>
      <c r="AP589">
        <v>2006</v>
      </c>
      <c r="AQ589" t="s">
        <v>36</v>
      </c>
      <c r="AR589" t="s">
        <v>335</v>
      </c>
      <c r="AS589" t="s">
        <v>306</v>
      </c>
      <c r="AT589" t="s">
        <v>243</v>
      </c>
      <c r="AU589" t="s">
        <v>339</v>
      </c>
      <c r="AV589">
        <v>68.05</v>
      </c>
    </row>
    <row r="590" spans="40:48" x14ac:dyDescent="0.25">
      <c r="AN590" t="s">
        <v>37</v>
      </c>
      <c r="AO590" t="s">
        <v>26</v>
      </c>
      <c r="AP590">
        <v>2006</v>
      </c>
      <c r="AQ590" t="s">
        <v>39</v>
      </c>
      <c r="AR590" t="s">
        <v>335</v>
      </c>
      <c r="AS590" t="s">
        <v>306</v>
      </c>
      <c r="AT590" t="s">
        <v>218</v>
      </c>
      <c r="AU590" t="s">
        <v>310</v>
      </c>
      <c r="AV590">
        <v>3.3</v>
      </c>
    </row>
    <row r="591" spans="40:48" x14ac:dyDescent="0.25">
      <c r="AN591" t="s">
        <v>37</v>
      </c>
      <c r="AO591" t="s">
        <v>26</v>
      </c>
      <c r="AP591">
        <v>2006</v>
      </c>
      <c r="AQ591" t="s">
        <v>39</v>
      </c>
      <c r="AR591" t="s">
        <v>335</v>
      </c>
      <c r="AS591" t="s">
        <v>306</v>
      </c>
      <c r="AT591" t="s">
        <v>218</v>
      </c>
      <c r="AU591" t="s">
        <v>311</v>
      </c>
      <c r="AV591">
        <v>8.3000000000000007</v>
      </c>
    </row>
    <row r="592" spans="40:48" x14ac:dyDescent="0.25">
      <c r="AN592" t="s">
        <v>37</v>
      </c>
      <c r="AO592" t="s">
        <v>26</v>
      </c>
      <c r="AP592">
        <v>2006</v>
      </c>
      <c r="AQ592" t="s">
        <v>39</v>
      </c>
      <c r="AR592" t="s">
        <v>335</v>
      </c>
      <c r="AS592" t="s">
        <v>306</v>
      </c>
      <c r="AT592" t="s">
        <v>218</v>
      </c>
      <c r="AU592" t="s">
        <v>268</v>
      </c>
      <c r="AV592">
        <v>11.6</v>
      </c>
    </row>
    <row r="593" spans="40:48" x14ac:dyDescent="0.25">
      <c r="AN593" t="s">
        <v>37</v>
      </c>
      <c r="AO593" t="s">
        <v>26</v>
      </c>
      <c r="AP593">
        <v>2006</v>
      </c>
      <c r="AQ593" t="s">
        <v>39</v>
      </c>
      <c r="AR593" t="s">
        <v>335</v>
      </c>
      <c r="AS593" t="s">
        <v>306</v>
      </c>
      <c r="AT593" t="s">
        <v>238</v>
      </c>
      <c r="AU593" t="s">
        <v>310</v>
      </c>
      <c r="AV593">
        <v>4.3</v>
      </c>
    </row>
    <row r="594" spans="40:48" x14ac:dyDescent="0.25">
      <c r="AN594" t="s">
        <v>37</v>
      </c>
      <c r="AO594" t="s">
        <v>26</v>
      </c>
      <c r="AP594">
        <v>2006</v>
      </c>
      <c r="AQ594" t="s">
        <v>39</v>
      </c>
      <c r="AR594" t="s">
        <v>335</v>
      </c>
      <c r="AS594" t="s">
        <v>306</v>
      </c>
      <c r="AT594" t="s">
        <v>238</v>
      </c>
      <c r="AU594" t="s">
        <v>311</v>
      </c>
      <c r="AV594">
        <v>7.9</v>
      </c>
    </row>
    <row r="595" spans="40:48" x14ac:dyDescent="0.25">
      <c r="AN595" t="s">
        <v>37</v>
      </c>
      <c r="AO595" t="s">
        <v>26</v>
      </c>
      <c r="AP595">
        <v>2006</v>
      </c>
      <c r="AQ595" t="s">
        <v>39</v>
      </c>
      <c r="AR595" t="s">
        <v>335</v>
      </c>
      <c r="AS595" t="s">
        <v>306</v>
      </c>
      <c r="AT595" t="s">
        <v>238</v>
      </c>
      <c r="AU595" t="s">
        <v>268</v>
      </c>
      <c r="AV595">
        <v>12.2</v>
      </c>
    </row>
    <row r="596" spans="40:48" x14ac:dyDescent="0.25">
      <c r="AN596" t="s">
        <v>37</v>
      </c>
      <c r="AO596" t="s">
        <v>26</v>
      </c>
      <c r="AP596">
        <v>2006</v>
      </c>
      <c r="AQ596" t="s">
        <v>39</v>
      </c>
      <c r="AR596" t="s">
        <v>335</v>
      </c>
      <c r="AS596" t="s">
        <v>306</v>
      </c>
      <c r="AT596" t="s">
        <v>239</v>
      </c>
      <c r="AU596" t="s">
        <v>310</v>
      </c>
      <c r="AV596">
        <v>3</v>
      </c>
    </row>
    <row r="597" spans="40:48" x14ac:dyDescent="0.25">
      <c r="AN597" t="s">
        <v>37</v>
      </c>
      <c r="AO597" t="s">
        <v>26</v>
      </c>
      <c r="AP597">
        <v>2006</v>
      </c>
      <c r="AQ597" t="s">
        <v>39</v>
      </c>
      <c r="AR597" t="s">
        <v>335</v>
      </c>
      <c r="AS597" t="s">
        <v>306</v>
      </c>
      <c r="AT597" t="s">
        <v>239</v>
      </c>
      <c r="AU597" t="s">
        <v>311</v>
      </c>
      <c r="AV597">
        <v>8</v>
      </c>
    </row>
    <row r="598" spans="40:48" x14ac:dyDescent="0.25">
      <c r="AN598" t="s">
        <v>37</v>
      </c>
      <c r="AO598" t="s">
        <v>26</v>
      </c>
      <c r="AP598">
        <v>2006</v>
      </c>
      <c r="AQ598" t="s">
        <v>39</v>
      </c>
      <c r="AR598" t="s">
        <v>335</v>
      </c>
      <c r="AS598" t="s">
        <v>306</v>
      </c>
      <c r="AT598" t="s">
        <v>239</v>
      </c>
      <c r="AU598" t="s">
        <v>268</v>
      </c>
      <c r="AV598">
        <v>11</v>
      </c>
    </row>
    <row r="599" spans="40:48" x14ac:dyDescent="0.25">
      <c r="AN599" t="s">
        <v>37</v>
      </c>
      <c r="AO599" t="s">
        <v>26</v>
      </c>
      <c r="AP599">
        <v>2006</v>
      </c>
      <c r="AQ599" t="s">
        <v>39</v>
      </c>
      <c r="AR599" t="s">
        <v>335</v>
      </c>
      <c r="AS599" t="s">
        <v>306</v>
      </c>
      <c r="AT599" t="s">
        <v>240</v>
      </c>
      <c r="AU599" t="s">
        <v>310</v>
      </c>
      <c r="AV599">
        <v>3.2</v>
      </c>
    </row>
    <row r="600" spans="40:48" x14ac:dyDescent="0.25">
      <c r="AN600" t="s">
        <v>37</v>
      </c>
      <c r="AO600" t="s">
        <v>26</v>
      </c>
      <c r="AP600">
        <v>2006</v>
      </c>
      <c r="AQ600" t="s">
        <v>39</v>
      </c>
      <c r="AR600" t="s">
        <v>335</v>
      </c>
      <c r="AS600" t="s">
        <v>306</v>
      </c>
      <c r="AT600" t="s">
        <v>240</v>
      </c>
      <c r="AU600" t="s">
        <v>311</v>
      </c>
      <c r="AV600">
        <v>8.6</v>
      </c>
    </row>
    <row r="601" spans="40:48" x14ac:dyDescent="0.25">
      <c r="AN601" t="s">
        <v>37</v>
      </c>
      <c r="AO601" t="s">
        <v>26</v>
      </c>
      <c r="AP601">
        <v>2006</v>
      </c>
      <c r="AQ601" t="s">
        <v>39</v>
      </c>
      <c r="AR601" t="s">
        <v>335</v>
      </c>
      <c r="AS601" t="s">
        <v>306</v>
      </c>
      <c r="AT601" t="s">
        <v>240</v>
      </c>
      <c r="AU601" t="s">
        <v>268</v>
      </c>
      <c r="AV601">
        <v>11.8</v>
      </c>
    </row>
    <row r="602" spans="40:48" x14ac:dyDescent="0.25">
      <c r="AN602" t="s">
        <v>37</v>
      </c>
      <c r="AO602" t="s">
        <v>26</v>
      </c>
      <c r="AP602">
        <v>2006</v>
      </c>
      <c r="AQ602" t="s">
        <v>39</v>
      </c>
      <c r="AR602" t="s">
        <v>335</v>
      </c>
      <c r="AS602" t="s">
        <v>306</v>
      </c>
      <c r="AT602" t="s">
        <v>316</v>
      </c>
      <c r="AU602" t="s">
        <v>310</v>
      </c>
      <c r="AV602">
        <v>3.1</v>
      </c>
    </row>
    <row r="603" spans="40:48" x14ac:dyDescent="0.25">
      <c r="AN603" t="s">
        <v>37</v>
      </c>
      <c r="AO603" t="s">
        <v>26</v>
      </c>
      <c r="AP603">
        <v>2006</v>
      </c>
      <c r="AQ603" t="s">
        <v>39</v>
      </c>
      <c r="AR603" t="s">
        <v>335</v>
      </c>
      <c r="AS603" t="s">
        <v>306</v>
      </c>
      <c r="AT603" t="s">
        <v>316</v>
      </c>
      <c r="AU603" t="s">
        <v>311</v>
      </c>
      <c r="AV603">
        <v>8</v>
      </c>
    </row>
    <row r="604" spans="40:48" x14ac:dyDescent="0.25">
      <c r="AN604" t="s">
        <v>37</v>
      </c>
      <c r="AO604" t="s">
        <v>26</v>
      </c>
      <c r="AP604">
        <v>2006</v>
      </c>
      <c r="AQ604" t="s">
        <v>39</v>
      </c>
      <c r="AR604" t="s">
        <v>335</v>
      </c>
      <c r="AS604" t="s">
        <v>306</v>
      </c>
      <c r="AT604" t="s">
        <v>316</v>
      </c>
      <c r="AU604" t="s">
        <v>268</v>
      </c>
      <c r="AV604">
        <v>11.1</v>
      </c>
    </row>
    <row r="605" spans="40:48" x14ac:dyDescent="0.25">
      <c r="AN605" t="s">
        <v>37</v>
      </c>
      <c r="AO605" t="s">
        <v>26</v>
      </c>
      <c r="AP605">
        <v>2006</v>
      </c>
      <c r="AQ605" t="s">
        <v>39</v>
      </c>
      <c r="AR605" t="s">
        <v>335</v>
      </c>
      <c r="AS605" t="s">
        <v>306</v>
      </c>
      <c r="AT605" t="s">
        <v>242</v>
      </c>
      <c r="AU605" t="s">
        <v>310</v>
      </c>
      <c r="AV605">
        <v>3</v>
      </c>
    </row>
    <row r="606" spans="40:48" x14ac:dyDescent="0.25">
      <c r="AN606" t="s">
        <v>37</v>
      </c>
      <c r="AO606" t="s">
        <v>26</v>
      </c>
      <c r="AP606">
        <v>2006</v>
      </c>
      <c r="AQ606" t="s">
        <v>39</v>
      </c>
      <c r="AR606" t="s">
        <v>335</v>
      </c>
      <c r="AS606" t="s">
        <v>306</v>
      </c>
      <c r="AT606" t="s">
        <v>242</v>
      </c>
      <c r="AU606" t="s">
        <v>311</v>
      </c>
      <c r="AV606">
        <v>7.2</v>
      </c>
    </row>
    <row r="607" spans="40:48" x14ac:dyDescent="0.25">
      <c r="AN607" t="s">
        <v>37</v>
      </c>
      <c r="AO607" t="s">
        <v>26</v>
      </c>
      <c r="AP607">
        <v>2006</v>
      </c>
      <c r="AQ607" t="s">
        <v>39</v>
      </c>
      <c r="AR607" t="s">
        <v>335</v>
      </c>
      <c r="AS607" t="s">
        <v>306</v>
      </c>
      <c r="AT607" t="s">
        <v>242</v>
      </c>
      <c r="AU607" t="s">
        <v>268</v>
      </c>
      <c r="AV607">
        <v>10.199999999999999</v>
      </c>
    </row>
    <row r="608" spans="40:48" x14ac:dyDescent="0.25">
      <c r="AN608" t="s">
        <v>37</v>
      </c>
      <c r="AO608" t="s">
        <v>26</v>
      </c>
      <c r="AP608">
        <v>2006</v>
      </c>
      <c r="AQ608" t="s">
        <v>39</v>
      </c>
      <c r="AR608" t="s">
        <v>335</v>
      </c>
      <c r="AS608" t="s">
        <v>306</v>
      </c>
      <c r="AT608" t="s">
        <v>243</v>
      </c>
      <c r="AU608" t="s">
        <v>337</v>
      </c>
      <c r="AV608">
        <v>19.900000000000002</v>
      </c>
    </row>
    <row r="609" spans="40:48" x14ac:dyDescent="0.25">
      <c r="AN609" t="s">
        <v>37</v>
      </c>
      <c r="AO609" t="s">
        <v>26</v>
      </c>
      <c r="AP609">
        <v>2006</v>
      </c>
      <c r="AQ609" t="s">
        <v>39</v>
      </c>
      <c r="AR609" t="s">
        <v>335</v>
      </c>
      <c r="AS609" t="s">
        <v>306</v>
      </c>
      <c r="AT609" t="s">
        <v>243</v>
      </c>
      <c r="AU609" t="s">
        <v>338</v>
      </c>
      <c r="AV609">
        <v>48.000000000000007</v>
      </c>
    </row>
    <row r="610" spans="40:48" x14ac:dyDescent="0.25">
      <c r="AN610" t="s">
        <v>37</v>
      </c>
      <c r="AO610" t="s">
        <v>26</v>
      </c>
      <c r="AP610">
        <v>2006</v>
      </c>
      <c r="AQ610" t="s">
        <v>39</v>
      </c>
      <c r="AR610" t="s">
        <v>335</v>
      </c>
      <c r="AS610" t="s">
        <v>306</v>
      </c>
      <c r="AT610" t="s">
        <v>243</v>
      </c>
      <c r="AU610" t="s">
        <v>339</v>
      </c>
      <c r="AV610">
        <v>67.899999999999991</v>
      </c>
    </row>
    <row r="611" spans="40:48" x14ac:dyDescent="0.25">
      <c r="AN611" t="s">
        <v>40</v>
      </c>
      <c r="AO611" t="s">
        <v>26</v>
      </c>
      <c r="AP611">
        <v>2007</v>
      </c>
      <c r="AQ611" t="s">
        <v>39</v>
      </c>
      <c r="AR611" t="s">
        <v>335</v>
      </c>
      <c r="AS611" t="s">
        <v>306</v>
      </c>
      <c r="AT611" t="s">
        <v>218</v>
      </c>
      <c r="AU611" t="s">
        <v>310</v>
      </c>
      <c r="AV611">
        <v>3.4</v>
      </c>
    </row>
    <row r="612" spans="40:48" x14ac:dyDescent="0.25">
      <c r="AN612" t="s">
        <v>40</v>
      </c>
      <c r="AO612" t="s">
        <v>26</v>
      </c>
      <c r="AP612">
        <v>2007</v>
      </c>
      <c r="AQ612" t="s">
        <v>39</v>
      </c>
      <c r="AR612" t="s">
        <v>335</v>
      </c>
      <c r="AS612" t="s">
        <v>306</v>
      </c>
      <c r="AT612" t="s">
        <v>218</v>
      </c>
      <c r="AU612" t="s">
        <v>311</v>
      </c>
      <c r="AV612">
        <v>8.1999999999999993</v>
      </c>
    </row>
    <row r="613" spans="40:48" x14ac:dyDescent="0.25">
      <c r="AN613" t="s">
        <v>40</v>
      </c>
      <c r="AO613" t="s">
        <v>26</v>
      </c>
      <c r="AP613">
        <v>2007</v>
      </c>
      <c r="AQ613" t="s">
        <v>39</v>
      </c>
      <c r="AR613" t="s">
        <v>335</v>
      </c>
      <c r="AS613" t="s">
        <v>306</v>
      </c>
      <c r="AT613" t="s">
        <v>218</v>
      </c>
      <c r="AU613" t="s">
        <v>268</v>
      </c>
      <c r="AV613">
        <v>11.6</v>
      </c>
    </row>
    <row r="614" spans="40:48" x14ac:dyDescent="0.25">
      <c r="AN614" t="s">
        <v>40</v>
      </c>
      <c r="AO614" t="s">
        <v>26</v>
      </c>
      <c r="AP614">
        <v>2007</v>
      </c>
      <c r="AQ614" t="s">
        <v>39</v>
      </c>
      <c r="AR614" t="s">
        <v>335</v>
      </c>
      <c r="AS614" t="s">
        <v>306</v>
      </c>
      <c r="AT614" t="s">
        <v>238</v>
      </c>
      <c r="AU614" t="s">
        <v>310</v>
      </c>
      <c r="AV614">
        <v>2.9</v>
      </c>
    </row>
    <row r="615" spans="40:48" x14ac:dyDescent="0.25">
      <c r="AN615" t="s">
        <v>40</v>
      </c>
      <c r="AO615" t="s">
        <v>26</v>
      </c>
      <c r="AP615">
        <v>2007</v>
      </c>
      <c r="AQ615" t="s">
        <v>39</v>
      </c>
      <c r="AR615" t="s">
        <v>335</v>
      </c>
      <c r="AS615" t="s">
        <v>306</v>
      </c>
      <c r="AT615" t="s">
        <v>238</v>
      </c>
      <c r="AU615" t="s">
        <v>311</v>
      </c>
      <c r="AV615">
        <v>7.2</v>
      </c>
    </row>
    <row r="616" spans="40:48" x14ac:dyDescent="0.25">
      <c r="AN616" t="s">
        <v>40</v>
      </c>
      <c r="AO616" t="s">
        <v>26</v>
      </c>
      <c r="AP616">
        <v>2007</v>
      </c>
      <c r="AQ616" t="s">
        <v>39</v>
      </c>
      <c r="AR616" t="s">
        <v>335</v>
      </c>
      <c r="AS616" t="s">
        <v>306</v>
      </c>
      <c r="AT616" t="s">
        <v>238</v>
      </c>
      <c r="AU616" t="s">
        <v>268</v>
      </c>
      <c r="AV616">
        <v>10.1</v>
      </c>
    </row>
    <row r="617" spans="40:48" x14ac:dyDescent="0.25">
      <c r="AN617" t="s">
        <v>40</v>
      </c>
      <c r="AO617" t="s">
        <v>26</v>
      </c>
      <c r="AP617">
        <v>2007</v>
      </c>
      <c r="AQ617" t="s">
        <v>39</v>
      </c>
      <c r="AR617" t="s">
        <v>335</v>
      </c>
      <c r="AS617" t="s">
        <v>306</v>
      </c>
      <c r="AT617" t="s">
        <v>239</v>
      </c>
      <c r="AU617" t="s">
        <v>310</v>
      </c>
      <c r="AV617">
        <v>3.4</v>
      </c>
    </row>
    <row r="618" spans="40:48" x14ac:dyDescent="0.25">
      <c r="AN618" t="s">
        <v>40</v>
      </c>
      <c r="AO618" t="s">
        <v>26</v>
      </c>
      <c r="AP618">
        <v>2007</v>
      </c>
      <c r="AQ618" t="s">
        <v>39</v>
      </c>
      <c r="AR618" t="s">
        <v>335</v>
      </c>
      <c r="AS618" t="s">
        <v>306</v>
      </c>
      <c r="AT618" t="s">
        <v>239</v>
      </c>
      <c r="AU618" t="s">
        <v>311</v>
      </c>
      <c r="AV618">
        <v>8.1999999999999993</v>
      </c>
    </row>
    <row r="619" spans="40:48" x14ac:dyDescent="0.25">
      <c r="AN619" t="s">
        <v>40</v>
      </c>
      <c r="AO619" t="s">
        <v>26</v>
      </c>
      <c r="AP619">
        <v>2007</v>
      </c>
      <c r="AQ619" t="s">
        <v>39</v>
      </c>
      <c r="AR619" t="s">
        <v>335</v>
      </c>
      <c r="AS619" t="s">
        <v>306</v>
      </c>
      <c r="AT619" t="s">
        <v>239</v>
      </c>
      <c r="AU619" t="s">
        <v>268</v>
      </c>
      <c r="AV619">
        <v>11.6</v>
      </c>
    </row>
    <row r="620" spans="40:48" x14ac:dyDescent="0.25">
      <c r="AN620" t="s">
        <v>40</v>
      </c>
      <c r="AO620" t="s">
        <v>26</v>
      </c>
      <c r="AP620">
        <v>2007</v>
      </c>
      <c r="AQ620" t="s">
        <v>39</v>
      </c>
      <c r="AR620" t="s">
        <v>335</v>
      </c>
      <c r="AS620" t="s">
        <v>306</v>
      </c>
      <c r="AT620" t="s">
        <v>240</v>
      </c>
      <c r="AU620" t="s">
        <v>310</v>
      </c>
      <c r="AV620">
        <v>4</v>
      </c>
    </row>
    <row r="621" spans="40:48" x14ac:dyDescent="0.25">
      <c r="AN621" t="s">
        <v>40</v>
      </c>
      <c r="AO621" t="s">
        <v>26</v>
      </c>
      <c r="AP621">
        <v>2007</v>
      </c>
      <c r="AQ621" t="s">
        <v>39</v>
      </c>
      <c r="AR621" t="s">
        <v>335</v>
      </c>
      <c r="AS621" t="s">
        <v>306</v>
      </c>
      <c r="AT621" t="s">
        <v>240</v>
      </c>
      <c r="AU621" t="s">
        <v>311</v>
      </c>
      <c r="AV621">
        <v>7.95</v>
      </c>
    </row>
    <row r="622" spans="40:48" x14ac:dyDescent="0.25">
      <c r="AN622" t="s">
        <v>40</v>
      </c>
      <c r="AO622" t="s">
        <v>26</v>
      </c>
      <c r="AP622">
        <v>2007</v>
      </c>
      <c r="AQ622" t="s">
        <v>39</v>
      </c>
      <c r="AR622" t="s">
        <v>335</v>
      </c>
      <c r="AS622" t="s">
        <v>306</v>
      </c>
      <c r="AT622" t="s">
        <v>240</v>
      </c>
      <c r="AU622" t="s">
        <v>268</v>
      </c>
      <c r="AV622">
        <v>11.95</v>
      </c>
    </row>
    <row r="623" spans="40:48" x14ac:dyDescent="0.25">
      <c r="AN623" t="s">
        <v>40</v>
      </c>
      <c r="AO623" t="s">
        <v>26</v>
      </c>
      <c r="AP623">
        <v>2007</v>
      </c>
      <c r="AQ623" t="s">
        <v>39</v>
      </c>
      <c r="AR623" t="s">
        <v>335</v>
      </c>
      <c r="AS623" t="s">
        <v>306</v>
      </c>
      <c r="AT623" t="s">
        <v>316</v>
      </c>
      <c r="AU623" t="s">
        <v>310</v>
      </c>
      <c r="AV623">
        <v>3</v>
      </c>
    </row>
    <row r="624" spans="40:48" x14ac:dyDescent="0.25">
      <c r="AN624" t="s">
        <v>40</v>
      </c>
      <c r="AO624" t="s">
        <v>26</v>
      </c>
      <c r="AP624">
        <v>2007</v>
      </c>
      <c r="AQ624" t="s">
        <v>39</v>
      </c>
      <c r="AR624" t="s">
        <v>335</v>
      </c>
      <c r="AS624" t="s">
        <v>306</v>
      </c>
      <c r="AT624" t="s">
        <v>316</v>
      </c>
      <c r="AU624" t="s">
        <v>311</v>
      </c>
      <c r="AV624">
        <v>8.1999999999999993</v>
      </c>
    </row>
    <row r="625" spans="40:48" x14ac:dyDescent="0.25">
      <c r="AN625" t="s">
        <v>40</v>
      </c>
      <c r="AO625" t="s">
        <v>26</v>
      </c>
      <c r="AP625">
        <v>2007</v>
      </c>
      <c r="AQ625" t="s">
        <v>39</v>
      </c>
      <c r="AR625" t="s">
        <v>335</v>
      </c>
      <c r="AS625" t="s">
        <v>306</v>
      </c>
      <c r="AT625" t="s">
        <v>316</v>
      </c>
      <c r="AU625" t="s">
        <v>268</v>
      </c>
      <c r="AV625">
        <v>11.2</v>
      </c>
    </row>
    <row r="626" spans="40:48" x14ac:dyDescent="0.25">
      <c r="AN626" t="s">
        <v>40</v>
      </c>
      <c r="AO626" t="s">
        <v>26</v>
      </c>
      <c r="AP626">
        <v>2007</v>
      </c>
      <c r="AQ626" t="s">
        <v>39</v>
      </c>
      <c r="AR626" t="s">
        <v>335</v>
      </c>
      <c r="AS626" t="s">
        <v>306</v>
      </c>
      <c r="AT626" t="s">
        <v>242</v>
      </c>
      <c r="AU626" t="s">
        <v>310</v>
      </c>
      <c r="AV626">
        <v>2.7</v>
      </c>
    </row>
    <row r="627" spans="40:48" x14ac:dyDescent="0.25">
      <c r="AN627" t="s">
        <v>40</v>
      </c>
      <c r="AO627" t="s">
        <v>26</v>
      </c>
      <c r="AP627">
        <v>2007</v>
      </c>
      <c r="AQ627" t="s">
        <v>39</v>
      </c>
      <c r="AR627" t="s">
        <v>335</v>
      </c>
      <c r="AS627" t="s">
        <v>306</v>
      </c>
      <c r="AT627" t="s">
        <v>242</v>
      </c>
      <c r="AU627" t="s">
        <v>311</v>
      </c>
      <c r="AV627">
        <v>8</v>
      </c>
    </row>
    <row r="628" spans="40:48" x14ac:dyDescent="0.25">
      <c r="AN628" t="s">
        <v>40</v>
      </c>
      <c r="AO628" t="s">
        <v>26</v>
      </c>
      <c r="AP628">
        <v>2007</v>
      </c>
      <c r="AQ628" t="s">
        <v>39</v>
      </c>
      <c r="AR628" t="s">
        <v>335</v>
      </c>
      <c r="AS628" t="s">
        <v>306</v>
      </c>
      <c r="AT628" t="s">
        <v>242</v>
      </c>
      <c r="AU628" t="s">
        <v>268</v>
      </c>
      <c r="AV628">
        <v>10.7</v>
      </c>
    </row>
    <row r="629" spans="40:48" x14ac:dyDescent="0.25">
      <c r="AN629" t="s">
        <v>40</v>
      </c>
      <c r="AO629" t="s">
        <v>26</v>
      </c>
      <c r="AP629">
        <v>2007</v>
      </c>
      <c r="AQ629" t="s">
        <v>39</v>
      </c>
      <c r="AR629" t="s">
        <v>335</v>
      </c>
      <c r="AS629" t="s">
        <v>306</v>
      </c>
      <c r="AT629" t="s">
        <v>243</v>
      </c>
      <c r="AU629" t="s">
        <v>337</v>
      </c>
      <c r="AV629">
        <v>19.399999999999999</v>
      </c>
    </row>
    <row r="630" spans="40:48" x14ac:dyDescent="0.25">
      <c r="AN630" t="s">
        <v>40</v>
      </c>
      <c r="AO630" t="s">
        <v>26</v>
      </c>
      <c r="AP630">
        <v>2007</v>
      </c>
      <c r="AQ630" t="s">
        <v>39</v>
      </c>
      <c r="AR630" t="s">
        <v>335</v>
      </c>
      <c r="AS630" t="s">
        <v>306</v>
      </c>
      <c r="AT630" t="s">
        <v>243</v>
      </c>
      <c r="AU630" t="s">
        <v>338</v>
      </c>
      <c r="AV630">
        <v>47.75</v>
      </c>
    </row>
    <row r="631" spans="40:48" x14ac:dyDescent="0.25">
      <c r="AN631" t="s">
        <v>40</v>
      </c>
      <c r="AO631" t="s">
        <v>26</v>
      </c>
      <c r="AP631">
        <v>2007</v>
      </c>
      <c r="AQ631" t="s">
        <v>39</v>
      </c>
      <c r="AR631" t="s">
        <v>335</v>
      </c>
      <c r="AS631" t="s">
        <v>306</v>
      </c>
      <c r="AT631" t="s">
        <v>243</v>
      </c>
      <c r="AU631" t="s">
        <v>339</v>
      </c>
      <c r="AV631">
        <v>67.150000000000006</v>
      </c>
    </row>
    <row r="632" spans="40:48" x14ac:dyDescent="0.25">
      <c r="AN632" t="s">
        <v>42</v>
      </c>
      <c r="AO632" t="s">
        <v>26</v>
      </c>
      <c r="AP632">
        <v>2007</v>
      </c>
      <c r="AQ632" t="s">
        <v>36</v>
      </c>
      <c r="AR632" t="s">
        <v>335</v>
      </c>
      <c r="AS632" t="s">
        <v>306</v>
      </c>
      <c r="AT632" t="s">
        <v>218</v>
      </c>
      <c r="AU632" t="s">
        <v>310</v>
      </c>
      <c r="AV632">
        <v>3.4</v>
      </c>
    </row>
    <row r="633" spans="40:48" x14ac:dyDescent="0.25">
      <c r="AN633" t="s">
        <v>42</v>
      </c>
      <c r="AO633" t="s">
        <v>26</v>
      </c>
      <c r="AP633">
        <v>2007</v>
      </c>
      <c r="AQ633" t="s">
        <v>36</v>
      </c>
      <c r="AR633" t="s">
        <v>335</v>
      </c>
      <c r="AS633" t="s">
        <v>306</v>
      </c>
      <c r="AT633" t="s">
        <v>218</v>
      </c>
      <c r="AU633" t="s">
        <v>311</v>
      </c>
      <c r="AV633">
        <v>8.4</v>
      </c>
    </row>
    <row r="634" spans="40:48" x14ac:dyDescent="0.25">
      <c r="AN634" t="s">
        <v>42</v>
      </c>
      <c r="AO634" t="s">
        <v>26</v>
      </c>
      <c r="AP634">
        <v>2007</v>
      </c>
      <c r="AQ634" t="s">
        <v>36</v>
      </c>
      <c r="AR634" t="s">
        <v>335</v>
      </c>
      <c r="AS634" t="s">
        <v>306</v>
      </c>
      <c r="AT634" t="s">
        <v>218</v>
      </c>
      <c r="AU634" t="s">
        <v>268</v>
      </c>
      <c r="AV634">
        <v>11.8</v>
      </c>
    </row>
    <row r="635" spans="40:48" x14ac:dyDescent="0.25">
      <c r="AN635" t="s">
        <v>42</v>
      </c>
      <c r="AO635" t="s">
        <v>26</v>
      </c>
      <c r="AP635">
        <v>2007</v>
      </c>
      <c r="AQ635" t="s">
        <v>36</v>
      </c>
      <c r="AR635" t="s">
        <v>335</v>
      </c>
      <c r="AS635" t="s">
        <v>306</v>
      </c>
      <c r="AT635" t="s">
        <v>238</v>
      </c>
      <c r="AU635" t="s">
        <v>310</v>
      </c>
      <c r="AV635">
        <v>2.6</v>
      </c>
    </row>
    <row r="636" spans="40:48" x14ac:dyDescent="0.25">
      <c r="AN636" t="s">
        <v>42</v>
      </c>
      <c r="AO636" t="s">
        <v>26</v>
      </c>
      <c r="AP636">
        <v>2007</v>
      </c>
      <c r="AQ636" t="s">
        <v>36</v>
      </c>
      <c r="AR636" t="s">
        <v>335</v>
      </c>
      <c r="AS636" t="s">
        <v>306</v>
      </c>
      <c r="AT636" t="s">
        <v>238</v>
      </c>
      <c r="AU636" t="s">
        <v>311</v>
      </c>
      <c r="AV636">
        <v>8.5500000000000007</v>
      </c>
    </row>
    <row r="637" spans="40:48" x14ac:dyDescent="0.25">
      <c r="AN637" t="s">
        <v>42</v>
      </c>
      <c r="AO637" t="s">
        <v>26</v>
      </c>
      <c r="AP637">
        <v>2007</v>
      </c>
      <c r="AQ637" t="s">
        <v>36</v>
      </c>
      <c r="AR637" t="s">
        <v>335</v>
      </c>
      <c r="AS637" t="s">
        <v>306</v>
      </c>
      <c r="AT637" t="s">
        <v>238</v>
      </c>
      <c r="AU637" t="s">
        <v>268</v>
      </c>
      <c r="AV637">
        <v>11.15</v>
      </c>
    </row>
    <row r="638" spans="40:48" x14ac:dyDescent="0.25">
      <c r="AN638" t="s">
        <v>42</v>
      </c>
      <c r="AO638" t="s">
        <v>26</v>
      </c>
      <c r="AP638">
        <v>2007</v>
      </c>
      <c r="AQ638" t="s">
        <v>36</v>
      </c>
      <c r="AR638" t="s">
        <v>335</v>
      </c>
      <c r="AS638" t="s">
        <v>306</v>
      </c>
      <c r="AT638" t="s">
        <v>239</v>
      </c>
      <c r="AU638" t="s">
        <v>310</v>
      </c>
      <c r="AV638">
        <v>2.4</v>
      </c>
    </row>
    <row r="639" spans="40:48" x14ac:dyDescent="0.25">
      <c r="AN639" t="s">
        <v>42</v>
      </c>
      <c r="AO639" t="s">
        <v>26</v>
      </c>
      <c r="AP639">
        <v>2007</v>
      </c>
      <c r="AQ639" t="s">
        <v>36</v>
      </c>
      <c r="AR639" t="s">
        <v>335</v>
      </c>
      <c r="AS639" t="s">
        <v>306</v>
      </c>
      <c r="AT639" t="s">
        <v>239</v>
      </c>
      <c r="AU639" t="s">
        <v>311</v>
      </c>
      <c r="AV639">
        <v>7.9</v>
      </c>
    </row>
    <row r="640" spans="40:48" x14ac:dyDescent="0.25">
      <c r="AN640" t="s">
        <v>42</v>
      </c>
      <c r="AO640" t="s">
        <v>26</v>
      </c>
      <c r="AP640">
        <v>2007</v>
      </c>
      <c r="AQ640" t="s">
        <v>36</v>
      </c>
      <c r="AR640" t="s">
        <v>335</v>
      </c>
      <c r="AS640" t="s">
        <v>306</v>
      </c>
      <c r="AT640" t="s">
        <v>239</v>
      </c>
      <c r="AU640" t="s">
        <v>268</v>
      </c>
      <c r="AV640">
        <v>10.3</v>
      </c>
    </row>
    <row r="641" spans="40:48" x14ac:dyDescent="0.25">
      <c r="AN641" t="s">
        <v>42</v>
      </c>
      <c r="AO641" t="s">
        <v>26</v>
      </c>
      <c r="AP641">
        <v>2007</v>
      </c>
      <c r="AQ641" t="s">
        <v>36</v>
      </c>
      <c r="AR641" t="s">
        <v>335</v>
      </c>
      <c r="AS641" t="s">
        <v>306</v>
      </c>
      <c r="AT641" t="s">
        <v>240</v>
      </c>
      <c r="AU641" t="s">
        <v>310</v>
      </c>
      <c r="AV641">
        <v>2.8</v>
      </c>
    </row>
    <row r="642" spans="40:48" x14ac:dyDescent="0.25">
      <c r="AN642" t="s">
        <v>42</v>
      </c>
      <c r="AO642" t="s">
        <v>26</v>
      </c>
      <c r="AP642">
        <v>2007</v>
      </c>
      <c r="AQ642" t="s">
        <v>36</v>
      </c>
      <c r="AR642" t="s">
        <v>335</v>
      </c>
      <c r="AS642" t="s">
        <v>306</v>
      </c>
      <c r="AT642" t="s">
        <v>240</v>
      </c>
      <c r="AU642" t="s">
        <v>311</v>
      </c>
      <c r="AV642">
        <v>9.0500000000000007</v>
      </c>
    </row>
    <row r="643" spans="40:48" x14ac:dyDescent="0.25">
      <c r="AN643" t="s">
        <v>42</v>
      </c>
      <c r="AO643" t="s">
        <v>26</v>
      </c>
      <c r="AP643">
        <v>2007</v>
      </c>
      <c r="AQ643" t="s">
        <v>36</v>
      </c>
      <c r="AR643" t="s">
        <v>335</v>
      </c>
      <c r="AS643" t="s">
        <v>306</v>
      </c>
      <c r="AT643" t="s">
        <v>240</v>
      </c>
      <c r="AU643" t="s">
        <v>268</v>
      </c>
      <c r="AV643">
        <v>11.85</v>
      </c>
    </row>
    <row r="644" spans="40:48" x14ac:dyDescent="0.25">
      <c r="AN644" t="s">
        <v>42</v>
      </c>
      <c r="AO644" t="s">
        <v>26</v>
      </c>
      <c r="AP644">
        <v>2007</v>
      </c>
      <c r="AQ644" t="s">
        <v>36</v>
      </c>
      <c r="AR644" t="s">
        <v>335</v>
      </c>
      <c r="AS644" t="s">
        <v>306</v>
      </c>
      <c r="AT644" t="s">
        <v>316</v>
      </c>
      <c r="AU644" t="s">
        <v>310</v>
      </c>
      <c r="AV644">
        <v>3.1</v>
      </c>
    </row>
    <row r="645" spans="40:48" x14ac:dyDescent="0.25">
      <c r="AN645" t="s">
        <v>42</v>
      </c>
      <c r="AO645" t="s">
        <v>26</v>
      </c>
      <c r="AP645">
        <v>2007</v>
      </c>
      <c r="AQ645" t="s">
        <v>36</v>
      </c>
      <c r="AR645" t="s">
        <v>335</v>
      </c>
      <c r="AS645" t="s">
        <v>306</v>
      </c>
      <c r="AT645" t="s">
        <v>316</v>
      </c>
      <c r="AU645" t="s">
        <v>311</v>
      </c>
      <c r="AV645">
        <v>8.5500000000000007</v>
      </c>
    </row>
    <row r="646" spans="40:48" x14ac:dyDescent="0.25">
      <c r="AN646" t="s">
        <v>42</v>
      </c>
      <c r="AO646" t="s">
        <v>26</v>
      </c>
      <c r="AP646">
        <v>2007</v>
      </c>
      <c r="AQ646" t="s">
        <v>36</v>
      </c>
      <c r="AR646" t="s">
        <v>335</v>
      </c>
      <c r="AS646" t="s">
        <v>306</v>
      </c>
      <c r="AT646" t="s">
        <v>316</v>
      </c>
      <c r="AU646" t="s">
        <v>268</v>
      </c>
      <c r="AV646">
        <v>11.65</v>
      </c>
    </row>
    <row r="647" spans="40:48" x14ac:dyDescent="0.25">
      <c r="AN647" t="s">
        <v>42</v>
      </c>
      <c r="AO647" t="s">
        <v>26</v>
      </c>
      <c r="AP647">
        <v>2007</v>
      </c>
      <c r="AQ647" t="s">
        <v>36</v>
      </c>
      <c r="AR647" t="s">
        <v>335</v>
      </c>
      <c r="AS647" t="s">
        <v>306</v>
      </c>
      <c r="AT647" t="s">
        <v>242</v>
      </c>
      <c r="AU647" t="s">
        <v>310</v>
      </c>
      <c r="AV647">
        <v>1.8</v>
      </c>
    </row>
    <row r="648" spans="40:48" x14ac:dyDescent="0.25">
      <c r="AN648" t="s">
        <v>42</v>
      </c>
      <c r="AO648" t="s">
        <v>26</v>
      </c>
      <c r="AP648">
        <v>2007</v>
      </c>
      <c r="AQ648" t="s">
        <v>36</v>
      </c>
      <c r="AR648" t="s">
        <v>335</v>
      </c>
      <c r="AS648" t="s">
        <v>306</v>
      </c>
      <c r="AT648" t="s">
        <v>242</v>
      </c>
      <c r="AU648" t="s">
        <v>311</v>
      </c>
      <c r="AV648">
        <v>8.4</v>
      </c>
    </row>
    <row r="649" spans="40:48" x14ac:dyDescent="0.25">
      <c r="AN649" t="s">
        <v>42</v>
      </c>
      <c r="AO649" t="s">
        <v>26</v>
      </c>
      <c r="AP649">
        <v>2007</v>
      </c>
      <c r="AQ649" t="s">
        <v>36</v>
      </c>
      <c r="AR649" t="s">
        <v>335</v>
      </c>
      <c r="AS649" t="s">
        <v>306</v>
      </c>
      <c r="AT649" t="s">
        <v>242</v>
      </c>
      <c r="AU649" t="s">
        <v>268</v>
      </c>
      <c r="AV649">
        <v>10.199999999999999</v>
      </c>
    </row>
    <row r="650" spans="40:48" x14ac:dyDescent="0.25">
      <c r="AN650" t="s">
        <v>42</v>
      </c>
      <c r="AO650" t="s">
        <v>26</v>
      </c>
      <c r="AP650">
        <v>2007</v>
      </c>
      <c r="AQ650" t="s">
        <v>36</v>
      </c>
      <c r="AR650" t="s">
        <v>335</v>
      </c>
      <c r="AS650" t="s">
        <v>306</v>
      </c>
      <c r="AT650" t="s">
        <v>243</v>
      </c>
      <c r="AU650" t="s">
        <v>337</v>
      </c>
      <c r="AV650">
        <v>16.099999999999998</v>
      </c>
    </row>
    <row r="651" spans="40:48" x14ac:dyDescent="0.25">
      <c r="AN651" t="s">
        <v>42</v>
      </c>
      <c r="AO651" t="s">
        <v>26</v>
      </c>
      <c r="AP651">
        <v>2007</v>
      </c>
      <c r="AQ651" t="s">
        <v>36</v>
      </c>
      <c r="AR651" t="s">
        <v>335</v>
      </c>
      <c r="AS651" t="s">
        <v>306</v>
      </c>
      <c r="AT651" t="s">
        <v>243</v>
      </c>
      <c r="AU651" t="s">
        <v>338</v>
      </c>
      <c r="AV651">
        <v>50.85</v>
      </c>
    </row>
    <row r="652" spans="40:48" x14ac:dyDescent="0.25">
      <c r="AN652" t="s">
        <v>42</v>
      </c>
      <c r="AO652" t="s">
        <v>26</v>
      </c>
      <c r="AP652">
        <v>2007</v>
      </c>
      <c r="AQ652" t="s">
        <v>36</v>
      </c>
      <c r="AR652" t="s">
        <v>335</v>
      </c>
      <c r="AS652" t="s">
        <v>306</v>
      </c>
      <c r="AT652" t="s">
        <v>243</v>
      </c>
      <c r="AU652" t="s">
        <v>339</v>
      </c>
      <c r="AV652">
        <v>66.95</v>
      </c>
    </row>
    <row r="653" spans="40:48" x14ac:dyDescent="0.25">
      <c r="AN653" t="s">
        <v>44</v>
      </c>
      <c r="AO653" t="s">
        <v>26</v>
      </c>
      <c r="AP653">
        <v>2007</v>
      </c>
      <c r="AQ653" t="s">
        <v>39</v>
      </c>
      <c r="AR653" t="s">
        <v>335</v>
      </c>
      <c r="AS653" t="s">
        <v>306</v>
      </c>
      <c r="AT653" t="s">
        <v>218</v>
      </c>
      <c r="AU653" t="s">
        <v>310</v>
      </c>
      <c r="AV653">
        <v>3.1</v>
      </c>
    </row>
    <row r="654" spans="40:48" x14ac:dyDescent="0.25">
      <c r="AN654" t="s">
        <v>44</v>
      </c>
      <c r="AO654" t="s">
        <v>26</v>
      </c>
      <c r="AP654">
        <v>2007</v>
      </c>
      <c r="AQ654" t="s">
        <v>39</v>
      </c>
      <c r="AR654" t="s">
        <v>335</v>
      </c>
      <c r="AS654" t="s">
        <v>306</v>
      </c>
      <c r="AT654" t="s">
        <v>218</v>
      </c>
      <c r="AU654" t="s">
        <v>311</v>
      </c>
      <c r="AV654">
        <v>8.35</v>
      </c>
    </row>
    <row r="655" spans="40:48" x14ac:dyDescent="0.25">
      <c r="AN655" t="s">
        <v>44</v>
      </c>
      <c r="AO655" t="s">
        <v>26</v>
      </c>
      <c r="AP655">
        <v>2007</v>
      </c>
      <c r="AQ655" t="s">
        <v>39</v>
      </c>
      <c r="AR655" t="s">
        <v>335</v>
      </c>
      <c r="AS655" t="s">
        <v>306</v>
      </c>
      <c r="AT655" t="s">
        <v>218</v>
      </c>
      <c r="AU655" t="s">
        <v>268</v>
      </c>
      <c r="AV655">
        <v>11.45</v>
      </c>
    </row>
    <row r="656" spans="40:48" x14ac:dyDescent="0.25">
      <c r="AN656" t="s">
        <v>44</v>
      </c>
      <c r="AO656" t="s">
        <v>26</v>
      </c>
      <c r="AP656">
        <v>2007</v>
      </c>
      <c r="AQ656" t="s">
        <v>39</v>
      </c>
      <c r="AR656" t="s">
        <v>335</v>
      </c>
      <c r="AS656" t="s">
        <v>306</v>
      </c>
      <c r="AT656" t="s">
        <v>238</v>
      </c>
      <c r="AU656" t="s">
        <v>310</v>
      </c>
      <c r="AV656">
        <v>3</v>
      </c>
    </row>
    <row r="657" spans="40:48" x14ac:dyDescent="0.25">
      <c r="AN657" t="s">
        <v>44</v>
      </c>
      <c r="AO657" t="s">
        <v>26</v>
      </c>
      <c r="AP657">
        <v>2007</v>
      </c>
      <c r="AQ657" t="s">
        <v>39</v>
      </c>
      <c r="AR657" t="s">
        <v>335</v>
      </c>
      <c r="AS657" t="s">
        <v>306</v>
      </c>
      <c r="AT657" t="s">
        <v>238</v>
      </c>
      <c r="AU657" t="s">
        <v>311</v>
      </c>
      <c r="AV657">
        <v>7.2</v>
      </c>
    </row>
    <row r="658" spans="40:48" x14ac:dyDescent="0.25">
      <c r="AN658" t="s">
        <v>44</v>
      </c>
      <c r="AO658" t="s">
        <v>26</v>
      </c>
      <c r="AP658">
        <v>2007</v>
      </c>
      <c r="AQ658" t="s">
        <v>39</v>
      </c>
      <c r="AR658" t="s">
        <v>335</v>
      </c>
      <c r="AS658" t="s">
        <v>306</v>
      </c>
      <c r="AT658" t="s">
        <v>238</v>
      </c>
      <c r="AU658" t="s">
        <v>268</v>
      </c>
      <c r="AV658">
        <v>10.199999999999999</v>
      </c>
    </row>
    <row r="659" spans="40:48" x14ac:dyDescent="0.25">
      <c r="AN659" t="s">
        <v>44</v>
      </c>
      <c r="AO659" t="s">
        <v>26</v>
      </c>
      <c r="AP659">
        <v>2007</v>
      </c>
      <c r="AQ659" t="s">
        <v>39</v>
      </c>
      <c r="AR659" t="s">
        <v>335</v>
      </c>
      <c r="AS659" t="s">
        <v>306</v>
      </c>
      <c r="AT659" t="s">
        <v>239</v>
      </c>
      <c r="AU659" t="s">
        <v>310</v>
      </c>
      <c r="AV659">
        <v>2.1</v>
      </c>
    </row>
    <row r="660" spans="40:48" x14ac:dyDescent="0.25">
      <c r="AN660" t="s">
        <v>44</v>
      </c>
      <c r="AO660" t="s">
        <v>26</v>
      </c>
      <c r="AP660">
        <v>2007</v>
      </c>
      <c r="AQ660" t="s">
        <v>39</v>
      </c>
      <c r="AR660" t="s">
        <v>335</v>
      </c>
      <c r="AS660" t="s">
        <v>306</v>
      </c>
      <c r="AT660" t="s">
        <v>239</v>
      </c>
      <c r="AU660" t="s">
        <v>311</v>
      </c>
      <c r="AV660">
        <v>8.0500000000000007</v>
      </c>
    </row>
    <row r="661" spans="40:48" x14ac:dyDescent="0.25">
      <c r="AN661" t="s">
        <v>44</v>
      </c>
      <c r="AO661" t="s">
        <v>26</v>
      </c>
      <c r="AP661">
        <v>2007</v>
      </c>
      <c r="AQ661" t="s">
        <v>39</v>
      </c>
      <c r="AR661" t="s">
        <v>335</v>
      </c>
      <c r="AS661" t="s">
        <v>306</v>
      </c>
      <c r="AT661" t="s">
        <v>239</v>
      </c>
      <c r="AU661" t="s">
        <v>268</v>
      </c>
      <c r="AV661">
        <v>10.15</v>
      </c>
    </row>
    <row r="662" spans="40:48" x14ac:dyDescent="0.25">
      <c r="AN662" t="s">
        <v>44</v>
      </c>
      <c r="AO662" t="s">
        <v>26</v>
      </c>
      <c r="AP662">
        <v>2007</v>
      </c>
      <c r="AQ662" t="s">
        <v>39</v>
      </c>
      <c r="AR662" t="s">
        <v>335</v>
      </c>
      <c r="AS662" t="s">
        <v>306</v>
      </c>
      <c r="AT662" t="s">
        <v>240</v>
      </c>
      <c r="AU662" t="s">
        <v>310</v>
      </c>
      <c r="AV662">
        <v>2.4</v>
      </c>
    </row>
    <row r="663" spans="40:48" x14ac:dyDescent="0.25">
      <c r="AN663" t="s">
        <v>44</v>
      </c>
      <c r="AO663" t="s">
        <v>26</v>
      </c>
      <c r="AP663">
        <v>2007</v>
      </c>
      <c r="AQ663" t="s">
        <v>39</v>
      </c>
      <c r="AR663" t="s">
        <v>335</v>
      </c>
      <c r="AS663" t="s">
        <v>306</v>
      </c>
      <c r="AT663" t="s">
        <v>240</v>
      </c>
      <c r="AU663" t="s">
        <v>311</v>
      </c>
      <c r="AV663">
        <v>8.9</v>
      </c>
    </row>
    <row r="664" spans="40:48" x14ac:dyDescent="0.25">
      <c r="AN664" t="s">
        <v>44</v>
      </c>
      <c r="AO664" t="s">
        <v>26</v>
      </c>
      <c r="AP664">
        <v>2007</v>
      </c>
      <c r="AQ664" t="s">
        <v>39</v>
      </c>
      <c r="AR664" t="s">
        <v>335</v>
      </c>
      <c r="AS664" t="s">
        <v>306</v>
      </c>
      <c r="AT664" t="s">
        <v>240</v>
      </c>
      <c r="AU664" t="s">
        <v>268</v>
      </c>
      <c r="AV664">
        <v>11.3</v>
      </c>
    </row>
    <row r="665" spans="40:48" x14ac:dyDescent="0.25">
      <c r="AN665" t="s">
        <v>44</v>
      </c>
      <c r="AO665" t="s">
        <v>26</v>
      </c>
      <c r="AP665">
        <v>2007</v>
      </c>
      <c r="AQ665" t="s">
        <v>39</v>
      </c>
      <c r="AR665" t="s">
        <v>335</v>
      </c>
      <c r="AS665" t="s">
        <v>306</v>
      </c>
      <c r="AT665" t="s">
        <v>316</v>
      </c>
      <c r="AU665" t="s">
        <v>310</v>
      </c>
      <c r="AV665">
        <v>3</v>
      </c>
    </row>
    <row r="666" spans="40:48" x14ac:dyDescent="0.25">
      <c r="AN666" t="s">
        <v>44</v>
      </c>
      <c r="AO666" t="s">
        <v>26</v>
      </c>
      <c r="AP666">
        <v>2007</v>
      </c>
      <c r="AQ666" t="s">
        <v>39</v>
      </c>
      <c r="AR666" t="s">
        <v>335</v>
      </c>
      <c r="AS666" t="s">
        <v>306</v>
      </c>
      <c r="AT666" t="s">
        <v>316</v>
      </c>
      <c r="AU666" t="s">
        <v>311</v>
      </c>
      <c r="AV666">
        <v>9</v>
      </c>
    </row>
    <row r="667" spans="40:48" x14ac:dyDescent="0.25">
      <c r="AN667" t="s">
        <v>44</v>
      </c>
      <c r="AO667" t="s">
        <v>26</v>
      </c>
      <c r="AP667">
        <v>2007</v>
      </c>
      <c r="AQ667" t="s">
        <v>39</v>
      </c>
      <c r="AR667" t="s">
        <v>335</v>
      </c>
      <c r="AS667" t="s">
        <v>306</v>
      </c>
      <c r="AT667" t="s">
        <v>316</v>
      </c>
      <c r="AU667" t="s">
        <v>268</v>
      </c>
      <c r="AV667">
        <v>12</v>
      </c>
    </row>
    <row r="668" spans="40:48" x14ac:dyDescent="0.25">
      <c r="AN668" t="s">
        <v>44</v>
      </c>
      <c r="AO668" t="s">
        <v>26</v>
      </c>
      <c r="AP668">
        <v>2007</v>
      </c>
      <c r="AQ668" t="s">
        <v>39</v>
      </c>
      <c r="AR668" t="s">
        <v>335</v>
      </c>
      <c r="AS668" t="s">
        <v>306</v>
      </c>
      <c r="AT668" t="s">
        <v>242</v>
      </c>
      <c r="AU668" t="s">
        <v>310</v>
      </c>
      <c r="AV668">
        <v>2.4</v>
      </c>
    </row>
    <row r="669" spans="40:48" x14ac:dyDescent="0.25">
      <c r="AN669" t="s">
        <v>44</v>
      </c>
      <c r="AO669" t="s">
        <v>26</v>
      </c>
      <c r="AP669">
        <v>2007</v>
      </c>
      <c r="AQ669" t="s">
        <v>39</v>
      </c>
      <c r="AR669" t="s">
        <v>335</v>
      </c>
      <c r="AS669" t="s">
        <v>306</v>
      </c>
      <c r="AT669" t="s">
        <v>242</v>
      </c>
      <c r="AU669" t="s">
        <v>311</v>
      </c>
      <c r="AV669">
        <v>7.9</v>
      </c>
    </row>
    <row r="670" spans="40:48" x14ac:dyDescent="0.25">
      <c r="AN670" t="s">
        <v>44</v>
      </c>
      <c r="AO670" t="s">
        <v>26</v>
      </c>
      <c r="AP670">
        <v>2007</v>
      </c>
      <c r="AQ670" t="s">
        <v>39</v>
      </c>
      <c r="AR670" t="s">
        <v>335</v>
      </c>
      <c r="AS670" t="s">
        <v>306</v>
      </c>
      <c r="AT670" t="s">
        <v>242</v>
      </c>
      <c r="AU670" t="s">
        <v>268</v>
      </c>
      <c r="AV670">
        <v>10.3</v>
      </c>
    </row>
    <row r="671" spans="40:48" x14ac:dyDescent="0.25">
      <c r="AN671" t="s">
        <v>44</v>
      </c>
      <c r="AO671" t="s">
        <v>26</v>
      </c>
      <c r="AP671">
        <v>2007</v>
      </c>
      <c r="AQ671" t="s">
        <v>39</v>
      </c>
      <c r="AR671" t="s">
        <v>335</v>
      </c>
      <c r="AS671" t="s">
        <v>306</v>
      </c>
      <c r="AT671" t="s">
        <v>243</v>
      </c>
      <c r="AU671" t="s">
        <v>337</v>
      </c>
      <c r="AV671">
        <v>16</v>
      </c>
    </row>
    <row r="672" spans="40:48" x14ac:dyDescent="0.25">
      <c r="AN672" t="s">
        <v>44</v>
      </c>
      <c r="AO672" t="s">
        <v>26</v>
      </c>
      <c r="AP672">
        <v>2007</v>
      </c>
      <c r="AQ672" t="s">
        <v>39</v>
      </c>
      <c r="AR672" t="s">
        <v>335</v>
      </c>
      <c r="AS672" t="s">
        <v>306</v>
      </c>
      <c r="AT672" t="s">
        <v>243</v>
      </c>
      <c r="AU672" t="s">
        <v>338</v>
      </c>
      <c r="AV672">
        <v>49.4</v>
      </c>
    </row>
    <row r="673" spans="40:48" x14ac:dyDescent="0.25">
      <c r="AN673" t="s">
        <v>44</v>
      </c>
      <c r="AO673" t="s">
        <v>26</v>
      </c>
      <c r="AP673">
        <v>2007</v>
      </c>
      <c r="AQ673" t="s">
        <v>39</v>
      </c>
      <c r="AR673" t="s">
        <v>335</v>
      </c>
      <c r="AS673" t="s">
        <v>306</v>
      </c>
      <c r="AT673" t="s">
        <v>243</v>
      </c>
      <c r="AU673" t="s">
        <v>339</v>
      </c>
      <c r="AV673">
        <v>65.399999999999991</v>
      </c>
    </row>
    <row r="674" spans="40:48" x14ac:dyDescent="0.25">
      <c r="AN674" t="s">
        <v>46</v>
      </c>
      <c r="AO674" t="s">
        <v>26</v>
      </c>
      <c r="AP674">
        <v>2006</v>
      </c>
      <c r="AQ674" t="s">
        <v>36</v>
      </c>
      <c r="AR674" t="s">
        <v>335</v>
      </c>
      <c r="AS674" t="s">
        <v>306</v>
      </c>
      <c r="AT674" t="s">
        <v>218</v>
      </c>
      <c r="AU674" t="s">
        <v>310</v>
      </c>
      <c r="AV674">
        <v>2.9</v>
      </c>
    </row>
    <row r="675" spans="40:48" x14ac:dyDescent="0.25">
      <c r="AN675" t="s">
        <v>46</v>
      </c>
      <c r="AO675" t="s">
        <v>26</v>
      </c>
      <c r="AP675">
        <v>2006</v>
      </c>
      <c r="AQ675" t="s">
        <v>36</v>
      </c>
      <c r="AR675" t="s">
        <v>335</v>
      </c>
      <c r="AS675" t="s">
        <v>306</v>
      </c>
      <c r="AT675" t="s">
        <v>218</v>
      </c>
      <c r="AU675" t="s">
        <v>311</v>
      </c>
      <c r="AV675">
        <v>8.1999999999999993</v>
      </c>
    </row>
    <row r="676" spans="40:48" x14ac:dyDescent="0.25">
      <c r="AN676" t="s">
        <v>46</v>
      </c>
      <c r="AO676" t="s">
        <v>26</v>
      </c>
      <c r="AP676">
        <v>2006</v>
      </c>
      <c r="AQ676" t="s">
        <v>36</v>
      </c>
      <c r="AR676" t="s">
        <v>335</v>
      </c>
      <c r="AS676" t="s">
        <v>306</v>
      </c>
      <c r="AT676" t="s">
        <v>218</v>
      </c>
      <c r="AU676" t="s">
        <v>268</v>
      </c>
      <c r="AV676">
        <v>11.1</v>
      </c>
    </row>
    <row r="677" spans="40:48" x14ac:dyDescent="0.25">
      <c r="AN677" t="s">
        <v>46</v>
      </c>
      <c r="AO677" t="s">
        <v>26</v>
      </c>
      <c r="AP677">
        <v>2006</v>
      </c>
      <c r="AQ677" t="s">
        <v>36</v>
      </c>
      <c r="AR677" t="s">
        <v>335</v>
      </c>
      <c r="AS677" t="s">
        <v>306</v>
      </c>
      <c r="AT677" t="s">
        <v>238</v>
      </c>
      <c r="AU677" t="s">
        <v>310</v>
      </c>
      <c r="AV677">
        <v>2.2000000000000002</v>
      </c>
    </row>
    <row r="678" spans="40:48" x14ac:dyDescent="0.25">
      <c r="AN678" t="s">
        <v>46</v>
      </c>
      <c r="AO678" t="s">
        <v>26</v>
      </c>
      <c r="AP678">
        <v>2006</v>
      </c>
      <c r="AQ678" t="s">
        <v>36</v>
      </c>
      <c r="AR678" t="s">
        <v>335</v>
      </c>
      <c r="AS678" t="s">
        <v>306</v>
      </c>
      <c r="AT678" t="s">
        <v>238</v>
      </c>
      <c r="AU678" t="s">
        <v>311</v>
      </c>
      <c r="AV678">
        <v>5.75</v>
      </c>
    </row>
    <row r="679" spans="40:48" x14ac:dyDescent="0.25">
      <c r="AN679" t="s">
        <v>46</v>
      </c>
      <c r="AO679" t="s">
        <v>26</v>
      </c>
      <c r="AP679">
        <v>2006</v>
      </c>
      <c r="AQ679" t="s">
        <v>36</v>
      </c>
      <c r="AR679" t="s">
        <v>335</v>
      </c>
      <c r="AS679" t="s">
        <v>306</v>
      </c>
      <c r="AT679" t="s">
        <v>238</v>
      </c>
      <c r="AU679" t="s">
        <v>268</v>
      </c>
      <c r="AV679">
        <v>7.95</v>
      </c>
    </row>
    <row r="680" spans="40:48" x14ac:dyDescent="0.25">
      <c r="AN680" t="s">
        <v>46</v>
      </c>
      <c r="AO680" t="s">
        <v>26</v>
      </c>
      <c r="AP680">
        <v>2006</v>
      </c>
      <c r="AQ680" t="s">
        <v>36</v>
      </c>
      <c r="AR680" t="s">
        <v>335</v>
      </c>
      <c r="AS680" t="s">
        <v>306</v>
      </c>
      <c r="AT680" t="s">
        <v>239</v>
      </c>
      <c r="AU680" t="s">
        <v>310</v>
      </c>
      <c r="AV680">
        <v>1.7</v>
      </c>
    </row>
    <row r="681" spans="40:48" x14ac:dyDescent="0.25">
      <c r="AN681" t="s">
        <v>46</v>
      </c>
      <c r="AO681" t="s">
        <v>26</v>
      </c>
      <c r="AP681">
        <v>2006</v>
      </c>
      <c r="AQ681" t="s">
        <v>36</v>
      </c>
      <c r="AR681" t="s">
        <v>335</v>
      </c>
      <c r="AS681" t="s">
        <v>306</v>
      </c>
      <c r="AT681" t="s">
        <v>239</v>
      </c>
      <c r="AU681" t="s">
        <v>311</v>
      </c>
      <c r="AV681">
        <v>6.8</v>
      </c>
    </row>
    <row r="682" spans="40:48" x14ac:dyDescent="0.25">
      <c r="AN682" t="s">
        <v>46</v>
      </c>
      <c r="AO682" t="s">
        <v>26</v>
      </c>
      <c r="AP682">
        <v>2006</v>
      </c>
      <c r="AQ682" t="s">
        <v>36</v>
      </c>
      <c r="AR682" t="s">
        <v>335</v>
      </c>
      <c r="AS682" t="s">
        <v>306</v>
      </c>
      <c r="AT682" t="s">
        <v>239</v>
      </c>
      <c r="AU682" t="s">
        <v>268</v>
      </c>
      <c r="AV682">
        <v>8.5</v>
      </c>
    </row>
    <row r="683" spans="40:48" x14ac:dyDescent="0.25">
      <c r="AN683" t="s">
        <v>46</v>
      </c>
      <c r="AO683" t="s">
        <v>26</v>
      </c>
      <c r="AP683">
        <v>2006</v>
      </c>
      <c r="AQ683" t="s">
        <v>36</v>
      </c>
      <c r="AR683" t="s">
        <v>335</v>
      </c>
      <c r="AS683" t="s">
        <v>306</v>
      </c>
      <c r="AT683" t="s">
        <v>240</v>
      </c>
      <c r="AU683" t="s">
        <v>310</v>
      </c>
      <c r="AV683">
        <v>1.6</v>
      </c>
    </row>
    <row r="684" spans="40:48" x14ac:dyDescent="0.25">
      <c r="AN684" t="s">
        <v>46</v>
      </c>
      <c r="AO684" t="s">
        <v>26</v>
      </c>
      <c r="AP684">
        <v>2006</v>
      </c>
      <c r="AQ684" t="s">
        <v>36</v>
      </c>
      <c r="AR684" t="s">
        <v>335</v>
      </c>
      <c r="AS684" t="s">
        <v>306</v>
      </c>
      <c r="AT684" t="s">
        <v>240</v>
      </c>
      <c r="AU684" t="s">
        <v>311</v>
      </c>
      <c r="AV684">
        <v>9</v>
      </c>
    </row>
    <row r="685" spans="40:48" x14ac:dyDescent="0.25">
      <c r="AN685" t="s">
        <v>46</v>
      </c>
      <c r="AO685" t="s">
        <v>26</v>
      </c>
      <c r="AP685">
        <v>2006</v>
      </c>
      <c r="AQ685" t="s">
        <v>36</v>
      </c>
      <c r="AR685" t="s">
        <v>335</v>
      </c>
      <c r="AS685" t="s">
        <v>306</v>
      </c>
      <c r="AT685" t="s">
        <v>240</v>
      </c>
      <c r="AU685" t="s">
        <v>268</v>
      </c>
      <c r="AV685">
        <v>10.6</v>
      </c>
    </row>
    <row r="686" spans="40:48" x14ac:dyDescent="0.25">
      <c r="AN686" t="s">
        <v>46</v>
      </c>
      <c r="AO686" t="s">
        <v>26</v>
      </c>
      <c r="AP686">
        <v>2006</v>
      </c>
      <c r="AQ686" t="s">
        <v>36</v>
      </c>
      <c r="AR686" t="s">
        <v>335</v>
      </c>
      <c r="AS686" t="s">
        <v>306</v>
      </c>
      <c r="AT686" t="s">
        <v>316</v>
      </c>
      <c r="AU686" t="s">
        <v>310</v>
      </c>
      <c r="AV686">
        <v>2.4</v>
      </c>
    </row>
    <row r="687" spans="40:48" x14ac:dyDescent="0.25">
      <c r="AN687" t="s">
        <v>46</v>
      </c>
      <c r="AO687" t="s">
        <v>26</v>
      </c>
      <c r="AP687">
        <v>2006</v>
      </c>
      <c r="AQ687" t="s">
        <v>36</v>
      </c>
      <c r="AR687" t="s">
        <v>335</v>
      </c>
      <c r="AS687" t="s">
        <v>306</v>
      </c>
      <c r="AT687" t="s">
        <v>316</v>
      </c>
      <c r="AU687" t="s">
        <v>311</v>
      </c>
      <c r="AV687">
        <v>8.6</v>
      </c>
    </row>
    <row r="688" spans="40:48" x14ac:dyDescent="0.25">
      <c r="AN688" t="s">
        <v>46</v>
      </c>
      <c r="AO688" t="s">
        <v>26</v>
      </c>
      <c r="AP688">
        <v>2006</v>
      </c>
      <c r="AQ688" t="s">
        <v>36</v>
      </c>
      <c r="AR688" t="s">
        <v>335</v>
      </c>
      <c r="AS688" t="s">
        <v>306</v>
      </c>
      <c r="AT688" t="s">
        <v>316</v>
      </c>
      <c r="AU688" t="s">
        <v>268</v>
      </c>
      <c r="AV688">
        <v>11</v>
      </c>
    </row>
    <row r="689" spans="40:48" x14ac:dyDescent="0.25">
      <c r="AN689" t="s">
        <v>46</v>
      </c>
      <c r="AO689" t="s">
        <v>26</v>
      </c>
      <c r="AP689">
        <v>2006</v>
      </c>
      <c r="AQ689" t="s">
        <v>36</v>
      </c>
      <c r="AR689" t="s">
        <v>335</v>
      </c>
      <c r="AS689" t="s">
        <v>306</v>
      </c>
      <c r="AT689" t="s">
        <v>242</v>
      </c>
      <c r="AU689" t="s">
        <v>310</v>
      </c>
      <c r="AV689">
        <v>1.8</v>
      </c>
    </row>
    <row r="690" spans="40:48" x14ac:dyDescent="0.25">
      <c r="AN690" t="s">
        <v>46</v>
      </c>
      <c r="AO690" t="s">
        <v>26</v>
      </c>
      <c r="AP690">
        <v>2006</v>
      </c>
      <c r="AQ690" t="s">
        <v>36</v>
      </c>
      <c r="AR690" t="s">
        <v>335</v>
      </c>
      <c r="AS690" t="s">
        <v>306</v>
      </c>
      <c r="AT690" t="s">
        <v>242</v>
      </c>
      <c r="AU690" t="s">
        <v>311</v>
      </c>
      <c r="AV690">
        <v>7.7</v>
      </c>
    </row>
    <row r="691" spans="40:48" x14ac:dyDescent="0.25">
      <c r="AN691" t="s">
        <v>46</v>
      </c>
      <c r="AO691" t="s">
        <v>26</v>
      </c>
      <c r="AP691">
        <v>2006</v>
      </c>
      <c r="AQ691" t="s">
        <v>36</v>
      </c>
      <c r="AR691" t="s">
        <v>335</v>
      </c>
      <c r="AS691" t="s">
        <v>306</v>
      </c>
      <c r="AT691" t="s">
        <v>242</v>
      </c>
      <c r="AU691" t="s">
        <v>268</v>
      </c>
      <c r="AV691">
        <v>9.5</v>
      </c>
    </row>
    <row r="692" spans="40:48" x14ac:dyDescent="0.25">
      <c r="AN692" t="s">
        <v>46</v>
      </c>
      <c r="AO692" t="s">
        <v>26</v>
      </c>
      <c r="AP692">
        <v>2006</v>
      </c>
      <c r="AQ692" t="s">
        <v>36</v>
      </c>
      <c r="AR692" t="s">
        <v>335</v>
      </c>
      <c r="AS692" t="s">
        <v>306</v>
      </c>
      <c r="AT692" t="s">
        <v>243</v>
      </c>
      <c r="AU692" t="s">
        <v>337</v>
      </c>
      <c r="AV692">
        <v>12.600000000000001</v>
      </c>
    </row>
    <row r="693" spans="40:48" x14ac:dyDescent="0.25">
      <c r="AN693" t="s">
        <v>46</v>
      </c>
      <c r="AO693" t="s">
        <v>26</v>
      </c>
      <c r="AP693">
        <v>2006</v>
      </c>
      <c r="AQ693" t="s">
        <v>36</v>
      </c>
      <c r="AR693" t="s">
        <v>335</v>
      </c>
      <c r="AS693" t="s">
        <v>306</v>
      </c>
      <c r="AT693" t="s">
        <v>243</v>
      </c>
      <c r="AU693" t="s">
        <v>338</v>
      </c>
      <c r="AV693">
        <v>46.050000000000004</v>
      </c>
    </row>
    <row r="694" spans="40:48" x14ac:dyDescent="0.25">
      <c r="AN694" t="s">
        <v>46</v>
      </c>
      <c r="AO694" t="s">
        <v>26</v>
      </c>
      <c r="AP694">
        <v>2006</v>
      </c>
      <c r="AQ694" t="s">
        <v>36</v>
      </c>
      <c r="AR694" t="s">
        <v>335</v>
      </c>
      <c r="AS694" t="s">
        <v>306</v>
      </c>
      <c r="AT694" t="s">
        <v>243</v>
      </c>
      <c r="AU694" t="s">
        <v>339</v>
      </c>
      <c r="AV694">
        <v>58.65</v>
      </c>
    </row>
    <row r="695" spans="40:48" x14ac:dyDescent="0.25">
      <c r="AN695" t="s">
        <v>48</v>
      </c>
      <c r="AO695" t="s">
        <v>26</v>
      </c>
      <c r="AP695">
        <v>2006</v>
      </c>
      <c r="AQ695" t="s">
        <v>36</v>
      </c>
      <c r="AR695" t="s">
        <v>335</v>
      </c>
      <c r="AS695" t="s">
        <v>306</v>
      </c>
      <c r="AT695" t="s">
        <v>218</v>
      </c>
      <c r="AU695" t="s">
        <v>310</v>
      </c>
      <c r="AV695">
        <v>3.2</v>
      </c>
    </row>
    <row r="696" spans="40:48" x14ac:dyDescent="0.25">
      <c r="AN696" t="s">
        <v>48</v>
      </c>
      <c r="AO696" t="s">
        <v>26</v>
      </c>
      <c r="AP696">
        <v>2006</v>
      </c>
      <c r="AQ696" t="s">
        <v>36</v>
      </c>
      <c r="AR696" t="s">
        <v>335</v>
      </c>
      <c r="AS696" t="s">
        <v>306</v>
      </c>
      <c r="AT696" t="s">
        <v>218</v>
      </c>
      <c r="AU696" t="s">
        <v>311</v>
      </c>
      <c r="AV696">
        <v>8.15</v>
      </c>
    </row>
    <row r="697" spans="40:48" x14ac:dyDescent="0.25">
      <c r="AN697" t="s">
        <v>48</v>
      </c>
      <c r="AO697" t="s">
        <v>26</v>
      </c>
      <c r="AP697">
        <v>2006</v>
      </c>
      <c r="AQ697" t="s">
        <v>36</v>
      </c>
      <c r="AR697" t="s">
        <v>335</v>
      </c>
      <c r="AS697" t="s">
        <v>306</v>
      </c>
      <c r="AT697" t="s">
        <v>218</v>
      </c>
      <c r="AU697" t="s">
        <v>268</v>
      </c>
      <c r="AV697">
        <v>11.35</v>
      </c>
    </row>
    <row r="698" spans="40:48" x14ac:dyDescent="0.25">
      <c r="AN698" t="s">
        <v>48</v>
      </c>
      <c r="AO698" t="s">
        <v>26</v>
      </c>
      <c r="AP698">
        <v>2006</v>
      </c>
      <c r="AQ698" t="s">
        <v>36</v>
      </c>
      <c r="AR698" t="s">
        <v>335</v>
      </c>
      <c r="AS698" t="s">
        <v>306</v>
      </c>
      <c r="AT698" t="s">
        <v>238</v>
      </c>
      <c r="AU698" t="s">
        <v>310</v>
      </c>
      <c r="AV698">
        <v>2.7</v>
      </c>
    </row>
    <row r="699" spans="40:48" x14ac:dyDescent="0.25">
      <c r="AN699" t="s">
        <v>48</v>
      </c>
      <c r="AO699" t="s">
        <v>26</v>
      </c>
      <c r="AP699">
        <v>2006</v>
      </c>
      <c r="AQ699" t="s">
        <v>36</v>
      </c>
      <c r="AR699" t="s">
        <v>335</v>
      </c>
      <c r="AS699" t="s">
        <v>306</v>
      </c>
      <c r="AT699" t="s">
        <v>238</v>
      </c>
      <c r="AU699" t="s">
        <v>311</v>
      </c>
      <c r="AV699">
        <v>1.95</v>
      </c>
    </row>
    <row r="700" spans="40:48" x14ac:dyDescent="0.25">
      <c r="AN700" t="s">
        <v>48</v>
      </c>
      <c r="AO700" t="s">
        <v>26</v>
      </c>
      <c r="AP700">
        <v>2006</v>
      </c>
      <c r="AQ700" t="s">
        <v>36</v>
      </c>
      <c r="AR700" t="s">
        <v>335</v>
      </c>
      <c r="AS700" t="s">
        <v>306</v>
      </c>
      <c r="AT700" t="s">
        <v>238</v>
      </c>
      <c r="AU700" t="s">
        <v>268</v>
      </c>
      <c r="AV700">
        <v>4.6500000000000004</v>
      </c>
    </row>
    <row r="701" spans="40:48" x14ac:dyDescent="0.25">
      <c r="AN701" t="s">
        <v>48</v>
      </c>
      <c r="AO701" t="s">
        <v>26</v>
      </c>
      <c r="AP701">
        <v>2006</v>
      </c>
      <c r="AQ701" t="s">
        <v>36</v>
      </c>
      <c r="AR701" t="s">
        <v>335</v>
      </c>
      <c r="AS701" t="s">
        <v>306</v>
      </c>
      <c r="AT701" t="s">
        <v>239</v>
      </c>
      <c r="AU701" t="s">
        <v>310</v>
      </c>
      <c r="AV701">
        <v>2.5</v>
      </c>
    </row>
    <row r="702" spans="40:48" x14ac:dyDescent="0.25">
      <c r="AN702" t="s">
        <v>48</v>
      </c>
      <c r="AO702" t="s">
        <v>26</v>
      </c>
      <c r="AP702">
        <v>2006</v>
      </c>
      <c r="AQ702" t="s">
        <v>36</v>
      </c>
      <c r="AR702" t="s">
        <v>335</v>
      </c>
      <c r="AS702" t="s">
        <v>306</v>
      </c>
      <c r="AT702" t="s">
        <v>239</v>
      </c>
      <c r="AU702" t="s">
        <v>311</v>
      </c>
      <c r="AV702">
        <v>6.5</v>
      </c>
    </row>
    <row r="703" spans="40:48" x14ac:dyDescent="0.25">
      <c r="AN703" t="s">
        <v>48</v>
      </c>
      <c r="AO703" t="s">
        <v>26</v>
      </c>
      <c r="AP703">
        <v>2006</v>
      </c>
      <c r="AQ703" t="s">
        <v>36</v>
      </c>
      <c r="AR703" t="s">
        <v>335</v>
      </c>
      <c r="AS703" t="s">
        <v>306</v>
      </c>
      <c r="AT703" t="s">
        <v>239</v>
      </c>
      <c r="AU703" t="s">
        <v>268</v>
      </c>
      <c r="AV703">
        <v>9</v>
      </c>
    </row>
    <row r="704" spans="40:48" x14ac:dyDescent="0.25">
      <c r="AN704" t="s">
        <v>48</v>
      </c>
      <c r="AO704" t="s">
        <v>26</v>
      </c>
      <c r="AP704">
        <v>2006</v>
      </c>
      <c r="AQ704" t="s">
        <v>36</v>
      </c>
      <c r="AR704" t="s">
        <v>335</v>
      </c>
      <c r="AS704" t="s">
        <v>306</v>
      </c>
      <c r="AT704" t="s">
        <v>240</v>
      </c>
      <c r="AU704" t="s">
        <v>310</v>
      </c>
      <c r="AV704">
        <v>1.6</v>
      </c>
    </row>
    <row r="705" spans="40:48" x14ac:dyDescent="0.25">
      <c r="AN705" t="s">
        <v>48</v>
      </c>
      <c r="AO705" t="s">
        <v>26</v>
      </c>
      <c r="AP705">
        <v>2006</v>
      </c>
      <c r="AQ705" t="s">
        <v>36</v>
      </c>
      <c r="AR705" t="s">
        <v>335</v>
      </c>
      <c r="AS705" t="s">
        <v>306</v>
      </c>
      <c r="AT705" t="s">
        <v>240</v>
      </c>
      <c r="AU705" t="s">
        <v>311</v>
      </c>
      <c r="AV705">
        <v>9.5</v>
      </c>
    </row>
    <row r="706" spans="40:48" x14ac:dyDescent="0.25">
      <c r="AN706" t="s">
        <v>48</v>
      </c>
      <c r="AO706" t="s">
        <v>26</v>
      </c>
      <c r="AP706">
        <v>2006</v>
      </c>
      <c r="AQ706" t="s">
        <v>36</v>
      </c>
      <c r="AR706" t="s">
        <v>335</v>
      </c>
      <c r="AS706" t="s">
        <v>306</v>
      </c>
      <c r="AT706" t="s">
        <v>240</v>
      </c>
      <c r="AU706" t="s">
        <v>268</v>
      </c>
      <c r="AV706">
        <v>11.1</v>
      </c>
    </row>
    <row r="707" spans="40:48" x14ac:dyDescent="0.25">
      <c r="AN707" t="s">
        <v>48</v>
      </c>
      <c r="AO707" t="s">
        <v>26</v>
      </c>
      <c r="AP707">
        <v>2006</v>
      </c>
      <c r="AQ707" t="s">
        <v>36</v>
      </c>
      <c r="AR707" t="s">
        <v>335</v>
      </c>
      <c r="AS707" t="s">
        <v>306</v>
      </c>
      <c r="AT707" t="s">
        <v>316</v>
      </c>
      <c r="AU707" t="s">
        <v>310</v>
      </c>
      <c r="AV707">
        <v>3.1</v>
      </c>
    </row>
    <row r="708" spans="40:48" x14ac:dyDescent="0.25">
      <c r="AN708" t="s">
        <v>48</v>
      </c>
      <c r="AO708" t="s">
        <v>26</v>
      </c>
      <c r="AP708">
        <v>2006</v>
      </c>
      <c r="AQ708" t="s">
        <v>36</v>
      </c>
      <c r="AR708" t="s">
        <v>335</v>
      </c>
      <c r="AS708" t="s">
        <v>306</v>
      </c>
      <c r="AT708" t="s">
        <v>316</v>
      </c>
      <c r="AU708" t="s">
        <v>311</v>
      </c>
      <c r="AV708">
        <v>7.8</v>
      </c>
    </row>
    <row r="709" spans="40:48" x14ac:dyDescent="0.25">
      <c r="AN709" t="s">
        <v>48</v>
      </c>
      <c r="AO709" t="s">
        <v>26</v>
      </c>
      <c r="AP709">
        <v>2006</v>
      </c>
      <c r="AQ709" t="s">
        <v>36</v>
      </c>
      <c r="AR709" t="s">
        <v>335</v>
      </c>
      <c r="AS709" t="s">
        <v>306</v>
      </c>
      <c r="AT709" t="s">
        <v>316</v>
      </c>
      <c r="AU709" t="s">
        <v>268</v>
      </c>
      <c r="AV709">
        <v>10.9</v>
      </c>
    </row>
    <row r="710" spans="40:48" x14ac:dyDescent="0.25">
      <c r="AN710" t="s">
        <v>48</v>
      </c>
      <c r="AO710" t="s">
        <v>26</v>
      </c>
      <c r="AP710">
        <v>2006</v>
      </c>
      <c r="AQ710" t="s">
        <v>36</v>
      </c>
      <c r="AR710" t="s">
        <v>335</v>
      </c>
      <c r="AS710" t="s">
        <v>306</v>
      </c>
      <c r="AT710" t="s">
        <v>242</v>
      </c>
      <c r="AU710" t="s">
        <v>310</v>
      </c>
      <c r="AV710">
        <v>1.9</v>
      </c>
    </row>
    <row r="711" spans="40:48" x14ac:dyDescent="0.25">
      <c r="AN711" t="s">
        <v>48</v>
      </c>
      <c r="AO711" t="s">
        <v>26</v>
      </c>
      <c r="AP711">
        <v>2006</v>
      </c>
      <c r="AQ711" t="s">
        <v>36</v>
      </c>
      <c r="AR711" t="s">
        <v>335</v>
      </c>
      <c r="AS711" t="s">
        <v>306</v>
      </c>
      <c r="AT711" t="s">
        <v>242</v>
      </c>
      <c r="AU711" t="s">
        <v>311</v>
      </c>
      <c r="AV711">
        <v>8.1999999999999993</v>
      </c>
    </row>
    <row r="712" spans="40:48" x14ac:dyDescent="0.25">
      <c r="AN712" t="s">
        <v>48</v>
      </c>
      <c r="AO712" t="s">
        <v>26</v>
      </c>
      <c r="AP712">
        <v>2006</v>
      </c>
      <c r="AQ712" t="s">
        <v>36</v>
      </c>
      <c r="AR712" t="s">
        <v>335</v>
      </c>
      <c r="AS712" t="s">
        <v>306</v>
      </c>
      <c r="AT712" t="s">
        <v>242</v>
      </c>
      <c r="AU712" t="s">
        <v>268</v>
      </c>
      <c r="AV712">
        <v>10.1</v>
      </c>
    </row>
    <row r="713" spans="40:48" x14ac:dyDescent="0.25">
      <c r="AN713" t="s">
        <v>48</v>
      </c>
      <c r="AO713" t="s">
        <v>26</v>
      </c>
      <c r="AP713">
        <v>2006</v>
      </c>
      <c r="AQ713" t="s">
        <v>36</v>
      </c>
      <c r="AR713" t="s">
        <v>335</v>
      </c>
      <c r="AS713" t="s">
        <v>306</v>
      </c>
      <c r="AT713" t="s">
        <v>243</v>
      </c>
      <c r="AU713" t="s">
        <v>337</v>
      </c>
      <c r="AV713">
        <v>15</v>
      </c>
    </row>
    <row r="714" spans="40:48" x14ac:dyDescent="0.25">
      <c r="AN714" t="s">
        <v>48</v>
      </c>
      <c r="AO714" t="s">
        <v>26</v>
      </c>
      <c r="AP714">
        <v>2006</v>
      </c>
      <c r="AQ714" t="s">
        <v>36</v>
      </c>
      <c r="AR714" t="s">
        <v>335</v>
      </c>
      <c r="AS714" t="s">
        <v>306</v>
      </c>
      <c r="AT714" t="s">
        <v>243</v>
      </c>
      <c r="AU714" t="s">
        <v>338</v>
      </c>
      <c r="AV714">
        <v>42.099999999999994</v>
      </c>
    </row>
    <row r="715" spans="40:48" x14ac:dyDescent="0.25">
      <c r="AN715" t="s">
        <v>48</v>
      </c>
      <c r="AO715" t="s">
        <v>26</v>
      </c>
      <c r="AP715">
        <v>2006</v>
      </c>
      <c r="AQ715" t="s">
        <v>36</v>
      </c>
      <c r="AR715" t="s">
        <v>335</v>
      </c>
      <c r="AS715" t="s">
        <v>306</v>
      </c>
      <c r="AT715" t="s">
        <v>243</v>
      </c>
      <c r="AU715" t="s">
        <v>339</v>
      </c>
      <c r="AV715">
        <v>57.1</v>
      </c>
    </row>
    <row r="716" spans="40:48" x14ac:dyDescent="0.25">
      <c r="AN716" t="s">
        <v>50</v>
      </c>
      <c r="AO716" t="s">
        <v>26</v>
      </c>
      <c r="AP716">
        <v>2007</v>
      </c>
      <c r="AQ716" t="s">
        <v>36</v>
      </c>
      <c r="AR716" t="s">
        <v>335</v>
      </c>
      <c r="AS716" t="s">
        <v>307</v>
      </c>
      <c r="AT716" t="s">
        <v>218</v>
      </c>
      <c r="AU716" t="s">
        <v>310</v>
      </c>
      <c r="AV716">
        <v>3.7</v>
      </c>
    </row>
    <row r="717" spans="40:48" x14ac:dyDescent="0.25">
      <c r="AN717" t="s">
        <v>50</v>
      </c>
      <c r="AO717" t="s">
        <v>26</v>
      </c>
      <c r="AP717">
        <v>2007</v>
      </c>
      <c r="AQ717" t="s">
        <v>36</v>
      </c>
      <c r="AR717" t="s">
        <v>335</v>
      </c>
      <c r="AS717" t="s">
        <v>307</v>
      </c>
      <c r="AT717" t="s">
        <v>218</v>
      </c>
      <c r="AU717" t="s">
        <v>311</v>
      </c>
      <c r="AV717">
        <v>8.3000000000000007</v>
      </c>
    </row>
    <row r="718" spans="40:48" x14ac:dyDescent="0.25">
      <c r="AN718" t="s">
        <v>50</v>
      </c>
      <c r="AO718" t="s">
        <v>26</v>
      </c>
      <c r="AP718">
        <v>2007</v>
      </c>
      <c r="AQ718" t="s">
        <v>36</v>
      </c>
      <c r="AR718" t="s">
        <v>335</v>
      </c>
      <c r="AS718" t="s">
        <v>307</v>
      </c>
      <c r="AT718" t="s">
        <v>218</v>
      </c>
      <c r="AU718" t="s">
        <v>268</v>
      </c>
      <c r="AV718">
        <v>12</v>
      </c>
    </row>
    <row r="719" spans="40:48" x14ac:dyDescent="0.25">
      <c r="AN719" t="s">
        <v>50</v>
      </c>
      <c r="AO719" t="s">
        <v>26</v>
      </c>
      <c r="AP719">
        <v>2007</v>
      </c>
      <c r="AQ719" t="s">
        <v>36</v>
      </c>
      <c r="AR719" t="s">
        <v>335</v>
      </c>
      <c r="AS719" t="s">
        <v>307</v>
      </c>
      <c r="AT719" t="s">
        <v>238</v>
      </c>
      <c r="AU719" t="s">
        <v>310</v>
      </c>
      <c r="AV719">
        <v>0</v>
      </c>
    </row>
    <row r="720" spans="40:48" x14ac:dyDescent="0.25">
      <c r="AN720" t="s">
        <v>50</v>
      </c>
      <c r="AO720" t="s">
        <v>26</v>
      </c>
      <c r="AP720">
        <v>2007</v>
      </c>
      <c r="AQ720" t="s">
        <v>36</v>
      </c>
      <c r="AR720" t="s">
        <v>335</v>
      </c>
      <c r="AS720" t="s">
        <v>307</v>
      </c>
      <c r="AT720" t="s">
        <v>238</v>
      </c>
      <c r="AU720" t="s">
        <v>311</v>
      </c>
      <c r="AV720">
        <v>0</v>
      </c>
    </row>
    <row r="721" spans="40:48" x14ac:dyDescent="0.25">
      <c r="AN721" t="s">
        <v>50</v>
      </c>
      <c r="AO721" t="s">
        <v>26</v>
      </c>
      <c r="AP721">
        <v>2007</v>
      </c>
      <c r="AQ721" t="s">
        <v>36</v>
      </c>
      <c r="AR721" t="s">
        <v>335</v>
      </c>
      <c r="AS721" t="s">
        <v>307</v>
      </c>
      <c r="AT721" t="s">
        <v>238</v>
      </c>
      <c r="AU721" t="s">
        <v>268</v>
      </c>
      <c r="AV721">
        <v>0</v>
      </c>
    </row>
    <row r="722" spans="40:48" x14ac:dyDescent="0.25">
      <c r="AN722" t="s">
        <v>50</v>
      </c>
      <c r="AO722" t="s">
        <v>26</v>
      </c>
      <c r="AP722">
        <v>2007</v>
      </c>
      <c r="AQ722" t="s">
        <v>36</v>
      </c>
      <c r="AR722" t="s">
        <v>335</v>
      </c>
      <c r="AS722" t="s">
        <v>307</v>
      </c>
      <c r="AT722" t="s">
        <v>239</v>
      </c>
      <c r="AU722" t="s">
        <v>310</v>
      </c>
      <c r="AV722">
        <v>3.7</v>
      </c>
    </row>
    <row r="723" spans="40:48" x14ac:dyDescent="0.25">
      <c r="AN723" t="s">
        <v>50</v>
      </c>
      <c r="AO723" t="s">
        <v>26</v>
      </c>
      <c r="AP723">
        <v>2007</v>
      </c>
      <c r="AQ723" t="s">
        <v>36</v>
      </c>
      <c r="AR723" t="s">
        <v>335</v>
      </c>
      <c r="AS723" t="s">
        <v>307</v>
      </c>
      <c r="AT723" t="s">
        <v>239</v>
      </c>
      <c r="AU723" t="s">
        <v>311</v>
      </c>
      <c r="AV723">
        <v>8.1</v>
      </c>
    </row>
    <row r="724" spans="40:48" x14ac:dyDescent="0.25">
      <c r="AN724" t="s">
        <v>50</v>
      </c>
      <c r="AO724" t="s">
        <v>26</v>
      </c>
      <c r="AP724">
        <v>2007</v>
      </c>
      <c r="AQ724" t="s">
        <v>36</v>
      </c>
      <c r="AR724" t="s">
        <v>335</v>
      </c>
      <c r="AS724" t="s">
        <v>307</v>
      </c>
      <c r="AT724" t="s">
        <v>239</v>
      </c>
      <c r="AU724" t="s">
        <v>268</v>
      </c>
      <c r="AV724">
        <v>11.8</v>
      </c>
    </row>
    <row r="725" spans="40:48" x14ac:dyDescent="0.25">
      <c r="AN725" t="s">
        <v>50</v>
      </c>
      <c r="AO725" t="s">
        <v>26</v>
      </c>
      <c r="AP725">
        <v>2007</v>
      </c>
      <c r="AQ725" t="s">
        <v>36</v>
      </c>
      <c r="AR725" t="s">
        <v>335</v>
      </c>
      <c r="AS725" t="s">
        <v>307</v>
      </c>
      <c r="AT725" t="s">
        <v>240</v>
      </c>
      <c r="AU725" t="s">
        <v>310</v>
      </c>
      <c r="AV725">
        <v>0</v>
      </c>
    </row>
    <row r="726" spans="40:48" x14ac:dyDescent="0.25">
      <c r="AN726" t="s">
        <v>50</v>
      </c>
      <c r="AO726" t="s">
        <v>26</v>
      </c>
      <c r="AP726">
        <v>2007</v>
      </c>
      <c r="AQ726" t="s">
        <v>36</v>
      </c>
      <c r="AR726" t="s">
        <v>335</v>
      </c>
      <c r="AS726" t="s">
        <v>307</v>
      </c>
      <c r="AT726" t="s">
        <v>240</v>
      </c>
      <c r="AU726" t="s">
        <v>311</v>
      </c>
      <c r="AV726">
        <v>0</v>
      </c>
    </row>
    <row r="727" spans="40:48" x14ac:dyDescent="0.25">
      <c r="AN727" t="s">
        <v>50</v>
      </c>
      <c r="AO727" t="s">
        <v>26</v>
      </c>
      <c r="AP727">
        <v>2007</v>
      </c>
      <c r="AQ727" t="s">
        <v>36</v>
      </c>
      <c r="AR727" t="s">
        <v>335</v>
      </c>
      <c r="AS727" t="s">
        <v>307</v>
      </c>
      <c r="AT727" t="s">
        <v>240</v>
      </c>
      <c r="AU727" t="s">
        <v>268</v>
      </c>
      <c r="AV727">
        <v>0</v>
      </c>
    </row>
    <row r="728" spans="40:48" x14ac:dyDescent="0.25">
      <c r="AN728" t="s">
        <v>50</v>
      </c>
      <c r="AO728" t="s">
        <v>26</v>
      </c>
      <c r="AP728">
        <v>2007</v>
      </c>
      <c r="AQ728" t="s">
        <v>36</v>
      </c>
      <c r="AR728" t="s">
        <v>335</v>
      </c>
      <c r="AS728" t="s">
        <v>307</v>
      </c>
      <c r="AT728" t="s">
        <v>316</v>
      </c>
      <c r="AU728" t="s">
        <v>310</v>
      </c>
      <c r="AV728">
        <v>0</v>
      </c>
    </row>
    <row r="729" spans="40:48" x14ac:dyDescent="0.25">
      <c r="AN729" t="s">
        <v>50</v>
      </c>
      <c r="AO729" t="s">
        <v>26</v>
      </c>
      <c r="AP729">
        <v>2007</v>
      </c>
      <c r="AQ729" t="s">
        <v>36</v>
      </c>
      <c r="AR729" t="s">
        <v>335</v>
      </c>
      <c r="AS729" t="s">
        <v>307</v>
      </c>
      <c r="AT729" t="s">
        <v>316</v>
      </c>
      <c r="AU729" t="s">
        <v>311</v>
      </c>
      <c r="AV729">
        <v>0</v>
      </c>
    </row>
    <row r="730" spans="40:48" x14ac:dyDescent="0.25">
      <c r="AN730" t="s">
        <v>50</v>
      </c>
      <c r="AO730" t="s">
        <v>26</v>
      </c>
      <c r="AP730">
        <v>2007</v>
      </c>
      <c r="AQ730" t="s">
        <v>36</v>
      </c>
      <c r="AR730" t="s">
        <v>335</v>
      </c>
      <c r="AS730" t="s">
        <v>307</v>
      </c>
      <c r="AT730" t="s">
        <v>316</v>
      </c>
      <c r="AU730" t="s">
        <v>268</v>
      </c>
      <c r="AV730">
        <v>0</v>
      </c>
    </row>
    <row r="731" spans="40:48" x14ac:dyDescent="0.25">
      <c r="AN731" t="s">
        <v>50</v>
      </c>
      <c r="AO731" t="s">
        <v>26</v>
      </c>
      <c r="AP731">
        <v>2007</v>
      </c>
      <c r="AQ731" t="s">
        <v>36</v>
      </c>
      <c r="AR731" t="s">
        <v>335</v>
      </c>
      <c r="AS731" t="s">
        <v>307</v>
      </c>
      <c r="AT731" t="s">
        <v>242</v>
      </c>
      <c r="AU731" t="s">
        <v>310</v>
      </c>
      <c r="AV731">
        <v>2.7</v>
      </c>
    </row>
    <row r="732" spans="40:48" x14ac:dyDescent="0.25">
      <c r="AN732" t="s">
        <v>50</v>
      </c>
      <c r="AO732" t="s">
        <v>26</v>
      </c>
      <c r="AP732">
        <v>2007</v>
      </c>
      <c r="AQ732" t="s">
        <v>36</v>
      </c>
      <c r="AR732" t="s">
        <v>335</v>
      </c>
      <c r="AS732" t="s">
        <v>307</v>
      </c>
      <c r="AT732" t="s">
        <v>242</v>
      </c>
      <c r="AU732" t="s">
        <v>311</v>
      </c>
      <c r="AV732">
        <v>8</v>
      </c>
    </row>
    <row r="733" spans="40:48" x14ac:dyDescent="0.25">
      <c r="AN733" t="s">
        <v>50</v>
      </c>
      <c r="AO733" t="s">
        <v>26</v>
      </c>
      <c r="AP733">
        <v>2007</v>
      </c>
      <c r="AQ733" t="s">
        <v>36</v>
      </c>
      <c r="AR733" t="s">
        <v>335</v>
      </c>
      <c r="AS733" t="s">
        <v>307</v>
      </c>
      <c r="AT733" t="s">
        <v>242</v>
      </c>
      <c r="AU733" t="s">
        <v>268</v>
      </c>
      <c r="AV733">
        <v>10.7</v>
      </c>
    </row>
    <row r="734" spans="40:48" x14ac:dyDescent="0.25">
      <c r="AN734" t="s">
        <v>50</v>
      </c>
      <c r="AO734" t="s">
        <v>26</v>
      </c>
      <c r="AP734">
        <v>2007</v>
      </c>
      <c r="AQ734" t="s">
        <v>36</v>
      </c>
      <c r="AR734" t="s">
        <v>335</v>
      </c>
      <c r="AS734" t="s">
        <v>307</v>
      </c>
      <c r="AT734" t="s">
        <v>243</v>
      </c>
      <c r="AU734" t="s">
        <v>337</v>
      </c>
      <c r="AV734">
        <v>0</v>
      </c>
    </row>
    <row r="735" spans="40:48" x14ac:dyDescent="0.25">
      <c r="AN735" t="s">
        <v>50</v>
      </c>
      <c r="AO735" t="s">
        <v>26</v>
      </c>
      <c r="AP735">
        <v>2007</v>
      </c>
      <c r="AQ735" t="s">
        <v>36</v>
      </c>
      <c r="AR735" t="s">
        <v>335</v>
      </c>
      <c r="AS735" t="s">
        <v>307</v>
      </c>
      <c r="AT735" t="s">
        <v>243</v>
      </c>
      <c r="AU735" t="s">
        <v>338</v>
      </c>
      <c r="AV735">
        <v>0</v>
      </c>
    </row>
    <row r="736" spans="40:48" x14ac:dyDescent="0.25">
      <c r="AN736" t="s">
        <v>50</v>
      </c>
      <c r="AO736" t="s">
        <v>26</v>
      </c>
      <c r="AP736">
        <v>2007</v>
      </c>
      <c r="AQ736" t="s">
        <v>36</v>
      </c>
      <c r="AR736" t="s">
        <v>335</v>
      </c>
      <c r="AS736" t="s">
        <v>307</v>
      </c>
      <c r="AT736" t="s">
        <v>243</v>
      </c>
      <c r="AU736" t="s">
        <v>339</v>
      </c>
      <c r="AV736">
        <v>34.5</v>
      </c>
    </row>
    <row r="737" spans="40:48" x14ac:dyDescent="0.25">
      <c r="AN737" t="s">
        <v>52</v>
      </c>
      <c r="AO737" t="s">
        <v>26</v>
      </c>
      <c r="AP737">
        <v>2006</v>
      </c>
      <c r="AQ737" t="s">
        <v>36</v>
      </c>
      <c r="AR737" t="s">
        <v>335</v>
      </c>
      <c r="AS737" t="s">
        <v>307</v>
      </c>
      <c r="AT737" t="s">
        <v>218</v>
      </c>
      <c r="AU737" t="s">
        <v>310</v>
      </c>
      <c r="AV737">
        <v>0</v>
      </c>
    </row>
    <row r="738" spans="40:48" x14ac:dyDescent="0.25">
      <c r="AN738" t="s">
        <v>52</v>
      </c>
      <c r="AO738" t="s">
        <v>26</v>
      </c>
      <c r="AP738">
        <v>2006</v>
      </c>
      <c r="AQ738" t="s">
        <v>36</v>
      </c>
      <c r="AR738" t="s">
        <v>335</v>
      </c>
      <c r="AS738" t="s">
        <v>307</v>
      </c>
      <c r="AT738" t="s">
        <v>218</v>
      </c>
      <c r="AU738" t="s">
        <v>311</v>
      </c>
      <c r="AV738">
        <v>0</v>
      </c>
    </row>
    <row r="739" spans="40:48" x14ac:dyDescent="0.25">
      <c r="AN739" t="s">
        <v>52</v>
      </c>
      <c r="AO739" t="s">
        <v>26</v>
      </c>
      <c r="AP739">
        <v>2006</v>
      </c>
      <c r="AQ739" t="s">
        <v>36</v>
      </c>
      <c r="AR739" t="s">
        <v>335</v>
      </c>
      <c r="AS739" t="s">
        <v>307</v>
      </c>
      <c r="AT739" t="s">
        <v>218</v>
      </c>
      <c r="AU739" t="s">
        <v>268</v>
      </c>
      <c r="AV739">
        <v>0</v>
      </c>
    </row>
    <row r="740" spans="40:48" x14ac:dyDescent="0.25">
      <c r="AN740" t="s">
        <v>52</v>
      </c>
      <c r="AO740" t="s">
        <v>26</v>
      </c>
      <c r="AP740">
        <v>2006</v>
      </c>
      <c r="AQ740" t="s">
        <v>36</v>
      </c>
      <c r="AR740" t="s">
        <v>335</v>
      </c>
      <c r="AS740" t="s">
        <v>307</v>
      </c>
      <c r="AT740" t="s">
        <v>238</v>
      </c>
      <c r="AU740" t="s">
        <v>310</v>
      </c>
      <c r="AV740">
        <v>2.2000000000000002</v>
      </c>
    </row>
    <row r="741" spans="40:48" x14ac:dyDescent="0.25">
      <c r="AN741" t="s">
        <v>52</v>
      </c>
      <c r="AO741" t="s">
        <v>26</v>
      </c>
      <c r="AP741">
        <v>2006</v>
      </c>
      <c r="AQ741" t="s">
        <v>36</v>
      </c>
      <c r="AR741" t="s">
        <v>335</v>
      </c>
      <c r="AS741" t="s">
        <v>307</v>
      </c>
      <c r="AT741" t="s">
        <v>238</v>
      </c>
      <c r="AU741" t="s">
        <v>311</v>
      </c>
      <c r="AV741">
        <v>6.5</v>
      </c>
    </row>
    <row r="742" spans="40:48" x14ac:dyDescent="0.25">
      <c r="AN742" t="s">
        <v>52</v>
      </c>
      <c r="AO742" t="s">
        <v>26</v>
      </c>
      <c r="AP742">
        <v>2006</v>
      </c>
      <c r="AQ742" t="s">
        <v>36</v>
      </c>
      <c r="AR742" t="s">
        <v>335</v>
      </c>
      <c r="AS742" t="s">
        <v>307</v>
      </c>
      <c r="AT742" t="s">
        <v>238</v>
      </c>
      <c r="AU742" t="s">
        <v>268</v>
      </c>
      <c r="AV742">
        <v>8.6999999999999993</v>
      </c>
    </row>
    <row r="743" spans="40:48" x14ac:dyDescent="0.25">
      <c r="AN743" t="s">
        <v>52</v>
      </c>
      <c r="AO743" t="s">
        <v>26</v>
      </c>
      <c r="AP743">
        <v>2006</v>
      </c>
      <c r="AQ743" t="s">
        <v>36</v>
      </c>
      <c r="AR743" t="s">
        <v>335</v>
      </c>
      <c r="AS743" t="s">
        <v>307</v>
      </c>
      <c r="AT743" t="s">
        <v>239</v>
      </c>
      <c r="AU743" t="s">
        <v>310</v>
      </c>
      <c r="AV743">
        <v>0</v>
      </c>
    </row>
    <row r="744" spans="40:48" x14ac:dyDescent="0.25">
      <c r="AN744" t="s">
        <v>52</v>
      </c>
      <c r="AO744" t="s">
        <v>26</v>
      </c>
      <c r="AP744">
        <v>2006</v>
      </c>
      <c r="AQ744" t="s">
        <v>36</v>
      </c>
      <c r="AR744" t="s">
        <v>335</v>
      </c>
      <c r="AS744" t="s">
        <v>307</v>
      </c>
      <c r="AT744" t="s">
        <v>239</v>
      </c>
      <c r="AU744" t="s">
        <v>311</v>
      </c>
      <c r="AV744">
        <v>0</v>
      </c>
    </row>
    <row r="745" spans="40:48" x14ac:dyDescent="0.25">
      <c r="AN745" t="s">
        <v>52</v>
      </c>
      <c r="AO745" t="s">
        <v>26</v>
      </c>
      <c r="AP745">
        <v>2006</v>
      </c>
      <c r="AQ745" t="s">
        <v>36</v>
      </c>
      <c r="AR745" t="s">
        <v>335</v>
      </c>
      <c r="AS745" t="s">
        <v>307</v>
      </c>
      <c r="AT745" t="s">
        <v>239</v>
      </c>
      <c r="AU745" t="s">
        <v>268</v>
      </c>
      <c r="AV745">
        <v>0</v>
      </c>
    </row>
    <row r="746" spans="40:48" x14ac:dyDescent="0.25">
      <c r="AN746" t="s">
        <v>52</v>
      </c>
      <c r="AO746" t="s">
        <v>26</v>
      </c>
      <c r="AP746">
        <v>2006</v>
      </c>
      <c r="AQ746" t="s">
        <v>36</v>
      </c>
      <c r="AR746" t="s">
        <v>335</v>
      </c>
      <c r="AS746" t="s">
        <v>307</v>
      </c>
      <c r="AT746" t="s">
        <v>240</v>
      </c>
      <c r="AU746" t="s">
        <v>310</v>
      </c>
      <c r="AV746">
        <v>0</v>
      </c>
    </row>
    <row r="747" spans="40:48" x14ac:dyDescent="0.25">
      <c r="AN747" t="s">
        <v>52</v>
      </c>
      <c r="AO747" t="s">
        <v>26</v>
      </c>
      <c r="AP747">
        <v>2006</v>
      </c>
      <c r="AQ747" t="s">
        <v>36</v>
      </c>
      <c r="AR747" t="s">
        <v>335</v>
      </c>
      <c r="AS747" t="s">
        <v>307</v>
      </c>
      <c r="AT747" t="s">
        <v>240</v>
      </c>
      <c r="AU747" t="s">
        <v>311</v>
      </c>
      <c r="AV747">
        <v>0</v>
      </c>
    </row>
    <row r="748" spans="40:48" x14ac:dyDescent="0.25">
      <c r="AN748" t="s">
        <v>52</v>
      </c>
      <c r="AO748" t="s">
        <v>26</v>
      </c>
      <c r="AP748">
        <v>2006</v>
      </c>
      <c r="AQ748" t="s">
        <v>36</v>
      </c>
      <c r="AR748" t="s">
        <v>335</v>
      </c>
      <c r="AS748" t="s">
        <v>307</v>
      </c>
      <c r="AT748" t="s">
        <v>240</v>
      </c>
      <c r="AU748" t="s">
        <v>268</v>
      </c>
      <c r="AV748">
        <v>0</v>
      </c>
    </row>
    <row r="749" spans="40:48" x14ac:dyDescent="0.25">
      <c r="AN749" t="s">
        <v>52</v>
      </c>
      <c r="AO749" t="s">
        <v>26</v>
      </c>
      <c r="AP749">
        <v>2006</v>
      </c>
      <c r="AQ749" t="s">
        <v>36</v>
      </c>
      <c r="AR749" t="s">
        <v>335</v>
      </c>
      <c r="AS749" t="s">
        <v>307</v>
      </c>
      <c r="AT749" t="s">
        <v>316</v>
      </c>
      <c r="AU749" t="s">
        <v>310</v>
      </c>
      <c r="AV749">
        <v>3.1</v>
      </c>
    </row>
    <row r="750" spans="40:48" x14ac:dyDescent="0.25">
      <c r="AN750" t="s">
        <v>52</v>
      </c>
      <c r="AO750" t="s">
        <v>26</v>
      </c>
      <c r="AP750">
        <v>2006</v>
      </c>
      <c r="AQ750" t="s">
        <v>36</v>
      </c>
      <c r="AR750" t="s">
        <v>335</v>
      </c>
      <c r="AS750" t="s">
        <v>307</v>
      </c>
      <c r="AT750" t="s">
        <v>316</v>
      </c>
      <c r="AU750" t="s">
        <v>311</v>
      </c>
      <c r="AV750">
        <v>8</v>
      </c>
    </row>
    <row r="751" spans="40:48" x14ac:dyDescent="0.25">
      <c r="AN751" t="s">
        <v>52</v>
      </c>
      <c r="AO751" t="s">
        <v>26</v>
      </c>
      <c r="AP751">
        <v>2006</v>
      </c>
      <c r="AQ751" t="s">
        <v>36</v>
      </c>
      <c r="AR751" t="s">
        <v>335</v>
      </c>
      <c r="AS751" t="s">
        <v>307</v>
      </c>
      <c r="AT751" t="s">
        <v>316</v>
      </c>
      <c r="AU751" t="s">
        <v>268</v>
      </c>
      <c r="AV751">
        <v>11.1</v>
      </c>
    </row>
    <row r="752" spans="40:48" x14ac:dyDescent="0.25">
      <c r="AN752" t="s">
        <v>52</v>
      </c>
      <c r="AO752" t="s">
        <v>26</v>
      </c>
      <c r="AP752">
        <v>2006</v>
      </c>
      <c r="AQ752" t="s">
        <v>36</v>
      </c>
      <c r="AR752" t="s">
        <v>335</v>
      </c>
      <c r="AS752" t="s">
        <v>307</v>
      </c>
      <c r="AT752" t="s">
        <v>242</v>
      </c>
      <c r="AU752" t="s">
        <v>310</v>
      </c>
      <c r="AV752">
        <v>0</v>
      </c>
    </row>
    <row r="753" spans="40:48" x14ac:dyDescent="0.25">
      <c r="AN753" t="s">
        <v>52</v>
      </c>
      <c r="AO753" t="s">
        <v>26</v>
      </c>
      <c r="AP753">
        <v>2006</v>
      </c>
      <c r="AQ753" t="s">
        <v>36</v>
      </c>
      <c r="AR753" t="s">
        <v>335</v>
      </c>
      <c r="AS753" t="s">
        <v>307</v>
      </c>
      <c r="AT753" t="s">
        <v>242</v>
      </c>
      <c r="AU753" t="s">
        <v>311</v>
      </c>
      <c r="AV753">
        <v>0</v>
      </c>
    </row>
    <row r="754" spans="40:48" x14ac:dyDescent="0.25">
      <c r="AN754" t="s">
        <v>52</v>
      </c>
      <c r="AO754" t="s">
        <v>26</v>
      </c>
      <c r="AP754">
        <v>2006</v>
      </c>
      <c r="AQ754" t="s">
        <v>36</v>
      </c>
      <c r="AR754" t="s">
        <v>335</v>
      </c>
      <c r="AS754" t="s">
        <v>307</v>
      </c>
      <c r="AT754" t="s">
        <v>242</v>
      </c>
      <c r="AU754" t="s">
        <v>268</v>
      </c>
      <c r="AV754">
        <v>0</v>
      </c>
    </row>
    <row r="755" spans="40:48" x14ac:dyDescent="0.25">
      <c r="AN755" t="s">
        <v>52</v>
      </c>
      <c r="AO755" t="s">
        <v>26</v>
      </c>
      <c r="AP755">
        <v>2006</v>
      </c>
      <c r="AQ755" t="s">
        <v>36</v>
      </c>
      <c r="AR755" t="s">
        <v>335</v>
      </c>
      <c r="AS755" t="s">
        <v>307</v>
      </c>
      <c r="AT755" t="s">
        <v>243</v>
      </c>
      <c r="AU755" t="s">
        <v>337</v>
      </c>
      <c r="AV755">
        <v>0</v>
      </c>
    </row>
    <row r="756" spans="40:48" x14ac:dyDescent="0.25">
      <c r="AN756" t="s">
        <v>52</v>
      </c>
      <c r="AO756" t="s">
        <v>26</v>
      </c>
      <c r="AP756">
        <v>2006</v>
      </c>
      <c r="AQ756" t="s">
        <v>36</v>
      </c>
      <c r="AR756" t="s">
        <v>335</v>
      </c>
      <c r="AS756" t="s">
        <v>307</v>
      </c>
      <c r="AT756" t="s">
        <v>243</v>
      </c>
      <c r="AU756" t="s">
        <v>338</v>
      </c>
      <c r="AV756">
        <v>0</v>
      </c>
    </row>
    <row r="757" spans="40:48" x14ac:dyDescent="0.25">
      <c r="AN757" t="s">
        <v>52</v>
      </c>
      <c r="AO757" t="s">
        <v>26</v>
      </c>
      <c r="AP757">
        <v>2006</v>
      </c>
      <c r="AQ757" t="s">
        <v>36</v>
      </c>
      <c r="AR757" t="s">
        <v>335</v>
      </c>
      <c r="AS757" t="s">
        <v>307</v>
      </c>
      <c r="AT757" t="s">
        <v>243</v>
      </c>
      <c r="AU757" t="s">
        <v>339</v>
      </c>
      <c r="AV757">
        <v>19.799999999999997</v>
      </c>
    </row>
    <row r="758" spans="40:48" x14ac:dyDescent="0.25">
      <c r="AN758" t="s">
        <v>54</v>
      </c>
      <c r="AO758" t="s">
        <v>26</v>
      </c>
      <c r="AP758">
        <v>2008</v>
      </c>
      <c r="AQ758" t="s">
        <v>56</v>
      </c>
      <c r="AR758" t="s">
        <v>335</v>
      </c>
      <c r="AS758" t="s">
        <v>307</v>
      </c>
      <c r="AT758" t="s">
        <v>218</v>
      </c>
      <c r="AU758" t="s">
        <v>310</v>
      </c>
      <c r="AV758">
        <v>0</v>
      </c>
    </row>
    <row r="759" spans="40:48" x14ac:dyDescent="0.25">
      <c r="AN759" t="s">
        <v>54</v>
      </c>
      <c r="AO759" t="s">
        <v>26</v>
      </c>
      <c r="AP759">
        <v>2008</v>
      </c>
      <c r="AQ759" t="s">
        <v>56</v>
      </c>
      <c r="AR759" t="s">
        <v>335</v>
      </c>
      <c r="AS759" t="s">
        <v>307</v>
      </c>
      <c r="AT759" t="s">
        <v>218</v>
      </c>
      <c r="AU759" t="s">
        <v>311</v>
      </c>
      <c r="AV759">
        <v>0</v>
      </c>
    </row>
    <row r="760" spans="40:48" x14ac:dyDescent="0.25">
      <c r="AN760" t="s">
        <v>54</v>
      </c>
      <c r="AO760" t="s">
        <v>26</v>
      </c>
      <c r="AP760">
        <v>2008</v>
      </c>
      <c r="AQ760" t="s">
        <v>56</v>
      </c>
      <c r="AR760" t="s">
        <v>335</v>
      </c>
      <c r="AS760" t="s">
        <v>307</v>
      </c>
      <c r="AT760" t="s">
        <v>218</v>
      </c>
      <c r="AU760" t="s">
        <v>268</v>
      </c>
      <c r="AV760">
        <v>0</v>
      </c>
    </row>
    <row r="761" spans="40:48" x14ac:dyDescent="0.25">
      <c r="AN761" t="s">
        <v>54</v>
      </c>
      <c r="AO761" t="s">
        <v>26</v>
      </c>
      <c r="AP761">
        <v>2008</v>
      </c>
      <c r="AQ761" t="s">
        <v>56</v>
      </c>
      <c r="AR761" t="s">
        <v>335</v>
      </c>
      <c r="AS761" t="s">
        <v>307</v>
      </c>
      <c r="AT761" t="s">
        <v>238</v>
      </c>
      <c r="AU761" t="s">
        <v>310</v>
      </c>
      <c r="AV761">
        <v>0</v>
      </c>
    </row>
    <row r="762" spans="40:48" x14ac:dyDescent="0.25">
      <c r="AN762" t="s">
        <v>54</v>
      </c>
      <c r="AO762" t="s">
        <v>26</v>
      </c>
      <c r="AP762">
        <v>2008</v>
      </c>
      <c r="AQ762" t="s">
        <v>56</v>
      </c>
      <c r="AR762" t="s">
        <v>335</v>
      </c>
      <c r="AS762" t="s">
        <v>307</v>
      </c>
      <c r="AT762" t="s">
        <v>238</v>
      </c>
      <c r="AU762" t="s">
        <v>311</v>
      </c>
      <c r="AV762">
        <v>0</v>
      </c>
    </row>
    <row r="763" spans="40:48" x14ac:dyDescent="0.25">
      <c r="AN763" t="s">
        <v>54</v>
      </c>
      <c r="AO763" t="s">
        <v>26</v>
      </c>
      <c r="AP763">
        <v>2008</v>
      </c>
      <c r="AQ763" t="s">
        <v>56</v>
      </c>
      <c r="AR763" t="s">
        <v>335</v>
      </c>
      <c r="AS763" t="s">
        <v>307</v>
      </c>
      <c r="AT763" t="s">
        <v>238</v>
      </c>
      <c r="AU763" t="s">
        <v>268</v>
      </c>
      <c r="AV763">
        <v>0</v>
      </c>
    </row>
    <row r="764" spans="40:48" x14ac:dyDescent="0.25">
      <c r="AN764" t="s">
        <v>54</v>
      </c>
      <c r="AO764" t="s">
        <v>26</v>
      </c>
      <c r="AP764">
        <v>2008</v>
      </c>
      <c r="AQ764" t="s">
        <v>56</v>
      </c>
      <c r="AR764" t="s">
        <v>335</v>
      </c>
      <c r="AS764" t="s">
        <v>307</v>
      </c>
      <c r="AT764" t="s">
        <v>239</v>
      </c>
      <c r="AU764" t="s">
        <v>310</v>
      </c>
      <c r="AV764">
        <v>0</v>
      </c>
    </row>
    <row r="765" spans="40:48" x14ac:dyDescent="0.25">
      <c r="AN765" t="s">
        <v>54</v>
      </c>
      <c r="AO765" t="s">
        <v>26</v>
      </c>
      <c r="AP765">
        <v>2008</v>
      </c>
      <c r="AQ765" t="s">
        <v>56</v>
      </c>
      <c r="AR765" t="s">
        <v>335</v>
      </c>
      <c r="AS765" t="s">
        <v>307</v>
      </c>
      <c r="AT765" t="s">
        <v>239</v>
      </c>
      <c r="AU765" t="s">
        <v>311</v>
      </c>
      <c r="AV765">
        <v>0</v>
      </c>
    </row>
    <row r="766" spans="40:48" x14ac:dyDescent="0.25">
      <c r="AN766" t="s">
        <v>54</v>
      </c>
      <c r="AO766" t="s">
        <v>26</v>
      </c>
      <c r="AP766">
        <v>2008</v>
      </c>
      <c r="AQ766" t="s">
        <v>56</v>
      </c>
      <c r="AR766" t="s">
        <v>335</v>
      </c>
      <c r="AS766" t="s">
        <v>307</v>
      </c>
      <c r="AT766" t="s">
        <v>239</v>
      </c>
      <c r="AU766" t="s">
        <v>268</v>
      </c>
      <c r="AV766">
        <v>0</v>
      </c>
    </row>
    <row r="767" spans="40:48" x14ac:dyDescent="0.25">
      <c r="AN767" t="s">
        <v>54</v>
      </c>
      <c r="AO767" t="s">
        <v>26</v>
      </c>
      <c r="AP767">
        <v>2008</v>
      </c>
      <c r="AQ767" t="s">
        <v>56</v>
      </c>
      <c r="AR767" t="s">
        <v>335</v>
      </c>
      <c r="AS767" t="s">
        <v>307</v>
      </c>
      <c r="AT767" t="s">
        <v>240</v>
      </c>
      <c r="AU767" t="s">
        <v>310</v>
      </c>
      <c r="AV767">
        <v>1.6</v>
      </c>
    </row>
    <row r="768" spans="40:48" x14ac:dyDescent="0.25">
      <c r="AN768" t="s">
        <v>54</v>
      </c>
      <c r="AO768" t="s">
        <v>26</v>
      </c>
      <c r="AP768">
        <v>2008</v>
      </c>
      <c r="AQ768" t="s">
        <v>56</v>
      </c>
      <c r="AR768" t="s">
        <v>335</v>
      </c>
      <c r="AS768" t="s">
        <v>307</v>
      </c>
      <c r="AT768" t="s">
        <v>240</v>
      </c>
      <c r="AU768" t="s">
        <v>311</v>
      </c>
      <c r="AV768">
        <v>8.3000000000000007</v>
      </c>
    </row>
    <row r="769" spans="40:48" x14ac:dyDescent="0.25">
      <c r="AN769" t="s">
        <v>54</v>
      </c>
      <c r="AO769" t="s">
        <v>26</v>
      </c>
      <c r="AP769">
        <v>2008</v>
      </c>
      <c r="AQ769" t="s">
        <v>56</v>
      </c>
      <c r="AR769" t="s">
        <v>335</v>
      </c>
      <c r="AS769" t="s">
        <v>307</v>
      </c>
      <c r="AT769" t="s">
        <v>240</v>
      </c>
      <c r="AU769" t="s">
        <v>268</v>
      </c>
      <c r="AV769">
        <v>9.9</v>
      </c>
    </row>
    <row r="770" spans="40:48" x14ac:dyDescent="0.25">
      <c r="AN770" t="s">
        <v>54</v>
      </c>
      <c r="AO770" t="s">
        <v>26</v>
      </c>
      <c r="AP770">
        <v>2008</v>
      </c>
      <c r="AQ770" t="s">
        <v>56</v>
      </c>
      <c r="AR770" t="s">
        <v>335</v>
      </c>
      <c r="AS770" t="s">
        <v>307</v>
      </c>
      <c r="AT770" t="s">
        <v>316</v>
      </c>
      <c r="AU770" t="s">
        <v>310</v>
      </c>
      <c r="AV770">
        <v>0</v>
      </c>
    </row>
    <row r="771" spans="40:48" x14ac:dyDescent="0.25">
      <c r="AN771" t="s">
        <v>54</v>
      </c>
      <c r="AO771" t="s">
        <v>26</v>
      </c>
      <c r="AP771">
        <v>2008</v>
      </c>
      <c r="AQ771" t="s">
        <v>56</v>
      </c>
      <c r="AR771" t="s">
        <v>335</v>
      </c>
      <c r="AS771" t="s">
        <v>307</v>
      </c>
      <c r="AT771" t="s">
        <v>316</v>
      </c>
      <c r="AU771" t="s">
        <v>311</v>
      </c>
      <c r="AV771">
        <v>0</v>
      </c>
    </row>
    <row r="772" spans="40:48" x14ac:dyDescent="0.25">
      <c r="AN772" t="s">
        <v>54</v>
      </c>
      <c r="AO772" t="s">
        <v>26</v>
      </c>
      <c r="AP772">
        <v>2008</v>
      </c>
      <c r="AQ772" t="s">
        <v>56</v>
      </c>
      <c r="AR772" t="s">
        <v>335</v>
      </c>
      <c r="AS772" t="s">
        <v>307</v>
      </c>
      <c r="AT772" t="s">
        <v>316</v>
      </c>
      <c r="AU772" t="s">
        <v>268</v>
      </c>
      <c r="AV772">
        <v>0</v>
      </c>
    </row>
    <row r="773" spans="40:48" x14ac:dyDescent="0.25">
      <c r="AN773" t="s">
        <v>54</v>
      </c>
      <c r="AO773" t="s">
        <v>26</v>
      </c>
      <c r="AP773">
        <v>2008</v>
      </c>
      <c r="AQ773" t="s">
        <v>56</v>
      </c>
      <c r="AR773" t="s">
        <v>335</v>
      </c>
      <c r="AS773" t="s">
        <v>307</v>
      </c>
      <c r="AT773" t="s">
        <v>242</v>
      </c>
      <c r="AU773" t="s">
        <v>310</v>
      </c>
      <c r="AV773">
        <v>0</v>
      </c>
    </row>
    <row r="774" spans="40:48" x14ac:dyDescent="0.25">
      <c r="AN774" t="s">
        <v>54</v>
      </c>
      <c r="AO774" t="s">
        <v>26</v>
      </c>
      <c r="AP774">
        <v>2008</v>
      </c>
      <c r="AQ774" t="s">
        <v>56</v>
      </c>
      <c r="AR774" t="s">
        <v>335</v>
      </c>
      <c r="AS774" t="s">
        <v>307</v>
      </c>
      <c r="AT774" t="s">
        <v>242</v>
      </c>
      <c r="AU774" t="s">
        <v>311</v>
      </c>
      <c r="AV774">
        <v>0</v>
      </c>
    </row>
    <row r="775" spans="40:48" x14ac:dyDescent="0.25">
      <c r="AN775" t="s">
        <v>54</v>
      </c>
      <c r="AO775" t="s">
        <v>26</v>
      </c>
      <c r="AP775">
        <v>2008</v>
      </c>
      <c r="AQ775" t="s">
        <v>56</v>
      </c>
      <c r="AR775" t="s">
        <v>335</v>
      </c>
      <c r="AS775" t="s">
        <v>307</v>
      </c>
      <c r="AT775" t="s">
        <v>242</v>
      </c>
      <c r="AU775" t="s">
        <v>268</v>
      </c>
      <c r="AV775">
        <v>0</v>
      </c>
    </row>
    <row r="776" spans="40:48" x14ac:dyDescent="0.25">
      <c r="AN776" t="s">
        <v>54</v>
      </c>
      <c r="AO776" t="s">
        <v>26</v>
      </c>
      <c r="AP776">
        <v>2008</v>
      </c>
      <c r="AQ776" t="s">
        <v>56</v>
      </c>
      <c r="AR776" t="s">
        <v>335</v>
      </c>
      <c r="AS776" t="s">
        <v>307</v>
      </c>
      <c r="AT776" t="s">
        <v>243</v>
      </c>
      <c r="AU776" t="s">
        <v>337</v>
      </c>
      <c r="AV776">
        <v>0</v>
      </c>
    </row>
    <row r="777" spans="40:48" x14ac:dyDescent="0.25">
      <c r="AN777" t="s">
        <v>54</v>
      </c>
      <c r="AO777" t="s">
        <v>26</v>
      </c>
      <c r="AP777">
        <v>2008</v>
      </c>
      <c r="AQ777" t="s">
        <v>56</v>
      </c>
      <c r="AR777" t="s">
        <v>335</v>
      </c>
      <c r="AS777" t="s">
        <v>307</v>
      </c>
      <c r="AT777" t="s">
        <v>243</v>
      </c>
      <c r="AU777" t="s">
        <v>338</v>
      </c>
      <c r="AV777">
        <v>0</v>
      </c>
    </row>
    <row r="778" spans="40:48" x14ac:dyDescent="0.25">
      <c r="AN778" t="s">
        <v>54</v>
      </c>
      <c r="AO778" t="s">
        <v>26</v>
      </c>
      <c r="AP778">
        <v>2008</v>
      </c>
      <c r="AQ778" t="s">
        <v>56</v>
      </c>
      <c r="AR778" t="s">
        <v>335</v>
      </c>
      <c r="AS778" t="s">
        <v>307</v>
      </c>
      <c r="AT778" t="s">
        <v>243</v>
      </c>
      <c r="AU778" t="s">
        <v>339</v>
      </c>
      <c r="AV778">
        <v>9.9</v>
      </c>
    </row>
  </sheetData>
  <mergeCells count="2">
    <mergeCell ref="AD2:AD8"/>
    <mergeCell ref="AD9:AD15"/>
  </mergeCells>
  <phoneticPr fontId="1" type="noConversion"/>
  <conditionalFormatting sqref="B2:B38">
    <cfRule type="expression" dxfId="219" priority="1">
      <formula>IF($C2="junior",$AB2=MAX(_xlfn._xlws.FILTER($AB$2:$AB$38,$C$2:$C$38="junior")),$AB2=MAX(_xlfn._xlws.FILTER($AB$2:$AB$38,$C$2:$C$38="senior")))</formula>
    </cfRule>
    <cfRule type="expression" dxfId="218" priority="2">
      <formula>IF($C2="junior",$AB2=LARGE(_xlfn._xlws.FILTER($AB$2:$AB$38,$C$2:$C$38="junior"),2),$AB2=LARGE(_xlfn._xlws.FILTER($AB$2:$AB$38,$C$2:$C$38="senior"),2))</formula>
    </cfRule>
    <cfRule type="expression" dxfId="217" priority="3">
      <formula>IF($C2="junior",$AB2=LARGE(_xlfn._xlws.FILTER($AB$2:$AB$38,$C$2:$C$38="junior"),3),$AB2=LARGE(_xlfn._xlws.FILTER($AB$2:$AB$38,$C$2:$C$38="senior"),3))</formula>
    </cfRule>
    <cfRule type="expression" dxfId="216" priority="4">
      <formula>IF($C2="junior",Z2=MAX(_xlfn._xlws.FILTER($Z$2:$Z$38,$C$2:$C$38="junior")),Z2=MAX(_xlfn._xlws.FILTER($Z$2:$Z$38,$C$2:$C$38="senior")))</formula>
    </cfRule>
    <cfRule type="expression" dxfId="215" priority="5">
      <formula>IF($C2="junior",$AA2=MAX(_xlfn._xlws.FILTER($AA$2:$AA$38,$C$2:$C$38="junior")),$AA2=MAX(_xlfn._xlws.FILTER($AA$2:$AA$38,$C$2:$C$38="junior")))</formula>
    </cfRule>
  </conditionalFormatting>
  <conditionalFormatting sqref="H2:H38 K2:K38 N1:N39 Q1:Q39 T1:T39 W1:W39 N41 Q41 T41 W41 N58:N1048576 Q58:Q1048576 T58:T1048576 W58:W1048576">
    <cfRule type="expression" dxfId="214" priority="34">
      <formula>AND(AND($C1="senior",H1&lt;2.9),H1&gt;0)</formula>
    </cfRule>
  </conditionalFormatting>
  <conditionalFormatting sqref="H2:H38 K2:K38 N2:N38 Q1:Q39 T1:T39 W1:W39 Q41 T41 W41 Q58:Q1048576 T58:T1048576 W58:W1048576">
    <cfRule type="expression" dxfId="213" priority="33">
      <formula>AND(AND($C1="junior",H1&lt;2.6),H1&gt;0)</formula>
    </cfRule>
  </conditionalFormatting>
  <conditionalFormatting sqref="H2:H38">
    <cfRule type="expression" dxfId="212" priority="27">
      <formula>IF($C2="junior",H2&gt;=$AF$10+$AG$10,H2&gt;=$AF$3+$AG$3)</formula>
    </cfRule>
  </conditionalFormatting>
  <conditionalFormatting sqref="H2:AB38">
    <cfRule type="cellIs" dxfId="211" priority="37" operator="equal">
      <formula>0</formula>
    </cfRule>
  </conditionalFormatting>
  <conditionalFormatting sqref="J2:J38">
    <cfRule type="expression" dxfId="210" priority="26">
      <formula>IF($C2="junior",J2=MAX(_xlfn._xlws.FILTER(J$2:J$38,$C$2:$C$38="junior")),J2=MAX(_xlfn._xlws.FILTER(J$2:J$38,$C$2:$C$38="senior")))</formula>
    </cfRule>
    <cfRule type="expression" dxfId="209" priority="28">
      <formula>IF($C2="junior",J2&gt;=$AJ$10+$AK$10,J2&gt;=$AJ$3+$AK$3)</formula>
    </cfRule>
  </conditionalFormatting>
  <conditionalFormatting sqref="K2:K38">
    <cfRule type="expression" dxfId="208" priority="11">
      <formula>IF($C2="junior",K2&gt;=$AF$13+$AG$13,K2&gt;=$AF$6+$AG$6)</formula>
    </cfRule>
  </conditionalFormatting>
  <conditionalFormatting sqref="M2:M38">
    <cfRule type="expression" dxfId="207" priority="24">
      <formula>IF($C2="junior",M2=MAX(_xlfn._xlws.FILTER(M$2:M$38,$C$2:$C$38="junior")),M2=MAX(_xlfn._xlws.FILTER(M$2:M$38,$C$2:$C$38="senior")))</formula>
    </cfRule>
    <cfRule type="expression" dxfId="206" priority="25">
      <formula>IF($C2="junior",M2&gt;=$AJ$13+$AK$13,M2&gt;=$AJ$6+$AK$6)</formula>
    </cfRule>
  </conditionalFormatting>
  <conditionalFormatting sqref="N2:N38">
    <cfRule type="expression" dxfId="205" priority="10">
      <formula>IF($C2="junior",N2&gt;=$AF$14+$AG$14,N2&gt;=$AF$7+$AG$7)</formula>
    </cfRule>
  </conditionalFormatting>
  <conditionalFormatting sqref="N40 Q40 T40 W40">
    <cfRule type="expression" dxfId="204" priority="505">
      <formula>AND(AND($AD19="senior",N40&lt;2.9),N40&gt;0)</formula>
    </cfRule>
  </conditionalFormatting>
  <conditionalFormatting sqref="P2:P38">
    <cfRule type="expression" dxfId="203" priority="22">
      <formula>IF($C2="junior",P2=MAX(_xlfn._xlws.FILTER(P$2:P$38,$C$2:$C$38="junior")),P2=MAX(_xlfn._xlws.FILTER(P$2:P$38,$C$2:$C$38="senior")))</formula>
    </cfRule>
    <cfRule type="expression" dxfId="202" priority="23">
      <formula>IF($C2="junior",P2&gt;=$AJ$14+$AK$14,P2&gt;=$AJ$7+$AK$7)</formula>
    </cfRule>
  </conditionalFormatting>
  <conditionalFormatting sqref="Q2:Q38">
    <cfRule type="expression" dxfId="201" priority="9">
      <formula>IF($C2="junior",Q2&gt;=$AF$15+$AG$15,Q2&gt;=$AF$8+$AG$8)</formula>
    </cfRule>
  </conditionalFormatting>
  <conditionalFormatting sqref="Q40 T40 W40">
    <cfRule type="expression" dxfId="200" priority="509">
      <formula>AND(AND($AD19="junior",Q40&lt;2.6),Q40&gt;0)</formula>
    </cfRule>
  </conditionalFormatting>
  <conditionalFormatting sqref="S2:S38">
    <cfRule type="expression" dxfId="199" priority="20">
      <formula>IF($C2="junior",S2=MAX(_xlfn._xlws.FILTER(S$2:S$38,$C$2:$C$38="junior")),S2=MAX(_xlfn._xlws.FILTER(S$2:S$38,$C$2:$C$38="senior")))</formula>
    </cfRule>
    <cfRule type="expression" dxfId="198" priority="21">
      <formula>IF($C2="junior",S2&gt;=$AJ$15+$AK$15,S2&gt;=$AJ$8+$AK$8)</formula>
    </cfRule>
  </conditionalFormatting>
  <conditionalFormatting sqref="T2:T38">
    <cfRule type="expression" dxfId="197" priority="8">
      <formula>IF($C2="junior",T2&gt;=$AF$12+$AG$12,T2&gt;=$AF$5+$AG$5)</formula>
    </cfRule>
  </conditionalFormatting>
  <conditionalFormatting sqref="V2:V38">
    <cfRule type="expression" dxfId="196" priority="18">
      <formula>IF($C2="junior",V2=MAX(_xlfn._xlws.FILTER(V$2:V$38,$C$2:$C$38="junior")),V2=MAX(_xlfn._xlws.FILTER(V$2:V$38,$C$2:$C$38="senior")))</formula>
    </cfRule>
    <cfRule type="expression" dxfId="195" priority="19">
      <formula>IF($C2="junior",V2&gt;=$AJ$12+$AK$12,V2&gt;=$AJ$5+$AK$5)</formula>
    </cfRule>
  </conditionalFormatting>
  <conditionalFormatting sqref="W2:W38">
    <cfRule type="expression" dxfId="194" priority="7">
      <formula>IF($C2="junior",W2&gt;=$AF$11+$AG$11,W2&gt;=$AF$4+$AG$4)</formula>
    </cfRule>
  </conditionalFormatting>
  <conditionalFormatting sqref="Y2:Y38">
    <cfRule type="expression" dxfId="193" priority="15">
      <formula>IF($C2="junior",Y2=MAX(_xlfn._xlws.FILTER(Y$2:Y$38,$C$2:$C$38="junior")),Y2=MAX(_xlfn._xlws.FILTER(Y$2:Y$38,$C$2:$C$38="senior")))</formula>
    </cfRule>
    <cfRule type="expression" dxfId="192" priority="17">
      <formula>IF($C2="junior",Y2&gt;=$AJ$11+$AK$11,Y2&gt;=$AJ$4+$AK$4)</formula>
    </cfRule>
  </conditionalFormatting>
  <conditionalFormatting sqref="Z2:Z38">
    <cfRule type="expression" dxfId="191" priority="6">
      <formula>IF($C2="junior",Z2&gt;=$AF$9+$AG$9,Z2&gt;=$AF$2+$AG$2)</formula>
    </cfRule>
  </conditionalFormatting>
  <conditionalFormatting sqref="AA2:AA38">
    <cfRule type="expression" dxfId="190" priority="12">
      <formula>IF($C2="junior",AA2&gt;=$AH$9+$AI$9,AA2&gt;=$AH$2+$AI$2)</formula>
    </cfRule>
  </conditionalFormatting>
  <conditionalFormatting sqref="AB2:AB38">
    <cfRule type="expression" dxfId="189" priority="13">
      <formula>IF($C2="junior",AB2=MAX(_xlfn._xlws.FILTER(AB$2:AB$38,$C$2:$C$38="junior",$G$2:$G$38="Yes")),AB2=MAX(_xlfn._xlws.FILTER(AB$2:AB$38,$C$2:$C$38="senior",$G$2:$G$38="Yes")))</formula>
    </cfRule>
    <cfRule type="expression" dxfId="188" priority="14">
      <formula>IF($C2="junior",AB2&gt;=$AJ$9+$AK$9,AB2&gt;=$AJ$2+$AK$2)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398A1-811F-6445-AF48-6D5EC1CBDD04}">
  <sheetPr codeName="Arkusz4">
    <tabColor theme="4" tint="0.39997558519241921"/>
  </sheetPr>
  <dimension ref="A1:AY820"/>
  <sheetViews>
    <sheetView topLeftCell="AL1" zoomScale="70" zoomScaleNormal="70" workbookViewId="0">
      <selection activeCell="AY5" sqref="AY5"/>
    </sheetView>
  </sheetViews>
  <sheetFormatPr defaultColWidth="11" defaultRowHeight="15.75" x14ac:dyDescent="0.25"/>
  <cols>
    <col min="1" max="1" width="14.25" style="2" bestFit="1" customWidth="1"/>
    <col min="2" max="2" width="21.125" bestFit="1" customWidth="1"/>
    <col min="3" max="3" width="13.625" style="2" bestFit="1" customWidth="1"/>
    <col min="4" max="4" width="11.875" style="2" customWidth="1"/>
    <col min="5" max="5" width="16.625" style="2" customWidth="1"/>
    <col min="6" max="6" width="24.625" bestFit="1" customWidth="1"/>
    <col min="7" max="7" width="16.125" customWidth="1"/>
    <col min="8" max="8" width="15.125" style="2" bestFit="1" customWidth="1"/>
    <col min="9" max="9" width="15" style="2" bestFit="1" customWidth="1"/>
    <col min="10" max="10" width="19" style="2" bestFit="1" customWidth="1"/>
    <col min="11" max="11" width="15.5" style="2" bestFit="1" customWidth="1"/>
    <col min="12" max="12" width="13.125" style="2" customWidth="1"/>
    <col min="13" max="13" width="19.625" style="2" bestFit="1" customWidth="1"/>
    <col min="14" max="14" width="15.125" style="2" bestFit="1" customWidth="1"/>
    <col min="15" max="15" width="15" style="2" bestFit="1" customWidth="1"/>
    <col min="16" max="16" width="19.5" style="2" bestFit="1" customWidth="1"/>
    <col min="17" max="17" width="15.125" style="2" bestFit="1" customWidth="1"/>
    <col min="18" max="18" width="15" style="2" bestFit="1" customWidth="1"/>
    <col min="19" max="19" width="19" style="2" bestFit="1" customWidth="1"/>
    <col min="20" max="20" width="15.125" style="2" bestFit="1" customWidth="1"/>
    <col min="21" max="21" width="15" style="2" bestFit="1" customWidth="1"/>
    <col min="22" max="23" width="9" style="2" customWidth="1"/>
    <col min="24" max="24" width="12.375" style="2" customWidth="1"/>
    <col min="25" max="25" width="14.875" style="2" customWidth="1"/>
    <col min="26" max="28" width="9" style="2" customWidth="1"/>
    <col min="30" max="30" width="17.125" bestFit="1" customWidth="1"/>
    <col min="31" max="31" width="13.5" bestFit="1" customWidth="1"/>
    <col min="32" max="32" width="17.25" bestFit="1" customWidth="1"/>
    <col min="33" max="33" width="20.25" bestFit="1" customWidth="1"/>
    <col min="34" max="34" width="6.375" bestFit="1" customWidth="1"/>
    <col min="35" max="35" width="14" bestFit="1" customWidth="1"/>
    <col min="43" max="43" width="24.625" bestFit="1" customWidth="1"/>
    <col min="44" max="44" width="17.375" customWidth="1"/>
  </cols>
  <sheetData>
    <row r="1" spans="1:51" s="13" customFormat="1" x14ac:dyDescent="0.25">
      <c r="A1" s="4" t="s">
        <v>0</v>
      </c>
      <c r="B1" s="13" t="s">
        <v>1</v>
      </c>
      <c r="C1" s="2" t="s">
        <v>2</v>
      </c>
      <c r="D1" s="2" t="s">
        <v>3</v>
      </c>
      <c r="E1" s="2" t="s">
        <v>4</v>
      </c>
      <c r="F1" s="13" t="s">
        <v>5</v>
      </c>
      <c r="G1" s="2" t="s">
        <v>243</v>
      </c>
      <c r="H1" s="2" t="s">
        <v>6</v>
      </c>
      <c r="I1" s="2" t="s">
        <v>7</v>
      </c>
      <c r="J1" s="2" t="s">
        <v>8</v>
      </c>
      <c r="K1" s="2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N1" t="s">
        <v>1</v>
      </c>
      <c r="AO1" t="s">
        <v>2</v>
      </c>
      <c r="AP1" t="s">
        <v>3</v>
      </c>
      <c r="AQ1" t="s">
        <v>5</v>
      </c>
      <c r="AR1" s="45" t="s">
        <v>318</v>
      </c>
      <c r="AS1" t="s">
        <v>243</v>
      </c>
      <c r="AT1" t="s">
        <v>217</v>
      </c>
      <c r="AU1" t="s">
        <v>315</v>
      </c>
      <c r="AV1" t="s">
        <v>309</v>
      </c>
    </row>
    <row r="2" spans="1:51" x14ac:dyDescent="0.25">
      <c r="A2" s="2">
        <v>1</v>
      </c>
      <c r="B2" t="s">
        <v>63</v>
      </c>
      <c r="C2" s="2" t="s">
        <v>60</v>
      </c>
      <c r="D2" s="2">
        <v>1997</v>
      </c>
      <c r="E2" s="2" t="s">
        <v>64</v>
      </c>
      <c r="F2" t="s">
        <v>39</v>
      </c>
      <c r="G2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2" s="4">
        <v>5.6</v>
      </c>
      <c r="I2" s="8">
        <v>7.65</v>
      </c>
      <c r="J2" s="7">
        <v>13.25</v>
      </c>
      <c r="K2" s="5">
        <v>4.4000000000000004</v>
      </c>
      <c r="L2" s="8">
        <v>7</v>
      </c>
      <c r="M2" s="7">
        <v>11.4</v>
      </c>
      <c r="N2" s="5">
        <v>4.3</v>
      </c>
      <c r="O2" s="8">
        <v>7.85</v>
      </c>
      <c r="P2" s="7">
        <v>12.15</v>
      </c>
      <c r="Q2" s="5">
        <v>5.2</v>
      </c>
      <c r="R2" s="8">
        <v>8.0500000000000007</v>
      </c>
      <c r="S2" s="7">
        <v>13.25</v>
      </c>
      <c r="T2" s="5">
        <v>4.2</v>
      </c>
      <c r="U2" s="8">
        <v>8.8000000000000007</v>
      </c>
      <c r="V2" s="7">
        <v>13</v>
      </c>
      <c r="W2" s="5">
        <v>4.4000000000000004</v>
      </c>
      <c r="X2" s="8">
        <v>8.4</v>
      </c>
      <c r="Y2" s="7">
        <v>12.8</v>
      </c>
      <c r="Z2" s="4">
        <f>IF(Cracow_result[[#This Row],[All Around]]="Yes",SUM(H2,K2,N2,Q2,T2,W2),0)</f>
        <v>28.1</v>
      </c>
      <c r="AA2" s="7">
        <f>IF(Cracow_result[[#This Row],[All Around]]="Yes",SUM(I2,L2,O2,R2,U2,X2),0)</f>
        <v>47.75</v>
      </c>
      <c r="AB2" s="7">
        <v>75.849999999999994</v>
      </c>
      <c r="AD2" s="41" t="s">
        <v>60</v>
      </c>
      <c r="AE2" s="25" t="s">
        <v>243</v>
      </c>
      <c r="AF2" s="26">
        <f>AVERAGEIFS(Cracow_result[AA_Dscore],Cracow_result[[Category]:[Category]],"senior",Cracow_result[AA_Dscore],"&lt;&gt;0",Cracow_result[All Around],"Yes")</f>
        <v>23.790909090909089</v>
      </c>
      <c r="AG2" s="26" cm="1">
        <f t="array" ref="AG2">_xlfn.STDEV.S(_xlfn._xlws.FILTER(Cracow_result[AA_Dscore],(Cracow_result[Category]="senior")*(Cracow_result[All Around]="Yes")))</f>
        <v>3.4697131136319093</v>
      </c>
      <c r="AH2" s="27">
        <f>AVERAGEIFS(Cracow_result[AA_Escore],Cracow_result[[Category]:[Category]],"senior",Cracow_result[AA_Escore],"&lt;&gt;0",Cracow_result[All Around],"yes")</f>
        <v>47.340909090909093</v>
      </c>
      <c r="AI2" s="27" cm="1">
        <f t="array" ref="AI2">_xlfn.STDEV.S(_xlfn._xlws.FILTER(Cracow_result[AA_Escore],(Cracow_result[Category]="senior")*(Cracow_result[All Around]="Yes")))</f>
        <v>2.8313263836776366</v>
      </c>
      <c r="AJ2" s="27">
        <f>AVERAGEIFS(Cracow_result[Total_Score],Cracow_result[[Category]:[Category]],"senior",Cracow_result[Total_Score],"&lt;&gt;0",Cracow_result[All Around],"yes")</f>
        <v>71.13181818181819</v>
      </c>
      <c r="AK2" s="27" cm="1">
        <f t="array" ref="AK2">_xlfn.STDEV.S(_xlfn._xlws.FILTER(Cracow_result[Total_Score],(Cracow_result[Category]="senior")*(Cracow_result[All Around]="Yes")))</f>
        <v>4.1965624460546698</v>
      </c>
      <c r="AL2" s="27" cm="1">
        <f t="array" ref="AL2">MAX(_xlfn._xlws.FILTER(Cracow_result[Total_Score],Cracow_result[Category]="senior"))</f>
        <v>75.849999999999994</v>
      </c>
      <c r="AN2" t="s">
        <v>63</v>
      </c>
      <c r="AO2" t="s">
        <v>60</v>
      </c>
      <c r="AP2">
        <v>1997</v>
      </c>
      <c r="AQ2" t="s">
        <v>39</v>
      </c>
      <c r="AR2" t="s">
        <v>351</v>
      </c>
      <c r="AS2" t="s">
        <v>306</v>
      </c>
      <c r="AT2" t="s">
        <v>218</v>
      </c>
      <c r="AU2" t="s">
        <v>310</v>
      </c>
      <c r="AV2">
        <v>5.6</v>
      </c>
    </row>
    <row r="3" spans="1:51" x14ac:dyDescent="0.25">
      <c r="A3" s="2">
        <v>2</v>
      </c>
      <c r="B3" t="s">
        <v>59</v>
      </c>
      <c r="C3" s="2" t="s">
        <v>60</v>
      </c>
      <c r="D3" s="2">
        <v>2002</v>
      </c>
      <c r="E3" s="2" t="s">
        <v>61</v>
      </c>
      <c r="F3" t="s">
        <v>62</v>
      </c>
      <c r="G3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" s="5">
        <v>5.3</v>
      </c>
      <c r="I3" s="8">
        <v>7.25</v>
      </c>
      <c r="J3" s="8">
        <v>12.55</v>
      </c>
      <c r="K3" s="5">
        <v>5.2</v>
      </c>
      <c r="L3" s="8">
        <v>7.7</v>
      </c>
      <c r="M3" s="8">
        <v>12.9</v>
      </c>
      <c r="N3" s="5">
        <v>4.0999999999999996</v>
      </c>
      <c r="O3" s="8">
        <v>8.1</v>
      </c>
      <c r="P3" s="8">
        <v>12.2</v>
      </c>
      <c r="Q3" s="5">
        <v>4.4000000000000004</v>
      </c>
      <c r="R3" s="8">
        <v>9.15</v>
      </c>
      <c r="S3" s="8">
        <v>13.55</v>
      </c>
      <c r="T3" s="5">
        <v>5.3</v>
      </c>
      <c r="U3" s="8">
        <v>6.6</v>
      </c>
      <c r="V3" s="8">
        <v>11.9</v>
      </c>
      <c r="W3" s="5">
        <v>4.5999999999999996</v>
      </c>
      <c r="X3" s="8">
        <v>8.15</v>
      </c>
      <c r="Y3" s="8">
        <v>12.75</v>
      </c>
      <c r="Z3" s="4">
        <f>IF(Cracow_result[[#This Row],[All Around]]="Yes",SUM(H3,K3,N3,Q3,T3,W3),0)</f>
        <v>28.9</v>
      </c>
      <c r="AA3" s="7">
        <f>IF(Cracow_result[[#This Row],[All Around]]="Yes",SUM(I3,L3,O3,R3,U3,X3),0)</f>
        <v>46.949999999999996</v>
      </c>
      <c r="AB3" s="7">
        <v>75.849999999999994</v>
      </c>
      <c r="AD3" s="42"/>
      <c r="AE3" s="25" t="s">
        <v>218</v>
      </c>
      <c r="AF3" s="26">
        <f>AVERAGEIFS(Cracow_result[FX_Dscore],Cracow_result[[Category]:[Category]],"senior",Cracow_result[FX_Dscore],"&lt;&gt;0")</f>
        <v>4.3350000000000009</v>
      </c>
      <c r="AG3" s="26" cm="1">
        <f t="array" ref="AG3">_xlfn.STDEV.S(_xlfn._xlws.FILTER(Cracow_result[FX_Dscore],(Cracow_result[Category]="senior")*(Cracow_result[FX_Dscore]&gt;0)))</f>
        <v>0.60111738060311626</v>
      </c>
      <c r="AH3" s="27">
        <f>AVERAGEIFS(Cracow_result[FX_Escore],Cracow_result[[Category]:[Category]],"senior",Cracow_result[FX_Escore],"&lt;&gt;0")</f>
        <v>7.7</v>
      </c>
      <c r="AI3" s="27" cm="1">
        <f t="array" ref="AI3">_xlfn.STDEV.S(_xlfn._xlws.FILTER(Cracow_result[FX_Escore],(Cracow_result[Category]="senior")*(Cracow_result[FX_Escore]&gt;0)))</f>
        <v>0.45739537198772529</v>
      </c>
      <c r="AJ3" s="27">
        <f>AVERAGEIFS(Cracow_result[FX_total_score],Cracow_result[[Category]:[Category]],"senior",Cracow_result[FX_total_score],"&lt;&gt;0")</f>
        <v>12.035</v>
      </c>
      <c r="AK3" s="27" cm="1">
        <f t="array" ref="AK3">_xlfn.STDEV.S(_xlfn._xlws.FILTER(Cracow_result[FX_total_score],(Cracow_result[Category]="senior")*(Cracow_result[FX_total_score]&gt;0)))</f>
        <v>0.75951854556201037</v>
      </c>
      <c r="AL3" s="27" cm="1">
        <f t="array" ref="AL3">MAX(_xlfn._xlws.FILTER(Cracow_result[FX_total_score],Cracow_result[Category]="senior"))</f>
        <v>13.65</v>
      </c>
      <c r="AN3" t="s">
        <v>63</v>
      </c>
      <c r="AO3" t="s">
        <v>60</v>
      </c>
      <c r="AP3">
        <v>1997</v>
      </c>
      <c r="AQ3" t="s">
        <v>39</v>
      </c>
      <c r="AR3" t="s">
        <v>351</v>
      </c>
      <c r="AS3" t="s">
        <v>306</v>
      </c>
      <c r="AT3" t="s">
        <v>218</v>
      </c>
      <c r="AU3" t="s">
        <v>311</v>
      </c>
      <c r="AV3">
        <v>7.65</v>
      </c>
    </row>
    <row r="4" spans="1:51" x14ac:dyDescent="0.25">
      <c r="A4" s="2">
        <v>3</v>
      </c>
      <c r="B4" t="s">
        <v>68</v>
      </c>
      <c r="C4" s="2" t="s">
        <v>60</v>
      </c>
      <c r="D4" s="2">
        <v>2004</v>
      </c>
      <c r="E4" s="2" t="s">
        <v>69</v>
      </c>
      <c r="F4" t="s">
        <v>31</v>
      </c>
      <c r="G4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4" s="5">
        <v>4.5</v>
      </c>
      <c r="I4" s="8">
        <v>8</v>
      </c>
      <c r="J4" s="8">
        <v>12.5</v>
      </c>
      <c r="K4" s="5">
        <v>3.8</v>
      </c>
      <c r="L4" s="8">
        <v>8</v>
      </c>
      <c r="M4" s="8">
        <v>11.8</v>
      </c>
      <c r="N4" s="5">
        <v>3.8</v>
      </c>
      <c r="O4" s="8">
        <v>8.5500000000000007</v>
      </c>
      <c r="P4" s="8">
        <v>12.35</v>
      </c>
      <c r="Q4" s="5">
        <v>4</v>
      </c>
      <c r="R4" s="8">
        <v>9.35</v>
      </c>
      <c r="S4" s="8">
        <v>13.35</v>
      </c>
      <c r="T4" s="5">
        <v>3.4</v>
      </c>
      <c r="U4" s="8">
        <v>8.75</v>
      </c>
      <c r="V4" s="8">
        <v>12.15</v>
      </c>
      <c r="W4" s="5">
        <v>2.6</v>
      </c>
      <c r="X4" s="8">
        <v>8.9</v>
      </c>
      <c r="Y4" s="8">
        <v>11.5</v>
      </c>
      <c r="Z4" s="4">
        <f>IF(Cracow_result[[#This Row],[All Around]]="Yes",SUM(H4,K4,N4,Q4,T4,W4),0)</f>
        <v>22.1</v>
      </c>
      <c r="AA4" s="7">
        <f>IF(Cracow_result[[#This Row],[All Around]]="Yes",SUM(I4,L4,O4,R4,U4,X4),0)</f>
        <v>51.55</v>
      </c>
      <c r="AB4" s="7">
        <v>73.650000000000006</v>
      </c>
      <c r="AD4" s="42"/>
      <c r="AE4" s="25" t="s">
        <v>242</v>
      </c>
      <c r="AF4" s="26">
        <f>AVERAGEIFS(Cracow_result[HB_Dscore],Cracow_result[[Category]:[Category]],"senior",Cracow_result[HB_Dscore],"&lt;&gt;0")</f>
        <v>3.3266666666666671</v>
      </c>
      <c r="AG4" s="26" cm="1">
        <f t="array" ref="AG4">_xlfn.STDEV.S(_xlfn._xlws.FILTER(Cracow_result[HB_Dscore],(Cracow_result[Category]="senior")*(Cracow_result[HB_Dscore]&gt;0)))</f>
        <v>0.85311753223663156</v>
      </c>
      <c r="AH4" s="27">
        <f>AVERAGEIFS(Cracow_result[HB_Escore],Cracow_result[[Category]:[Category]],"senior",Cracow_result[HB_Escore],"&lt;&gt;0")</f>
        <v>7.8866666666666676</v>
      </c>
      <c r="AI4" s="27" cm="1">
        <f t="array" ref="AI4">_xlfn.STDEV.S(_xlfn._xlws.FILTER(Cracow_result[HB_Escore],(Cracow_result[Category]="senior")*(Cracow_result[HB_Escore]&gt;0)))</f>
        <v>0.63792819419773328</v>
      </c>
      <c r="AJ4" s="27">
        <f>AVERAGEIFS(Cracow_result[HB_total_score],Cracow_result[[Category]:[Category]],"senior",Cracow_result[HB_total_score],"&lt;&gt;0")</f>
        <v>11.213333333333335</v>
      </c>
      <c r="AK4" s="27" cm="1">
        <f t="array" ref="AK4">_xlfn.STDEV.S(_xlfn._xlws.FILTER(Cracow_result[HB_total_score],(Cracow_result[Category]="senior")*(Cracow_result[HB_total_score]&gt;0)))</f>
        <v>1.0052481333102838</v>
      </c>
      <c r="AL4" s="27" cm="1">
        <f t="array" ref="AL4">MAX(_xlfn._xlws.FILTER(Cracow_result[HB_total_score],Cracow_result[Category]="senior"))</f>
        <v>12.8</v>
      </c>
      <c r="AN4" t="s">
        <v>63</v>
      </c>
      <c r="AO4" t="s">
        <v>60</v>
      </c>
      <c r="AP4">
        <v>1997</v>
      </c>
      <c r="AQ4" t="s">
        <v>39</v>
      </c>
      <c r="AR4" t="s">
        <v>351</v>
      </c>
      <c r="AS4" t="s">
        <v>306</v>
      </c>
      <c r="AT4" t="s">
        <v>218</v>
      </c>
      <c r="AU4" t="s">
        <v>268</v>
      </c>
      <c r="AV4">
        <v>13.25</v>
      </c>
    </row>
    <row r="5" spans="1:51" x14ac:dyDescent="0.25">
      <c r="A5" s="2">
        <v>4</v>
      </c>
      <c r="B5" t="s">
        <v>118</v>
      </c>
      <c r="C5" s="2" t="s">
        <v>60</v>
      </c>
      <c r="D5" s="2">
        <v>2000</v>
      </c>
      <c r="E5" s="2" t="s">
        <v>119</v>
      </c>
      <c r="F5" t="s">
        <v>31</v>
      </c>
      <c r="G5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5" s="5">
        <v>4.8</v>
      </c>
      <c r="I5" s="8">
        <v>7.7</v>
      </c>
      <c r="J5" s="8">
        <v>12.5</v>
      </c>
      <c r="K5" s="5">
        <v>4.5999999999999996</v>
      </c>
      <c r="L5" s="8">
        <v>7.7</v>
      </c>
      <c r="M5" s="8">
        <v>12.3</v>
      </c>
      <c r="N5" s="5">
        <v>4</v>
      </c>
      <c r="O5" s="8">
        <v>7.65</v>
      </c>
      <c r="P5" s="8">
        <v>11.65</v>
      </c>
      <c r="Q5" s="5">
        <v>4</v>
      </c>
      <c r="R5" s="8">
        <v>9.3000000000000007</v>
      </c>
      <c r="S5" s="8">
        <v>13.3</v>
      </c>
      <c r="T5" s="5">
        <v>4.3</v>
      </c>
      <c r="U5" s="8">
        <v>7.1</v>
      </c>
      <c r="V5" s="8">
        <v>11.4</v>
      </c>
      <c r="W5" s="5">
        <v>3.7</v>
      </c>
      <c r="X5" s="8">
        <v>8.15</v>
      </c>
      <c r="Y5" s="8">
        <v>11.85</v>
      </c>
      <c r="Z5" s="4">
        <f>IF(Cracow_result[[#This Row],[All Around]]="Yes",SUM(H5,K5,N5,Q5,T5,W5),0)</f>
        <v>25.4</v>
      </c>
      <c r="AA5" s="7">
        <f>IF(Cracow_result[[#This Row],[All Around]]="Yes",SUM(I5,L5,O5,R5,U5,X5),0)</f>
        <v>47.6</v>
      </c>
      <c r="AB5" s="7">
        <v>73</v>
      </c>
      <c r="AD5" s="42"/>
      <c r="AE5" s="25" t="s">
        <v>241</v>
      </c>
      <c r="AF5" s="26">
        <f>AVERAGEIFS(Cracow_result[PB_Dscore],Cracow_result[[Category]:[Category]],"senior",Cracow_result[PB_Dscore],"&lt;&gt;0")</f>
        <v>3.6000000000000005</v>
      </c>
      <c r="AG5" s="26" cm="1">
        <f t="array" ref="AG5">_xlfn.STDEV.S(_xlfn._xlws.FILTER(Cracow_result[PB_Dscore],(Cracow_result[Category]="senior")*(Cracow_result[PB_Dscore]&gt;0)))</f>
        <v>0.74280866034420168</v>
      </c>
      <c r="AH5" s="27">
        <f>AVERAGEIFS(Cracow_result[PB_Escore],Cracow_result[[Category]:[Category]],"senior",Cracow_result[PB_Escore],"&lt;&gt;0")</f>
        <v>7.9361111111111109</v>
      </c>
      <c r="AI5" s="27" cm="1">
        <f t="array" ref="AI5">_xlfn.STDEV.S(_xlfn._xlws.FILTER(Cracow_result[PB_Escore],(Cracow_result[Category]="senior")*(Cracow_result[PB_Escore]&gt;0)))</f>
        <v>0.87696092131653669</v>
      </c>
      <c r="AJ5" s="27">
        <f>AVERAGEIFS(Cracow_result[PB_total_score],Cracow_result[[Category]:[Category]],"senior",Cracow_result[PB_total_score],"&lt;&gt;0")</f>
        <v>11.53611111111111</v>
      </c>
      <c r="AK5" s="27" cm="1">
        <f t="array" ref="AK5">_xlfn.STDEV.S(_xlfn._xlws.FILTER(Cracow_result[PB_total_score],(Cracow_result[Category]="senior")*(Cracow_result[PB_total_score]&gt;0)))</f>
        <v>0.91181873126889135</v>
      </c>
      <c r="AL5" s="27" cm="1">
        <f t="array" ref="AL5">MAX(_xlfn._xlws.FILTER(Cracow_result[PB_total_score],Cracow_result[Category]="senior"))</f>
        <v>13</v>
      </c>
      <c r="AN5" t="s">
        <v>63</v>
      </c>
      <c r="AO5" t="s">
        <v>60</v>
      </c>
      <c r="AP5">
        <v>1997</v>
      </c>
      <c r="AQ5" t="s">
        <v>39</v>
      </c>
      <c r="AR5" t="s">
        <v>351</v>
      </c>
      <c r="AS5" t="s">
        <v>306</v>
      </c>
      <c r="AT5" t="s">
        <v>238</v>
      </c>
      <c r="AU5" t="s">
        <v>310</v>
      </c>
      <c r="AV5">
        <v>4.4000000000000004</v>
      </c>
      <c r="AY5" s="45"/>
    </row>
    <row r="6" spans="1:51" x14ac:dyDescent="0.25">
      <c r="A6" s="2">
        <v>5</v>
      </c>
      <c r="B6" t="s">
        <v>116</v>
      </c>
      <c r="C6" s="2" t="s">
        <v>60</v>
      </c>
      <c r="D6" s="2">
        <v>1996</v>
      </c>
      <c r="E6" s="2" t="s">
        <v>117</v>
      </c>
      <c r="F6" t="s">
        <v>62</v>
      </c>
      <c r="G6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6" s="5">
        <v>5.4</v>
      </c>
      <c r="I6" s="8">
        <v>8.25</v>
      </c>
      <c r="J6" s="8">
        <v>13.65</v>
      </c>
      <c r="K6" s="5">
        <v>4.2</v>
      </c>
      <c r="L6" s="8">
        <v>6.5</v>
      </c>
      <c r="M6" s="8">
        <v>10.7</v>
      </c>
      <c r="N6" s="5">
        <v>5</v>
      </c>
      <c r="O6" s="8">
        <v>8.1</v>
      </c>
      <c r="P6" s="8">
        <v>13.1</v>
      </c>
      <c r="Q6" s="5">
        <v>5.2</v>
      </c>
      <c r="R6" s="8">
        <v>8.1</v>
      </c>
      <c r="S6" s="8">
        <v>13.3</v>
      </c>
      <c r="T6" s="5">
        <v>4.5</v>
      </c>
      <c r="U6" s="8">
        <v>6.45</v>
      </c>
      <c r="V6" s="8">
        <v>10.95</v>
      </c>
      <c r="W6" s="5">
        <v>4.5999999999999996</v>
      </c>
      <c r="X6" s="8">
        <v>6.65</v>
      </c>
      <c r="Y6" s="8">
        <v>11.25</v>
      </c>
      <c r="Z6" s="4">
        <f>IF(Cracow_result[[#This Row],[All Around]]="Yes",SUM(H6,K6,N6,Q6,T6,W6),0)</f>
        <v>28.9</v>
      </c>
      <c r="AA6" s="7">
        <f>IF(Cracow_result[[#This Row],[All Around]]="Yes",SUM(I6,L6,O6,R6,U6,X6),0)</f>
        <v>44.050000000000004</v>
      </c>
      <c r="AB6" s="7">
        <v>72.95</v>
      </c>
      <c r="AD6" s="42"/>
      <c r="AE6" s="25" t="s">
        <v>238</v>
      </c>
      <c r="AF6" s="26">
        <f>AVERAGEIFS(Cracow_result[PH_Dscore],Cracow_result[[Category]:[Category]],"senior",Cracow_result[PH_Dscore],"&lt;&gt;0")</f>
        <v>3.9055555555555563</v>
      </c>
      <c r="AG6" s="26" cm="1">
        <f t="array" ref="AG6">_xlfn.STDEV.S(_xlfn._xlws.FILTER(Cracow_result[PH_Dscore],(Cracow_result[Category]="senior")*(Cracow_result[PH_Dscore]&gt;0)))</f>
        <v>0.61879600574989169</v>
      </c>
      <c r="AH6" s="27">
        <f>AVERAGEIFS(Cracow_result[PH_Escore],Cracow_result[[Category]:[Category]],"senior",Cracow_result[PH_Escore],"&lt;&gt;0")</f>
        <v>6.68611111111111</v>
      </c>
      <c r="AI6" s="27" cm="1">
        <f t="array" ref="AI6">_xlfn.STDEV.S(_xlfn._xlws.FILTER(Cracow_result[PH_Escore],(Cracow_result[Category]="senior")*(Cracow_result[PH_Escore]&gt;0)))</f>
        <v>1.6041128715196997</v>
      </c>
      <c r="AJ6" s="27">
        <f>AVERAGEIFS(Cracow_result[PH_Total_Score],Cracow_result[[Category]:[Category]],"senior",Cracow_result[PH_Total_Score],"&lt;&gt;0")</f>
        <v>10.591666666666667</v>
      </c>
      <c r="AK6" s="27" cm="1">
        <f t="array" ref="AK6">_xlfn.STDEV.S(_xlfn._xlws.FILTER(Cracow_result[PH_Total_Score],(Cracow_result[Category]="senior")*(Cracow_result[PH_Total_Score]&gt;0)))</f>
        <v>2.0444508826980194</v>
      </c>
      <c r="AL6" s="27" cm="1">
        <f t="array" ref="AL6">MAX(_xlfn._xlws.FILTER(Cracow_result[PH_Total_Score],Cracow_result[Category]="senior"))</f>
        <v>12.9</v>
      </c>
      <c r="AN6" t="s">
        <v>63</v>
      </c>
      <c r="AO6" t="s">
        <v>60</v>
      </c>
      <c r="AP6">
        <v>1997</v>
      </c>
      <c r="AQ6" t="s">
        <v>39</v>
      </c>
      <c r="AR6" t="s">
        <v>351</v>
      </c>
      <c r="AS6" t="s">
        <v>306</v>
      </c>
      <c r="AT6" t="s">
        <v>238</v>
      </c>
      <c r="AU6" t="s">
        <v>311</v>
      </c>
      <c r="AV6">
        <v>7</v>
      </c>
    </row>
    <row r="7" spans="1:51" x14ac:dyDescent="0.25">
      <c r="A7" s="2">
        <v>6</v>
      </c>
      <c r="B7" t="s">
        <v>127</v>
      </c>
      <c r="C7" s="2" t="s">
        <v>60</v>
      </c>
      <c r="D7" s="2">
        <v>2000</v>
      </c>
      <c r="E7" s="2" t="s">
        <v>128</v>
      </c>
      <c r="F7" t="s">
        <v>72</v>
      </c>
      <c r="G7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7" s="5">
        <v>3.7</v>
      </c>
      <c r="I7" s="8">
        <v>7.1</v>
      </c>
      <c r="J7" s="8">
        <v>10.8</v>
      </c>
      <c r="K7" s="5">
        <v>4.4000000000000004</v>
      </c>
      <c r="L7" s="8">
        <v>7.2</v>
      </c>
      <c r="M7" s="8">
        <v>11.6</v>
      </c>
      <c r="N7" s="5">
        <v>3.8</v>
      </c>
      <c r="O7" s="8">
        <v>8.35</v>
      </c>
      <c r="P7" s="8">
        <v>12.15</v>
      </c>
      <c r="Q7" s="5">
        <v>4</v>
      </c>
      <c r="R7" s="8">
        <v>9.15</v>
      </c>
      <c r="S7" s="8">
        <v>13.15</v>
      </c>
      <c r="T7" s="5">
        <v>4</v>
      </c>
      <c r="U7" s="8">
        <v>8.3000000000000007</v>
      </c>
      <c r="V7" s="8">
        <v>12.3</v>
      </c>
      <c r="W7" s="5">
        <v>4</v>
      </c>
      <c r="X7" s="8">
        <v>8.0500000000000007</v>
      </c>
      <c r="Y7" s="8">
        <v>12.05</v>
      </c>
      <c r="Z7" s="4">
        <f>IF(Cracow_result[[#This Row],[All Around]]="Yes",SUM(H7,K7,N7,Q7,T7,W7),0)</f>
        <v>23.900000000000002</v>
      </c>
      <c r="AA7" s="7">
        <f>IF(Cracow_result[[#This Row],[All Around]]="Yes",SUM(I7,L7,O7,R7,U7,X7),0)</f>
        <v>48.149999999999991</v>
      </c>
      <c r="AB7" s="7">
        <v>72.05</v>
      </c>
      <c r="AD7" s="42"/>
      <c r="AE7" s="25" t="s">
        <v>239</v>
      </c>
      <c r="AF7" s="26">
        <f>AVERAGEIFS(Cracow_result[SR_Dscore],Cracow_result[[Category]:[Category]],"senior",Cracow_result[SR_Dscore],"&lt;&gt;0")</f>
        <v>3.6833333333333331</v>
      </c>
      <c r="AG7" s="26" cm="1">
        <f t="array" ref="AG7">_xlfn.STDEV.S(_xlfn._xlws.FILTER(Cracow_result[SR_Dscore],(Cracow_result[Category]="senior")*(Cracow_result[SR_Dscore]&gt;0)))</f>
        <v>0.6410010553354617</v>
      </c>
      <c r="AH7" s="27">
        <f>AVERAGEIFS(Cracow_result[SR_Escore],Cracow_result[[Category]:[Category]],"senior",Cracow_result[SR_Escore],"&lt;&gt;0")</f>
        <v>7.5611111111111109</v>
      </c>
      <c r="AI7" s="27" cm="1">
        <f t="array" ref="AI7">_xlfn.STDEV.S(_xlfn._xlws.FILTER(Cracow_result[SR_Escore],(Cracow_result[Category]="senior")*(Cracow_result[SR_Escore]&gt;0)))</f>
        <v>0.83587846632002305</v>
      </c>
      <c r="AJ7" s="27">
        <f>AVERAGEIFS(Cracow_result[SR_Total_Score],Cracow_result[[Category]:[Category]],"senior",Cracow_result[SR_Total_Score],"&lt;&gt;0")</f>
        <v>11.244444444444445</v>
      </c>
      <c r="AK7" s="27" cm="1">
        <f t="array" ref="AK7">_xlfn.STDEV.S(_xlfn._xlws.FILTER(Cracow_result[SR_Total_Score],(Cracow_result[Category]="senior")*(Cracow_result[SR_Total_Score]&gt;0)))</f>
        <v>1.3940935162413337</v>
      </c>
      <c r="AL7" s="27" cm="1">
        <f t="array" ref="AL7">MAX(_xlfn._xlws.FILTER(Cracow_result[SR_Total_Score],Cracow_result[Category]="senior"))</f>
        <v>13.1</v>
      </c>
      <c r="AN7" t="s">
        <v>63</v>
      </c>
      <c r="AO7" t="s">
        <v>60</v>
      </c>
      <c r="AP7">
        <v>1997</v>
      </c>
      <c r="AQ7" t="s">
        <v>39</v>
      </c>
      <c r="AR7" t="s">
        <v>351</v>
      </c>
      <c r="AS7" t="s">
        <v>306</v>
      </c>
      <c r="AT7" t="s">
        <v>238</v>
      </c>
      <c r="AU7" t="s">
        <v>268</v>
      </c>
      <c r="AV7">
        <v>11.4</v>
      </c>
    </row>
    <row r="8" spans="1:51" x14ac:dyDescent="0.25">
      <c r="A8" s="2">
        <v>7</v>
      </c>
      <c r="B8" t="s">
        <v>75</v>
      </c>
      <c r="C8" s="2" t="s">
        <v>60</v>
      </c>
      <c r="D8" s="2">
        <v>2003</v>
      </c>
      <c r="E8" s="2" t="s">
        <v>76</v>
      </c>
      <c r="F8" t="s">
        <v>28</v>
      </c>
      <c r="G8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8" s="5">
        <v>3.9</v>
      </c>
      <c r="I8" s="8">
        <v>7.9</v>
      </c>
      <c r="J8" s="8">
        <v>11.8</v>
      </c>
      <c r="K8" s="5">
        <v>4.2</v>
      </c>
      <c r="L8" s="8">
        <v>8.5</v>
      </c>
      <c r="M8" s="8">
        <v>12.7</v>
      </c>
      <c r="N8" s="5">
        <v>3.4</v>
      </c>
      <c r="O8" s="8">
        <v>7.7</v>
      </c>
      <c r="P8" s="8">
        <v>11.1</v>
      </c>
      <c r="Q8" s="5">
        <v>3.2</v>
      </c>
      <c r="R8" s="8">
        <v>9.0500000000000007</v>
      </c>
      <c r="S8" s="8">
        <v>12.25</v>
      </c>
      <c r="T8" s="5">
        <v>3.5</v>
      </c>
      <c r="U8" s="8">
        <v>9.1</v>
      </c>
      <c r="V8" s="8">
        <v>12.6</v>
      </c>
      <c r="W8" s="5">
        <v>2.5</v>
      </c>
      <c r="X8" s="8">
        <v>8.15</v>
      </c>
      <c r="Y8" s="8">
        <v>10.65</v>
      </c>
      <c r="Z8" s="4">
        <f>IF(Cracow_result[[#This Row],[All Around]]="Yes",SUM(H8,K8,N8,Q8,T8,W8),0)</f>
        <v>20.7</v>
      </c>
      <c r="AA8" s="7">
        <f>IF(Cracow_result[[#This Row],[All Around]]="Yes",SUM(I8,L8,O8,R8,U8,X8),0)</f>
        <v>50.4</v>
      </c>
      <c r="AB8" s="7">
        <v>71.099999999999994</v>
      </c>
      <c r="AD8" s="43"/>
      <c r="AE8" s="25" t="s">
        <v>240</v>
      </c>
      <c r="AF8" s="26">
        <f>AVERAGEIFS(Cracow_result[VT_Dscore],Cracow_result[[Category]:[Category]],"senior",Cracow_result[VT_Dscore],"&lt;&gt;0")</f>
        <v>3.933333333333334</v>
      </c>
      <c r="AG8" s="26" cm="1">
        <f t="array" ref="AG8">_xlfn.STDEV.S(_xlfn._xlws.FILTER(Cracow_result[VT_Dscore],(Cracow_result[Category]="senior")*(Cracow_result[VT_Dscore]&gt;0)))</f>
        <v>0.76696498884736608</v>
      </c>
      <c r="AH8" s="27">
        <f>AVERAGEIFS(Cracow_result[VT_Escore],Cracow_result[[Category]:[Category]],"senior",Cracow_result[VT_Escore],"&lt;&gt;0")</f>
        <v>8.8277777777777775</v>
      </c>
      <c r="AI8" s="27" cm="1">
        <f t="array" ref="AI8">_xlfn.STDEV.S(_xlfn._xlws.FILTER(Cracow_result[VT_Escore],(Cracow_result[Category]="senior")*(Cracow_result[VT_Escore]&gt;0)))</f>
        <v>0.62148357183867642</v>
      </c>
      <c r="AJ8" s="27">
        <f>AVERAGEIFS(Cracow_result[VT_total_score],Cracow_result[[Category]:[Category]],"senior",Cracow_result[VT_total_score],"&lt;&gt;0")</f>
        <v>12.761111111111111</v>
      </c>
      <c r="AK8" s="27" cm="1">
        <f t="array" ref="AK8">_xlfn.STDEV.S(_xlfn._xlws.FILTER(Cracow_result[VT_total_score],(Cracow_result[Category]="senior")*(Cracow_result[VT_total_score]&gt;0)))</f>
        <v>0.8272128176906075</v>
      </c>
      <c r="AL8" s="27" cm="1">
        <f t="array" ref="AL8">MAX(_xlfn._xlws.FILTER(Cracow_result[VT_total_score],Cracow_result[Category]="senior"))</f>
        <v>13.75</v>
      </c>
      <c r="AN8" t="s">
        <v>63</v>
      </c>
      <c r="AO8" t="s">
        <v>60</v>
      </c>
      <c r="AP8">
        <v>1997</v>
      </c>
      <c r="AQ8" t="s">
        <v>39</v>
      </c>
      <c r="AR8" t="s">
        <v>351</v>
      </c>
      <c r="AS8" t="s">
        <v>306</v>
      </c>
      <c r="AT8" t="s">
        <v>239</v>
      </c>
      <c r="AU8" t="s">
        <v>310</v>
      </c>
      <c r="AV8">
        <v>4.3</v>
      </c>
    </row>
    <row r="9" spans="1:51" x14ac:dyDescent="0.25">
      <c r="A9" s="2">
        <v>8</v>
      </c>
      <c r="B9" t="s">
        <v>80</v>
      </c>
      <c r="C9" s="2" t="s">
        <v>60</v>
      </c>
      <c r="D9" s="2">
        <v>2004</v>
      </c>
      <c r="E9" s="2" t="s">
        <v>81</v>
      </c>
      <c r="F9" t="s">
        <v>62</v>
      </c>
      <c r="G9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9" s="5">
        <v>3.6</v>
      </c>
      <c r="I9" s="8">
        <v>8.4</v>
      </c>
      <c r="J9" s="8">
        <v>12</v>
      </c>
      <c r="K9" s="5">
        <v>3.6</v>
      </c>
      <c r="L9" s="8">
        <v>8</v>
      </c>
      <c r="M9" s="8">
        <v>11.6</v>
      </c>
      <c r="N9" s="5">
        <v>3.9</v>
      </c>
      <c r="O9" s="8">
        <v>8.1999999999999993</v>
      </c>
      <c r="P9" s="8">
        <v>12.1</v>
      </c>
      <c r="Q9" s="5">
        <v>4</v>
      </c>
      <c r="R9" s="8">
        <v>8.65</v>
      </c>
      <c r="S9" s="8">
        <v>12.65</v>
      </c>
      <c r="T9" s="5">
        <v>4</v>
      </c>
      <c r="U9" s="8">
        <v>8.85</v>
      </c>
      <c r="V9" s="8">
        <v>12.85</v>
      </c>
      <c r="W9" s="5">
        <v>2.5</v>
      </c>
      <c r="X9" s="8">
        <v>7.2</v>
      </c>
      <c r="Y9" s="8">
        <v>9.6999999999999993</v>
      </c>
      <c r="Z9" s="4">
        <f>IF(Cracow_result[[#This Row],[All Around]]="Yes",SUM(H9,K9,N9,Q9,T9,W9),0)</f>
        <v>21.6</v>
      </c>
      <c r="AA9" s="7">
        <f>IF(Cracow_result[[#This Row],[All Around]]="Yes",SUM(I9,L9,O9,R9,U9,X9),0)</f>
        <v>49.300000000000004</v>
      </c>
      <c r="AB9" s="7">
        <v>70.900000000000006</v>
      </c>
      <c r="AD9" s="41" t="s">
        <v>26</v>
      </c>
      <c r="AE9" s="25" t="s">
        <v>243</v>
      </c>
      <c r="AF9" s="26">
        <f>AVERAGEIFS(Cracow_result[AA_Dscore],Cracow_result[[Category]:[Category]],"junior",Cracow_result[AA_Dscore],"&lt;&gt;0",Cracow_result[All Around],"Yes")</f>
        <v>17.966666666666665</v>
      </c>
      <c r="AG9" s="26" cm="1">
        <f t="array" ref="AG9">_xlfn.STDEV.S(_xlfn._xlws.FILTER(Cracow_result[AA_Dscore],(Cracow_result[Category]="junior")*(Cracow_result[All Around]="Yes")))</f>
        <v>2.3785499784532651</v>
      </c>
      <c r="AH9" s="27">
        <f>AVERAGEIFS(Cracow_result[AA_Escore],Cracow_result[[Category]:[Category]],"junior",Cracow_result[AA_Escore],"&lt;&gt;0",Cracow_result[All Around],"yes")</f>
        <v>47.094444444444441</v>
      </c>
      <c r="AI9" s="27" cm="1">
        <f t="array" ref="AI9">_xlfn.STDEV.S(_xlfn._xlws.FILTER(Cracow_result[AA_Escore],(Cracow_result[Category]="junior")*(Cracow_result[All Around]="Yes")))</f>
        <v>2.9596710590499353</v>
      </c>
      <c r="AJ9" s="27">
        <f>AVERAGEIFS(Cracow_result[Total_Score],Cracow_result[[Category]:[Category]],"junior",Cracow_result[Total_Score],"&lt;&gt;0",Cracow_result[All Around],"yes")</f>
        <v>65.061111111111103</v>
      </c>
      <c r="AK9" s="27" cm="1">
        <f t="array" ref="AK9">_xlfn.STDEV.S(_xlfn._xlws.FILTER(Cracow_result[Total_Score],(Cracow_result[Category]="junior")*(Cracow_result[All Around]="Yes")))</f>
        <v>4.9550969830176985</v>
      </c>
      <c r="AL9" s="27" cm="1">
        <f t="array" ref="AL9">MAX(_xlfn._xlws.FILTER(Cracow_result[Total_Score],Cracow_result[Category]="junior"))</f>
        <v>72.2</v>
      </c>
      <c r="AN9" t="s">
        <v>63</v>
      </c>
      <c r="AO9" t="s">
        <v>60</v>
      </c>
      <c r="AP9">
        <v>1997</v>
      </c>
      <c r="AQ9" t="s">
        <v>39</v>
      </c>
      <c r="AR9" t="s">
        <v>351</v>
      </c>
      <c r="AS9" t="s">
        <v>306</v>
      </c>
      <c r="AT9" t="s">
        <v>239</v>
      </c>
      <c r="AU9" t="s">
        <v>311</v>
      </c>
      <c r="AV9">
        <v>7.85</v>
      </c>
    </row>
    <row r="10" spans="1:51" x14ac:dyDescent="0.25">
      <c r="A10" s="2">
        <v>9</v>
      </c>
      <c r="B10" t="s">
        <v>77</v>
      </c>
      <c r="C10" s="2" t="s">
        <v>60</v>
      </c>
      <c r="D10" s="2">
        <v>2002</v>
      </c>
      <c r="E10" s="2" t="s">
        <v>78</v>
      </c>
      <c r="F10" t="s">
        <v>79</v>
      </c>
      <c r="G10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10" s="5">
        <v>3.9</v>
      </c>
      <c r="I10" s="8">
        <v>8</v>
      </c>
      <c r="J10" s="8">
        <v>11.9</v>
      </c>
      <c r="K10" s="5">
        <v>3.7</v>
      </c>
      <c r="L10" s="8">
        <v>7</v>
      </c>
      <c r="M10" s="8">
        <v>10.7</v>
      </c>
      <c r="N10" s="5">
        <v>3.8</v>
      </c>
      <c r="O10" s="8">
        <v>8.0500000000000007</v>
      </c>
      <c r="P10" s="8">
        <v>11.85</v>
      </c>
      <c r="Q10" s="5">
        <v>3.2</v>
      </c>
      <c r="R10" s="8">
        <v>9.0500000000000007</v>
      </c>
      <c r="S10" s="8">
        <v>12.25</v>
      </c>
      <c r="T10" s="5">
        <v>3.8</v>
      </c>
      <c r="U10" s="8">
        <v>8.5</v>
      </c>
      <c r="V10" s="8">
        <v>12.3</v>
      </c>
      <c r="W10" s="5">
        <v>3</v>
      </c>
      <c r="X10" s="8">
        <v>8.1</v>
      </c>
      <c r="Y10" s="8">
        <v>11.1</v>
      </c>
      <c r="Z10" s="4">
        <f>IF(Cracow_result[[#This Row],[All Around]]="Yes",SUM(H10,K10,N10,Q10,T10,W10),0)</f>
        <v>21.4</v>
      </c>
      <c r="AA10" s="7">
        <f>IF(Cracow_result[[#This Row],[All Around]]="Yes",SUM(I10,L10,O10,R10,U10,X10),0)</f>
        <v>48.7</v>
      </c>
      <c r="AB10" s="7">
        <v>70.099999999999994</v>
      </c>
      <c r="AD10" s="42"/>
      <c r="AE10" s="25" t="s">
        <v>218</v>
      </c>
      <c r="AF10" s="26">
        <f>AVERAGEIFS(Cracow_result[FX_Dscore],Cracow_result[[Category]:[Category]],"junior",Cracow_result[FX_Dscore],"&lt;&gt;0")</f>
        <v>3.4923076923076923</v>
      </c>
      <c r="AG10" s="26" cm="1">
        <f t="array" ref="AG10">_xlfn.STDEV.S(_xlfn._xlws.FILTER(Cracow_result[FX_Dscore],(Cracow_result[Category]="junior")*(Cracow_result[FX_Dscore]&gt;0)))</f>
        <v>0.42712515430011744</v>
      </c>
      <c r="AH10" s="27">
        <f>AVERAGEIFS(Cracow_result[FX_Escore],Cracow_result[[Category]:[Category]],"junior",Cracow_result[FX_Escore],"&lt;&gt;0")</f>
        <v>7.7884615384615374</v>
      </c>
      <c r="AI10" s="27" cm="1">
        <f t="array" ref="AI10">_xlfn.STDEV.S(_xlfn._xlws.FILTER(Cracow_result[FX_Escore],(Cracow_result[Category]="junior")*(Cracow_result[FX_Escore]&gt;0)))</f>
        <v>0.41339743092747433</v>
      </c>
      <c r="AJ10" s="27">
        <f>AVERAGEIFS(Cracow_result[FX_total_score],Cracow_result[[Category]:[Category]],"junior",Cracow_result[FX_total_score],"&lt;&gt;0")</f>
        <v>11.280769230769231</v>
      </c>
      <c r="AK10" s="27" cm="1">
        <f t="array" ref="AK10">_xlfn.STDEV.S(_xlfn._xlws.FILTER(Cracow_result[FX_total_score],(Cracow_result[Category]="junior")*(Cracow_result[FX_total_score]&gt;0)))</f>
        <v>0.6656883847875259</v>
      </c>
      <c r="AL10" s="27" cm="1">
        <f t="array" ref="AL10">MAX(_xlfn._xlws.FILTER(Cracow_result[FX_total_score],Cracow_result[Category]="junior"))</f>
        <v>12.5</v>
      </c>
      <c r="AN10" t="s">
        <v>63</v>
      </c>
      <c r="AO10" t="s">
        <v>60</v>
      </c>
      <c r="AP10">
        <v>1997</v>
      </c>
      <c r="AQ10" t="s">
        <v>39</v>
      </c>
      <c r="AR10" t="s">
        <v>351</v>
      </c>
      <c r="AS10" t="s">
        <v>306</v>
      </c>
      <c r="AT10" t="s">
        <v>239</v>
      </c>
      <c r="AU10" t="s">
        <v>268</v>
      </c>
      <c r="AV10">
        <v>12.15</v>
      </c>
    </row>
    <row r="11" spans="1:51" x14ac:dyDescent="0.25">
      <c r="A11" s="2">
        <v>10</v>
      </c>
      <c r="B11" t="s">
        <v>73</v>
      </c>
      <c r="C11" s="2" t="s">
        <v>60</v>
      </c>
      <c r="D11" s="2">
        <v>2001</v>
      </c>
      <c r="E11" s="2" t="s">
        <v>74</v>
      </c>
      <c r="F11" t="s">
        <v>62</v>
      </c>
      <c r="G11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11" s="5">
        <v>4.5</v>
      </c>
      <c r="I11" s="8">
        <v>8.15</v>
      </c>
      <c r="J11" s="8">
        <v>12.65</v>
      </c>
      <c r="K11" s="5">
        <v>3.1</v>
      </c>
      <c r="L11" s="8">
        <v>3.05</v>
      </c>
      <c r="M11" s="8">
        <v>6.15</v>
      </c>
      <c r="N11" s="5">
        <v>2.8</v>
      </c>
      <c r="O11" s="8">
        <v>7.1</v>
      </c>
      <c r="P11" s="8">
        <v>9.9</v>
      </c>
      <c r="Q11" s="5">
        <v>4</v>
      </c>
      <c r="R11" s="8">
        <v>9.35</v>
      </c>
      <c r="S11" s="8">
        <v>13.35</v>
      </c>
      <c r="T11" s="5">
        <v>3.7</v>
      </c>
      <c r="U11" s="8">
        <v>6.85</v>
      </c>
      <c r="V11" s="8">
        <v>10.55</v>
      </c>
      <c r="W11" s="5">
        <v>2.7</v>
      </c>
      <c r="X11" s="8">
        <v>8.1999999999999993</v>
      </c>
      <c r="Y11" s="8">
        <v>10.9</v>
      </c>
      <c r="Z11" s="4">
        <f>IF(Cracow_result[[#This Row],[All Around]]="Yes",SUM(H11,K11,N11,Q11,T11,W11),0)</f>
        <v>20.799999999999997</v>
      </c>
      <c r="AA11" s="7">
        <f>IF(Cracow_result[[#This Row],[All Around]]="Yes",SUM(I11,L11,O11,R11,U11,X11),0)</f>
        <v>42.7</v>
      </c>
      <c r="AB11" s="7">
        <v>63.5</v>
      </c>
      <c r="AD11" s="42"/>
      <c r="AE11" s="25" t="s">
        <v>242</v>
      </c>
      <c r="AF11" s="26">
        <f>AVERAGEIFS(Cracow_result[HB_Dscore],Cracow_result[[Category]:[Category]],"junior",Cracow_result[HB_Dscore],"&lt;&gt;0")</f>
        <v>2.4750000000000001</v>
      </c>
      <c r="AG11" s="26" cm="1">
        <f t="array" ref="AG11">_xlfn.STDEV.S(_xlfn._xlws.FILTER(Cracow_result[HB_Dscore],(Cracow_result[Category]="junior")*(Cracow_result[HB_Dscore]&gt;0)))</f>
        <v>0.57227615711298141</v>
      </c>
      <c r="AH11" s="27">
        <f>AVERAGEIFS(Cracow_result[HB_Escore],Cracow_result[[Category]:[Category]],"junior",Cracow_result[HB_Escore],"&lt;&gt;0")</f>
        <v>7.9541666666666648</v>
      </c>
      <c r="AI11" s="27" cm="1">
        <f t="array" ref="AI11">_xlfn.STDEV.S(_xlfn._xlws.FILTER(Cracow_result[HB_Escore],(Cracow_result[Category]="junior")*(Cracow_result[HB_Escore]&gt;0)))</f>
        <v>1.2787526474394362</v>
      </c>
      <c r="AJ11" s="27">
        <f>AVERAGEIFS(Cracow_result[HB_total_score],Cracow_result[[Category]:[Category]],"junior",Cracow_result[HB_total_score],"&lt;&gt;0")</f>
        <v>10.429166666666665</v>
      </c>
      <c r="AK11" s="27" cm="1">
        <f t="array" ref="AK11">_xlfn.STDEV.S(_xlfn._xlws.FILTER(Cracow_result[HB_total_score],(Cracow_result[Category]="junior")*(Cracow_result[HB_total_score]&gt;0)))</f>
        <v>1.2993806799837939</v>
      </c>
      <c r="AL11" s="27" cm="1">
        <f t="array" ref="AL11">MAX(_xlfn._xlws.FILTER(Cracow_result[HB_total_score],Cracow_result[Category]="junior"))</f>
        <v>12.15</v>
      </c>
      <c r="AN11" t="s">
        <v>63</v>
      </c>
      <c r="AO11" t="s">
        <v>60</v>
      </c>
      <c r="AP11">
        <v>1997</v>
      </c>
      <c r="AQ11" t="s">
        <v>39</v>
      </c>
      <c r="AR11" t="s">
        <v>351</v>
      </c>
      <c r="AS11" t="s">
        <v>306</v>
      </c>
      <c r="AT11" t="s">
        <v>240</v>
      </c>
      <c r="AU11" t="s">
        <v>310</v>
      </c>
      <c r="AV11">
        <v>5.2</v>
      </c>
    </row>
    <row r="12" spans="1:51" x14ac:dyDescent="0.25">
      <c r="A12" s="2">
        <v>11</v>
      </c>
      <c r="B12" t="s">
        <v>84</v>
      </c>
      <c r="C12" s="2" t="s">
        <v>60</v>
      </c>
      <c r="D12" s="2">
        <v>2004</v>
      </c>
      <c r="E12" s="2" t="s">
        <v>85</v>
      </c>
      <c r="F12" t="s">
        <v>39</v>
      </c>
      <c r="G12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12" s="5">
        <v>4.0999999999999996</v>
      </c>
      <c r="I12" s="8">
        <v>8.4</v>
      </c>
      <c r="J12" s="8">
        <v>12.5</v>
      </c>
      <c r="K12" s="5">
        <v>3.2</v>
      </c>
      <c r="L12" s="8">
        <v>4.5999999999999996</v>
      </c>
      <c r="M12" s="8">
        <v>7.8</v>
      </c>
      <c r="N12" s="5">
        <v>2.9</v>
      </c>
      <c r="O12" s="8">
        <v>6.15</v>
      </c>
      <c r="P12" s="8">
        <v>9.0500000000000007</v>
      </c>
      <c r="Q12" s="5">
        <v>3.2</v>
      </c>
      <c r="R12" s="8">
        <v>9.3000000000000007</v>
      </c>
      <c r="S12" s="8">
        <v>12.5</v>
      </c>
      <c r="T12" s="5">
        <v>3.6</v>
      </c>
      <c r="U12" s="8">
        <v>7.9</v>
      </c>
      <c r="V12" s="8">
        <v>11.5</v>
      </c>
      <c r="W12" s="5">
        <v>2.9</v>
      </c>
      <c r="X12" s="8">
        <v>7.25</v>
      </c>
      <c r="Y12" s="8">
        <v>10.15</v>
      </c>
      <c r="Z12" s="4">
        <f>IF(Cracow_result[[#This Row],[All Around]]="Yes",SUM(H12,K12,N12,Q12,T12,W12),0)</f>
        <v>19.899999999999999</v>
      </c>
      <c r="AA12" s="7">
        <f>IF(Cracow_result[[#This Row],[All Around]]="Yes",SUM(I12,L12,O12,R12,U12,X12),0)</f>
        <v>43.6</v>
      </c>
      <c r="AB12" s="7">
        <v>63.5</v>
      </c>
      <c r="AD12" s="42"/>
      <c r="AE12" s="25" t="s">
        <v>241</v>
      </c>
      <c r="AF12" s="26">
        <f>AVERAGEIFS(Cracow_result[PB_Dscore],Cracow_result[[Category]:[Category]],"junior",Cracow_result[PB_Dscore],"&lt;&gt;0")</f>
        <v>3.0500000000000003</v>
      </c>
      <c r="AG12" s="26" cm="1">
        <f t="array" ref="AG12">_xlfn.STDEV.S(_xlfn._xlws.FILTER(Cracow_result[PB_Dscore],(Cracow_result[Category]="junior")*(Cracow_result[PB_Dscore]&gt;0)))</f>
        <v>0.53851648071345026</v>
      </c>
      <c r="AH12" s="27">
        <f>AVERAGEIFS(Cracow_result[PB_Escore],Cracow_result[[Category]:[Category]],"junior",Cracow_result[PB_Escore],"&lt;&gt;0")</f>
        <v>8.2083333333333321</v>
      </c>
      <c r="AI12" s="27" cm="1">
        <f t="array" ref="AI12">_xlfn.STDEV.S(_xlfn._xlws.FILTER(Cracow_result[PB_Escore],(Cracow_result[Category]="junior")*(Cracow_result[PB_Escore]&gt;0)))</f>
        <v>0.63562186204940407</v>
      </c>
      <c r="AJ12" s="27">
        <f>AVERAGEIFS(Cracow_result[PB_total_score],Cracow_result[[Category]:[Category]],"junior",Cracow_result[PB_total_score],"&lt;&gt;0")</f>
        <v>11.258333333333335</v>
      </c>
      <c r="AK12" s="27" cm="1">
        <f t="array" ref="AK12">_xlfn.STDEV.S(_xlfn._xlws.FILTER(Cracow_result[PB_total_score],(Cracow_result[Category]="junior")*(Cracow_result[PB_total_score]&gt;0)))</f>
        <v>0.87926449979858778</v>
      </c>
      <c r="AL12" s="27" cm="1">
        <f t="array" ref="AL12">MAX(_xlfn._xlws.FILTER(Cracow_result[PB_total_score],Cracow_result[Category]="junior"))</f>
        <v>12.8</v>
      </c>
      <c r="AN12" t="s">
        <v>63</v>
      </c>
      <c r="AO12" t="s">
        <v>60</v>
      </c>
      <c r="AP12">
        <v>1997</v>
      </c>
      <c r="AQ12" t="s">
        <v>39</v>
      </c>
      <c r="AR12" t="s">
        <v>351</v>
      </c>
      <c r="AS12" t="s">
        <v>306</v>
      </c>
      <c r="AT12" t="s">
        <v>240</v>
      </c>
      <c r="AU12" t="s">
        <v>311</v>
      </c>
      <c r="AV12">
        <v>8.0500000000000007</v>
      </c>
    </row>
    <row r="13" spans="1:51" x14ac:dyDescent="0.25">
      <c r="A13" s="2">
        <v>12</v>
      </c>
      <c r="B13" t="s">
        <v>70</v>
      </c>
      <c r="C13" s="2" t="s">
        <v>60</v>
      </c>
      <c r="D13" s="2">
        <v>2001</v>
      </c>
      <c r="E13" s="2" t="s">
        <v>71</v>
      </c>
      <c r="F13" t="s">
        <v>72</v>
      </c>
      <c r="G13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3" s="5">
        <v>4.9000000000000004</v>
      </c>
      <c r="I13" s="8">
        <v>7.6</v>
      </c>
      <c r="J13" s="8">
        <v>12.5</v>
      </c>
      <c r="K13" s="5">
        <v>3.6</v>
      </c>
      <c r="L13" s="8">
        <v>6.7</v>
      </c>
      <c r="M13" s="8">
        <v>10.3</v>
      </c>
      <c r="N13" s="5">
        <v>4.0999999999999996</v>
      </c>
      <c r="O13" s="8">
        <v>7.8</v>
      </c>
      <c r="P13" s="8">
        <v>11.9</v>
      </c>
      <c r="Q13" s="5">
        <v>5.2</v>
      </c>
      <c r="R13" s="8">
        <v>7.65</v>
      </c>
      <c r="S13" s="8">
        <v>12.85</v>
      </c>
      <c r="T13" s="5">
        <v>0</v>
      </c>
      <c r="U13" s="8">
        <v>0</v>
      </c>
      <c r="V13" s="8">
        <v>0</v>
      </c>
      <c r="W13" s="5">
        <v>3.7</v>
      </c>
      <c r="X13" s="8">
        <v>7.4</v>
      </c>
      <c r="Y13" s="8">
        <v>11.1</v>
      </c>
      <c r="Z13" s="4">
        <f>IF(Cracow_result[[#This Row],[All Around]]="Yes",SUM(H13,K13,N13,Q13,T13,W13),0)</f>
        <v>0</v>
      </c>
      <c r="AA13" s="7">
        <f>IF(Cracow_result[[#This Row],[All Around]]="Yes",SUM(I13,L13,O13,R13,U13,X13),0)</f>
        <v>0</v>
      </c>
      <c r="AB13" s="7">
        <v>58.65</v>
      </c>
      <c r="AD13" s="42"/>
      <c r="AE13" s="25" t="s">
        <v>238</v>
      </c>
      <c r="AF13" s="26">
        <f>AVERAGEIFS(Cracow_result[PH_Dscore],Cracow_result[[Category]:[Category]],"junior",Cracow_result[PH_Dscore],"&lt;&gt;0")</f>
        <v>2.8750000000000004</v>
      </c>
      <c r="AG13" s="26" cm="1">
        <f t="array" ref="AG13">_xlfn.STDEV.S(_xlfn._xlws.FILTER(Cracow_result[PH_Dscore],(Cracow_result[Category]="junior")*(Cracow_result[PH_Dscore]&gt;0)))</f>
        <v>0.59867277448460032</v>
      </c>
      <c r="AH13" s="27">
        <f>AVERAGEIFS(Cracow_result[PH_Escore],Cracow_result[[Category]:[Category]],"junior",Cracow_result[PH_Escore],"&lt;&gt;0")</f>
        <v>6.762500000000002</v>
      </c>
      <c r="AI13" s="27" cm="1">
        <f t="array" ref="AI13">_xlfn.STDEV.S(_xlfn._xlws.FILTER(Cracow_result[PH_Escore],(Cracow_result[Category]="junior")*(Cracow_result[PH_Escore]&gt;0)))</f>
        <v>1.7350825235810414</v>
      </c>
      <c r="AJ13" s="27">
        <f>AVERAGEIFS(Cracow_result[PH_Total_Score],Cracow_result[[Category]:[Category]],"junior",Cracow_result[PH_Total_Score],"&lt;&gt;0")</f>
        <v>9.6375000000000011</v>
      </c>
      <c r="AK13" s="27" cm="1">
        <f t="array" ref="AK13">_xlfn.STDEV.S(_xlfn._xlws.FILTER(Cracow_result[PH_Total_Score],(Cracow_result[Category]="junior")*(Cracow_result[PH_Total_Score]&gt;0)))</f>
        <v>2.2044505602819169</v>
      </c>
      <c r="AL13" s="27" cm="1">
        <f t="array" ref="AL13">MAX(_xlfn._xlws.FILTER(Cracow_result[PH_Total_Score],Cracow_result[Category]="junior"))</f>
        <v>12.35</v>
      </c>
      <c r="AN13" t="s">
        <v>63</v>
      </c>
      <c r="AO13" t="s">
        <v>60</v>
      </c>
      <c r="AP13">
        <v>1997</v>
      </c>
      <c r="AQ13" t="s">
        <v>39</v>
      </c>
      <c r="AR13" t="s">
        <v>351</v>
      </c>
      <c r="AS13" t="s">
        <v>306</v>
      </c>
      <c r="AT13" t="s">
        <v>240</v>
      </c>
      <c r="AU13" t="s">
        <v>268</v>
      </c>
      <c r="AV13">
        <v>13.25</v>
      </c>
    </row>
    <row r="14" spans="1:51" x14ac:dyDescent="0.25">
      <c r="A14" s="2">
        <v>13</v>
      </c>
      <c r="B14" t="s">
        <v>82</v>
      </c>
      <c r="C14" s="2" t="s">
        <v>60</v>
      </c>
      <c r="D14" s="2">
        <v>2003</v>
      </c>
      <c r="E14" s="2" t="s">
        <v>83</v>
      </c>
      <c r="F14" t="s">
        <v>36</v>
      </c>
      <c r="G14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4" s="5">
        <v>4.0999999999999996</v>
      </c>
      <c r="I14" s="8">
        <v>6.7</v>
      </c>
      <c r="J14" s="8">
        <v>10.8</v>
      </c>
      <c r="K14" s="5">
        <v>0</v>
      </c>
      <c r="L14" s="8">
        <v>0</v>
      </c>
      <c r="M14" s="8">
        <v>0</v>
      </c>
      <c r="N14" s="5">
        <v>3.8</v>
      </c>
      <c r="O14" s="8">
        <v>7.7</v>
      </c>
      <c r="P14" s="8">
        <v>11.5</v>
      </c>
      <c r="Q14" s="5">
        <v>4</v>
      </c>
      <c r="R14" s="8">
        <v>9.1</v>
      </c>
      <c r="S14" s="8">
        <v>13.1</v>
      </c>
      <c r="T14" s="5">
        <v>2.5</v>
      </c>
      <c r="U14" s="8">
        <v>7.15</v>
      </c>
      <c r="V14" s="8">
        <v>9.65</v>
      </c>
      <c r="W14" s="5">
        <v>4</v>
      </c>
      <c r="X14" s="8">
        <v>8.25</v>
      </c>
      <c r="Y14" s="8">
        <v>12.25</v>
      </c>
      <c r="Z14" s="4">
        <f>IF(Cracow_result[[#This Row],[All Around]]="Yes",SUM(H14,K14,N14,Q14,T14,W14),0)</f>
        <v>0</v>
      </c>
      <c r="AA14" s="7">
        <f>IF(Cracow_result[[#This Row],[All Around]]="Yes",SUM(I14,L14,O14,R14,U14,X14),0)</f>
        <v>0</v>
      </c>
      <c r="AB14" s="7">
        <v>57.3</v>
      </c>
      <c r="AD14" s="42"/>
      <c r="AE14" s="25" t="s">
        <v>239</v>
      </c>
      <c r="AF14" s="26">
        <f>AVERAGEIFS(Cracow_result[SR_Dscore],Cracow_result[[Category]:[Category]],"junior",Cracow_result[SR_Dscore],"&lt;&gt;0")</f>
        <v>2.6153846153846154</v>
      </c>
      <c r="AG14" s="26" cm="1">
        <f t="array" ref="AG14">_xlfn.STDEV.S(_xlfn._xlws.FILTER(Cracow_result[SR_Dscore],(Cracow_result[Category]="junior")*(Cracow_result[SR_Dscore]&gt;0)))</f>
        <v>0.69981682585058547</v>
      </c>
      <c r="AH14" s="27">
        <f>AVERAGEIFS(Cracow_result[SR_Escore],Cracow_result[[Category]:[Category]],"junior",Cracow_result[SR_Escore],"&lt;&gt;0")</f>
        <v>7.4307692307692301</v>
      </c>
      <c r="AI14" s="27" cm="1">
        <f t="array" ref="AI14">_xlfn.STDEV.S(_xlfn._xlws.FILTER(Cracow_result[SR_Escore],(Cracow_result[Category]="junior")*(Cracow_result[SR_Escore]&gt;0)))</f>
        <v>0.59635645853887231</v>
      </c>
      <c r="AJ14" s="27">
        <f>AVERAGEIFS(Cracow_result[SR_Total_Score],Cracow_result[[Category]:[Category]],"junior",Cracow_result[SR_Total_Score],"&lt;&gt;0")</f>
        <v>10.046153846153848</v>
      </c>
      <c r="AK14" s="27" cm="1">
        <f t="array" ref="AK14">_xlfn.STDEV.S(_xlfn._xlws.FILTER(Cracow_result[SR_Total_Score],(Cracow_result[Category]="junior")*(Cracow_result[SR_Total_Score]&gt;0)))</f>
        <v>1.0235684186669241</v>
      </c>
      <c r="AL14" s="27" cm="1">
        <f t="array" ref="AL14">MAX(_xlfn._xlws.FILTER(Cracow_result[SR_Total_Score],Cracow_result[Category]="junior"))</f>
        <v>11.5</v>
      </c>
      <c r="AN14" t="s">
        <v>63</v>
      </c>
      <c r="AO14" t="s">
        <v>60</v>
      </c>
      <c r="AP14">
        <v>1997</v>
      </c>
      <c r="AQ14" t="s">
        <v>39</v>
      </c>
      <c r="AR14" t="s">
        <v>351</v>
      </c>
      <c r="AS14" t="s">
        <v>306</v>
      </c>
      <c r="AT14" t="s">
        <v>316</v>
      </c>
      <c r="AU14" t="s">
        <v>310</v>
      </c>
      <c r="AV14">
        <v>4.2</v>
      </c>
    </row>
    <row r="15" spans="1:51" x14ac:dyDescent="0.25">
      <c r="A15" s="2">
        <v>14</v>
      </c>
      <c r="B15" t="s">
        <v>90</v>
      </c>
      <c r="C15" s="2" t="s">
        <v>60</v>
      </c>
      <c r="D15" s="2">
        <v>2004</v>
      </c>
      <c r="E15" s="2" t="s">
        <v>91</v>
      </c>
      <c r="F15" t="s">
        <v>36</v>
      </c>
      <c r="G15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5" s="5">
        <v>4</v>
      </c>
      <c r="I15" s="8">
        <v>7.9</v>
      </c>
      <c r="J15" s="8">
        <v>11.9</v>
      </c>
      <c r="K15" s="5">
        <v>2.9</v>
      </c>
      <c r="L15" s="8">
        <v>5</v>
      </c>
      <c r="M15" s="8">
        <v>7.9</v>
      </c>
      <c r="N15" s="5">
        <v>3</v>
      </c>
      <c r="O15" s="8">
        <v>6.35</v>
      </c>
      <c r="P15" s="8">
        <v>9.35</v>
      </c>
      <c r="Q15" s="5">
        <v>4</v>
      </c>
      <c r="R15" s="8">
        <v>9.25</v>
      </c>
      <c r="S15" s="8">
        <v>13.25</v>
      </c>
      <c r="T15" s="5">
        <v>2.9</v>
      </c>
      <c r="U15" s="8">
        <v>8.5</v>
      </c>
      <c r="V15" s="8">
        <v>11.4</v>
      </c>
      <c r="W15" s="5">
        <v>0</v>
      </c>
      <c r="X15" s="8">
        <v>0</v>
      </c>
      <c r="Y15" s="8">
        <v>0</v>
      </c>
      <c r="Z15" s="4">
        <f>IF(Cracow_result[[#This Row],[All Around]]="Yes",SUM(H15,K15,N15,Q15,T15,W15),0)</f>
        <v>0</v>
      </c>
      <c r="AA15" s="7">
        <f>IF(Cracow_result[[#This Row],[All Around]]="Yes",SUM(I15,L15,O15,R15,U15,X15),0)</f>
        <v>0</v>
      </c>
      <c r="AB15" s="7">
        <v>53.8</v>
      </c>
      <c r="AD15" s="43"/>
      <c r="AE15" s="25" t="s">
        <v>240</v>
      </c>
      <c r="AF15" s="26">
        <f>AVERAGEIFS(Cracow_result[VT_Dscore],Cracow_result[[Category]:[Category]],"junior",Cracow_result[VT_Dscore],"&lt;&gt;0")</f>
        <v>2.5428571428571431</v>
      </c>
      <c r="AG15" s="26" cm="1">
        <f t="array" ref="AG15">_xlfn.STDEV.S(_xlfn._xlws.FILTER(Cracow_result[VT_Dscore],(Cracow_result[Category]="junior")*(Cracow_result[VT_Dscore]&gt;0)))</f>
        <v>0.70788339512867626</v>
      </c>
      <c r="AH15" s="27">
        <f>AVERAGEIFS(Cracow_result[VT_Escore],Cracow_result[[Category]:[Category]],"junior",Cracow_result[VT_Escore],"&lt;&gt;0")</f>
        <v>8.7785714285714285</v>
      </c>
      <c r="AI15" s="27" cm="1">
        <f t="array" ref="AI15">_xlfn.STDEV.S(_xlfn._xlws.FILTER(Cracow_result[VT_Escore],(Cracow_result[Category]="junior")*(Cracow_result[VT_Escore]&gt;0)))</f>
        <v>0.43532228808722212</v>
      </c>
      <c r="AJ15" s="27">
        <f>AVERAGEIFS(Cracow_result[VT_total_score],Cracow_result[[Category]:[Category]],"junior",Cracow_result[VT_total_score],"&lt;&gt;0")</f>
        <v>11.321428571428573</v>
      </c>
      <c r="AK15" s="27" cm="1">
        <f t="array" ref="AK15">_xlfn.STDEV.S(_xlfn._xlws.FILTER(Cracow_result[VT_total_score],(Cracow_result[Category]="junior")*(Cracow_result[VT_total_score]&gt;0)))</f>
        <v>0.75465587820243929</v>
      </c>
      <c r="AL15" s="27" cm="1">
        <f t="array" ref="AL15">MAX(_xlfn._xlws.FILTER(Cracow_result[VT_total_score],Cracow_result[Category]="junior"))</f>
        <v>12.8</v>
      </c>
      <c r="AN15" t="s">
        <v>63</v>
      </c>
      <c r="AO15" t="s">
        <v>60</v>
      </c>
      <c r="AP15">
        <v>1997</v>
      </c>
      <c r="AQ15" t="s">
        <v>39</v>
      </c>
      <c r="AR15" t="s">
        <v>351</v>
      </c>
      <c r="AS15" t="s">
        <v>306</v>
      </c>
      <c r="AT15" t="s">
        <v>316</v>
      </c>
      <c r="AU15" t="s">
        <v>311</v>
      </c>
      <c r="AV15">
        <v>8.8000000000000007</v>
      </c>
    </row>
    <row r="16" spans="1:51" x14ac:dyDescent="0.25">
      <c r="A16" s="2">
        <v>15</v>
      </c>
      <c r="B16" t="s">
        <v>92</v>
      </c>
      <c r="C16" s="2" t="s">
        <v>60</v>
      </c>
      <c r="D16" s="2">
        <v>2004</v>
      </c>
      <c r="E16" s="2" t="s">
        <v>93</v>
      </c>
      <c r="F16" t="s">
        <v>39</v>
      </c>
      <c r="G16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6" s="5">
        <v>4.0999999999999996</v>
      </c>
      <c r="I16" s="8">
        <v>7.95</v>
      </c>
      <c r="J16" s="8">
        <v>12.05</v>
      </c>
      <c r="K16" s="5">
        <v>3.7</v>
      </c>
      <c r="L16" s="8">
        <v>8.85</v>
      </c>
      <c r="M16" s="8">
        <v>12.55</v>
      </c>
      <c r="N16" s="5">
        <v>0</v>
      </c>
      <c r="O16" s="8">
        <v>0</v>
      </c>
      <c r="P16" s="8">
        <v>0</v>
      </c>
      <c r="Q16" s="5">
        <v>4.4000000000000004</v>
      </c>
      <c r="R16" s="8">
        <v>9.35</v>
      </c>
      <c r="S16" s="8">
        <v>13.75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IF(Cracow_result[[#This Row],[All Around]]="Yes",SUM(H16,K16,N16,Q16,T16,W16),0)</f>
        <v>0</v>
      </c>
      <c r="AA16" s="7">
        <f>IF(Cracow_result[[#This Row],[All Around]]="Yes",SUM(I16,L16,O16,R16,U16,X16),0)</f>
        <v>0</v>
      </c>
      <c r="AB16" s="7">
        <v>38.35</v>
      </c>
      <c r="AN16" t="s">
        <v>63</v>
      </c>
      <c r="AO16" t="s">
        <v>60</v>
      </c>
      <c r="AP16">
        <v>1997</v>
      </c>
      <c r="AQ16" t="s">
        <v>39</v>
      </c>
      <c r="AR16" t="s">
        <v>351</v>
      </c>
      <c r="AS16" t="s">
        <v>306</v>
      </c>
      <c r="AT16" t="s">
        <v>316</v>
      </c>
      <c r="AU16" t="s">
        <v>268</v>
      </c>
      <c r="AV16">
        <v>13</v>
      </c>
    </row>
    <row r="17" spans="1:48" x14ac:dyDescent="0.25">
      <c r="A17" s="2">
        <v>16</v>
      </c>
      <c r="B17" t="s">
        <v>98</v>
      </c>
      <c r="C17" s="2" t="s">
        <v>60</v>
      </c>
      <c r="D17" s="2">
        <v>2003</v>
      </c>
      <c r="E17" s="2" t="s">
        <v>99</v>
      </c>
      <c r="F17" t="s">
        <v>72</v>
      </c>
      <c r="G17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7" s="5">
        <v>0</v>
      </c>
      <c r="I17" s="8">
        <v>0</v>
      </c>
      <c r="J17" s="8">
        <v>0</v>
      </c>
      <c r="K17" s="5">
        <v>3.3</v>
      </c>
      <c r="L17" s="8">
        <v>4.1500000000000004</v>
      </c>
      <c r="M17" s="8">
        <v>7.45</v>
      </c>
      <c r="N17" s="5">
        <v>2.5</v>
      </c>
      <c r="O17" s="8">
        <v>6.55</v>
      </c>
      <c r="P17" s="8">
        <v>9.0500000000000007</v>
      </c>
      <c r="Q17" s="5">
        <v>0</v>
      </c>
      <c r="R17" s="8">
        <v>0</v>
      </c>
      <c r="S17" s="8">
        <v>0</v>
      </c>
      <c r="T17" s="5">
        <v>2.5</v>
      </c>
      <c r="U17" s="8">
        <v>8.6999999999999993</v>
      </c>
      <c r="V17" s="8">
        <v>11.2</v>
      </c>
      <c r="W17" s="5">
        <v>2.6</v>
      </c>
      <c r="X17" s="8">
        <v>6.95</v>
      </c>
      <c r="Y17" s="8">
        <v>9.5500000000000007</v>
      </c>
      <c r="Z17" s="4">
        <f>IF(Cracow_result[[#This Row],[All Around]]="Yes",SUM(H17,K17,N17,Q17,T17,W17),0)</f>
        <v>0</v>
      </c>
      <c r="AA17" s="7">
        <f>IF(Cracow_result[[#This Row],[All Around]]="Yes",SUM(I17,L17,O17,R17,U17,X17),0)</f>
        <v>0</v>
      </c>
      <c r="AB17" s="7">
        <v>37.25</v>
      </c>
      <c r="AD17" s="28" t="s">
        <v>296</v>
      </c>
      <c r="AN17" t="s">
        <v>63</v>
      </c>
      <c r="AO17" t="s">
        <v>60</v>
      </c>
      <c r="AP17">
        <v>1997</v>
      </c>
      <c r="AQ17" t="s">
        <v>39</v>
      </c>
      <c r="AR17" t="s">
        <v>351</v>
      </c>
      <c r="AS17" t="s">
        <v>306</v>
      </c>
      <c r="AT17" t="s">
        <v>242</v>
      </c>
      <c r="AU17" t="s">
        <v>310</v>
      </c>
      <c r="AV17">
        <v>4.4000000000000004</v>
      </c>
    </row>
    <row r="18" spans="1:48" x14ac:dyDescent="0.25">
      <c r="A18" s="2">
        <v>17</v>
      </c>
      <c r="B18" t="s">
        <v>96</v>
      </c>
      <c r="C18" s="2" t="s">
        <v>60</v>
      </c>
      <c r="D18" s="2">
        <v>2002</v>
      </c>
      <c r="E18" s="2" t="s">
        <v>97</v>
      </c>
      <c r="F18" t="s">
        <v>62</v>
      </c>
      <c r="G18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8" s="5">
        <v>0</v>
      </c>
      <c r="I18" s="8">
        <v>0</v>
      </c>
      <c r="J18" s="8">
        <v>0</v>
      </c>
      <c r="K18" s="5">
        <v>4.7</v>
      </c>
      <c r="L18" s="8">
        <v>6.8</v>
      </c>
      <c r="M18" s="8">
        <v>11.5</v>
      </c>
      <c r="N18" s="5">
        <v>4.2</v>
      </c>
      <c r="O18" s="8">
        <v>8.5</v>
      </c>
      <c r="P18" s="8">
        <v>12.7</v>
      </c>
      <c r="Q18" s="5">
        <v>0</v>
      </c>
      <c r="R18" s="8">
        <v>0</v>
      </c>
      <c r="S18" s="8">
        <v>0</v>
      </c>
      <c r="T18" s="5">
        <v>3.8</v>
      </c>
      <c r="U18" s="8">
        <v>7.2</v>
      </c>
      <c r="V18" s="8">
        <v>11</v>
      </c>
      <c r="W18" s="5">
        <v>0</v>
      </c>
      <c r="X18" s="8">
        <v>0</v>
      </c>
      <c r="Y18" s="8">
        <v>0</v>
      </c>
      <c r="Z18" s="4">
        <f>IF(Cracow_result[[#This Row],[All Around]]="Yes",SUM(H18,K18,N18,Q18,T18,W18),0)</f>
        <v>0</v>
      </c>
      <c r="AA18" s="7">
        <f>IF(Cracow_result[[#This Row],[All Around]]="Yes",SUM(I18,L18,O18,R18,U18,X18),0)</f>
        <v>0</v>
      </c>
      <c r="AB18" s="7">
        <v>35.200000000000003</v>
      </c>
      <c r="AD18" s="29" t="s">
        <v>297</v>
      </c>
      <c r="AF18" s="38" t="s">
        <v>217</v>
      </c>
      <c r="AG18" t="s">
        <v>350</v>
      </c>
      <c r="AN18" t="s">
        <v>63</v>
      </c>
      <c r="AO18" t="s">
        <v>60</v>
      </c>
      <c r="AP18">
        <v>1997</v>
      </c>
      <c r="AQ18" t="s">
        <v>39</v>
      </c>
      <c r="AR18" t="s">
        <v>351</v>
      </c>
      <c r="AS18" t="s">
        <v>306</v>
      </c>
      <c r="AT18" t="s">
        <v>242</v>
      </c>
      <c r="AU18" t="s">
        <v>311</v>
      </c>
      <c r="AV18">
        <v>8.4</v>
      </c>
    </row>
    <row r="19" spans="1:48" x14ac:dyDescent="0.25">
      <c r="A19" s="2">
        <v>18</v>
      </c>
      <c r="B19" t="s">
        <v>94</v>
      </c>
      <c r="C19" s="2" t="s">
        <v>60</v>
      </c>
      <c r="D19" s="2">
        <v>2002</v>
      </c>
      <c r="E19" s="2" t="s">
        <v>95</v>
      </c>
      <c r="F19" t="s">
        <v>72</v>
      </c>
      <c r="G19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19" s="5">
        <v>0</v>
      </c>
      <c r="I19" s="8">
        <v>0</v>
      </c>
      <c r="J19" s="8">
        <v>0</v>
      </c>
      <c r="K19" s="5">
        <v>0</v>
      </c>
      <c r="L19" s="8">
        <v>0</v>
      </c>
      <c r="M19" s="8">
        <v>0</v>
      </c>
      <c r="N19" s="5">
        <v>4</v>
      </c>
      <c r="O19" s="8">
        <v>7.65</v>
      </c>
      <c r="P19" s="8">
        <v>11.65</v>
      </c>
      <c r="Q19" s="5">
        <v>2.8</v>
      </c>
      <c r="R19" s="8">
        <v>9.1</v>
      </c>
      <c r="S19" s="8">
        <v>11.9</v>
      </c>
      <c r="T19" s="5">
        <v>3.2</v>
      </c>
      <c r="U19" s="8">
        <v>8.35</v>
      </c>
      <c r="V19" s="8">
        <v>11.55</v>
      </c>
      <c r="W19" s="5">
        <v>0</v>
      </c>
      <c r="X19" s="8">
        <v>0</v>
      </c>
      <c r="Y19" s="8">
        <v>0</v>
      </c>
      <c r="Z19" s="4">
        <f>IF(Cracow_result[[#This Row],[All Around]]="Yes",SUM(H19,K19,N19,Q19,T19,W19),0)</f>
        <v>0</v>
      </c>
      <c r="AA19" s="7">
        <f>IF(Cracow_result[[#This Row],[All Around]]="Yes",SUM(I19,L19,O19,R19,U19,X19),0)</f>
        <v>0</v>
      </c>
      <c r="AB19" s="7">
        <v>35.1</v>
      </c>
      <c r="AD19" s="30" t="s">
        <v>298</v>
      </c>
      <c r="AN19" t="s">
        <v>63</v>
      </c>
      <c r="AO19" t="s">
        <v>60</v>
      </c>
      <c r="AP19">
        <v>1997</v>
      </c>
      <c r="AQ19" t="s">
        <v>39</v>
      </c>
      <c r="AR19" t="s">
        <v>351</v>
      </c>
      <c r="AS19" t="s">
        <v>306</v>
      </c>
      <c r="AT19" t="s">
        <v>242</v>
      </c>
      <c r="AU19" t="s">
        <v>268</v>
      </c>
      <c r="AV19">
        <v>12.8</v>
      </c>
    </row>
    <row r="20" spans="1:48" x14ac:dyDescent="0.25">
      <c r="A20" s="2">
        <v>19</v>
      </c>
      <c r="B20" t="s">
        <v>129</v>
      </c>
      <c r="C20" s="2" t="s">
        <v>60</v>
      </c>
      <c r="D20" s="2">
        <v>1999</v>
      </c>
      <c r="E20" s="2" t="s">
        <v>130</v>
      </c>
      <c r="F20" t="s">
        <v>72</v>
      </c>
      <c r="G20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0" s="5">
        <v>4.4000000000000004</v>
      </c>
      <c r="I20" s="8">
        <v>7.05</v>
      </c>
      <c r="J20" s="8">
        <v>11.45</v>
      </c>
      <c r="K20" s="5">
        <v>0</v>
      </c>
      <c r="L20" s="8">
        <v>0</v>
      </c>
      <c r="M20" s="8">
        <v>0</v>
      </c>
      <c r="N20" s="5">
        <v>0</v>
      </c>
      <c r="O20" s="8">
        <v>0</v>
      </c>
      <c r="P20" s="8">
        <v>0</v>
      </c>
      <c r="Q20" s="5">
        <v>2.8</v>
      </c>
      <c r="R20" s="8">
        <v>8.5500000000000007</v>
      </c>
      <c r="S20" s="8">
        <v>11.35</v>
      </c>
      <c r="T20" s="5">
        <v>2.7</v>
      </c>
      <c r="U20" s="8">
        <v>8.5500000000000007</v>
      </c>
      <c r="V20" s="8">
        <v>11.25</v>
      </c>
      <c r="W20" s="5">
        <v>0</v>
      </c>
      <c r="X20" s="8">
        <v>0</v>
      </c>
      <c r="Y20" s="8">
        <v>0</v>
      </c>
      <c r="Z20" s="4">
        <f>IF(Cracow_result[[#This Row],[All Around]]="Yes",SUM(H20,K20,N20,Q20,T20,W20),0)</f>
        <v>0</v>
      </c>
      <c r="AA20" s="7">
        <f>IF(Cracow_result[[#This Row],[All Around]]="Yes",SUM(I20,L20,O20,R20,U20,X20),0)</f>
        <v>0</v>
      </c>
      <c r="AB20" s="7">
        <v>34.049999999999997</v>
      </c>
      <c r="AD20" s="31" t="s">
        <v>300</v>
      </c>
      <c r="AF20" s="38" t="s">
        <v>313</v>
      </c>
      <c r="AG20" s="38" t="s">
        <v>308</v>
      </c>
      <c r="AN20" t="s">
        <v>63</v>
      </c>
      <c r="AO20" t="s">
        <v>60</v>
      </c>
      <c r="AP20">
        <v>1997</v>
      </c>
      <c r="AQ20" t="s">
        <v>39</v>
      </c>
      <c r="AR20" t="s">
        <v>351</v>
      </c>
      <c r="AS20" t="s">
        <v>306</v>
      </c>
      <c r="AT20" t="s">
        <v>243</v>
      </c>
      <c r="AU20" t="s">
        <v>337</v>
      </c>
      <c r="AV20">
        <v>28.1</v>
      </c>
    </row>
    <row r="21" spans="1:48" x14ac:dyDescent="0.25">
      <c r="A21" s="2">
        <v>20</v>
      </c>
      <c r="B21" t="s">
        <v>86</v>
      </c>
      <c r="C21" s="2" t="s">
        <v>60</v>
      </c>
      <c r="D21" s="2">
        <v>2003</v>
      </c>
      <c r="E21" s="2" t="s">
        <v>87</v>
      </c>
      <c r="F21" t="s">
        <v>72</v>
      </c>
      <c r="G21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1" s="5">
        <v>4.2</v>
      </c>
      <c r="I21" s="8">
        <v>7.55</v>
      </c>
      <c r="J21" s="8">
        <v>11.75</v>
      </c>
      <c r="K21" s="5">
        <v>4.2</v>
      </c>
      <c r="L21" s="8">
        <v>8</v>
      </c>
      <c r="M21" s="8">
        <v>12.2</v>
      </c>
      <c r="N21" s="5">
        <v>0</v>
      </c>
      <c r="O21" s="8">
        <v>0</v>
      </c>
      <c r="P21" s="8">
        <v>0</v>
      </c>
      <c r="Q21" s="5">
        <v>0</v>
      </c>
      <c r="R21" s="8">
        <v>0</v>
      </c>
      <c r="S21" s="8">
        <v>0</v>
      </c>
      <c r="T21" s="5">
        <v>2.9</v>
      </c>
      <c r="U21" s="8">
        <v>7.2</v>
      </c>
      <c r="V21" s="8">
        <v>10.1</v>
      </c>
      <c r="W21" s="5">
        <v>0</v>
      </c>
      <c r="X21" s="8">
        <v>0</v>
      </c>
      <c r="Y21" s="8">
        <v>0</v>
      </c>
      <c r="Z21" s="4">
        <f>IF(Cracow_result[[#This Row],[All Around]]="Yes",SUM(H21,K21,N21,Q21,T21,W21),0)</f>
        <v>0</v>
      </c>
      <c r="AA21" s="7">
        <f>IF(Cracow_result[[#This Row],[All Around]]="Yes",SUM(I21,L21,O21,R21,U21,X21),0)</f>
        <v>0</v>
      </c>
      <c r="AB21" s="7">
        <v>34.049999999999997</v>
      </c>
      <c r="AD21" s="32" t="s">
        <v>299</v>
      </c>
      <c r="AF21" s="38" t="s">
        <v>305</v>
      </c>
      <c r="AG21" t="s">
        <v>26</v>
      </c>
      <c r="AH21" t="s">
        <v>60</v>
      </c>
      <c r="AI21" t="s">
        <v>312</v>
      </c>
      <c r="AN21" t="s">
        <v>63</v>
      </c>
      <c r="AO21" t="s">
        <v>60</v>
      </c>
      <c r="AP21">
        <v>1997</v>
      </c>
      <c r="AQ21" t="s">
        <v>39</v>
      </c>
      <c r="AR21" t="s">
        <v>351</v>
      </c>
      <c r="AS21" t="s">
        <v>306</v>
      </c>
      <c r="AT21" t="s">
        <v>243</v>
      </c>
      <c r="AU21" t="s">
        <v>338</v>
      </c>
      <c r="AV21">
        <v>47.75</v>
      </c>
    </row>
    <row r="22" spans="1:48" x14ac:dyDescent="0.25">
      <c r="A22" s="2">
        <v>21</v>
      </c>
      <c r="B22" t="s">
        <v>100</v>
      </c>
      <c r="C22" s="2" t="s">
        <v>60</v>
      </c>
      <c r="D22" s="2">
        <v>2004</v>
      </c>
      <c r="E22" s="2" t="s">
        <v>101</v>
      </c>
      <c r="F22" t="s">
        <v>31</v>
      </c>
      <c r="G22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2" s="5">
        <v>4.4000000000000004</v>
      </c>
      <c r="I22" s="8">
        <v>7.55</v>
      </c>
      <c r="J22" s="8">
        <v>11.95</v>
      </c>
      <c r="K22" s="5">
        <v>0</v>
      </c>
      <c r="L22" s="8">
        <v>0</v>
      </c>
      <c r="M22" s="8">
        <v>0</v>
      </c>
      <c r="N22" s="5">
        <v>0</v>
      </c>
      <c r="O22" s="8">
        <v>0</v>
      </c>
      <c r="P22" s="8">
        <v>0</v>
      </c>
      <c r="Q22" s="5">
        <v>0</v>
      </c>
      <c r="R22" s="8">
        <v>0</v>
      </c>
      <c r="S22" s="8">
        <v>0</v>
      </c>
      <c r="T22" s="5">
        <v>0</v>
      </c>
      <c r="U22" s="8">
        <v>0</v>
      </c>
      <c r="V22" s="8">
        <v>0</v>
      </c>
      <c r="W22" s="5">
        <v>2.1</v>
      </c>
      <c r="X22" s="8">
        <v>8.5</v>
      </c>
      <c r="Y22" s="8">
        <v>10.6</v>
      </c>
      <c r="Z22" s="4">
        <f>IF(Cracow_result[[#This Row],[All Around]]="Yes",SUM(H22,K22,N22,Q22,T22,W22),0)</f>
        <v>0</v>
      </c>
      <c r="AA22" s="7">
        <f>IF(Cracow_result[[#This Row],[All Around]]="Yes",SUM(I22,L22,O22,R22,U22,X22),0)</f>
        <v>0</v>
      </c>
      <c r="AB22" s="7">
        <v>22.55</v>
      </c>
      <c r="AD22" s="33" t="s">
        <v>252</v>
      </c>
      <c r="AF22" s="39" t="s">
        <v>310</v>
      </c>
      <c r="AG22">
        <v>76</v>
      </c>
      <c r="AH22">
        <v>107</v>
      </c>
      <c r="AI22">
        <v>183</v>
      </c>
      <c r="AN22" t="s">
        <v>63</v>
      </c>
      <c r="AO22" t="s">
        <v>60</v>
      </c>
      <c r="AP22">
        <v>1997</v>
      </c>
      <c r="AQ22" t="s">
        <v>39</v>
      </c>
      <c r="AR22" t="s">
        <v>351</v>
      </c>
      <c r="AS22" t="s">
        <v>306</v>
      </c>
      <c r="AT22" t="s">
        <v>243</v>
      </c>
      <c r="AU22" t="s">
        <v>349</v>
      </c>
      <c r="AV22">
        <v>75.849999999999994</v>
      </c>
    </row>
    <row r="23" spans="1:48" x14ac:dyDescent="0.25">
      <c r="A23" s="2">
        <v>22</v>
      </c>
      <c r="B23" t="s">
        <v>106</v>
      </c>
      <c r="C23" s="2" t="s">
        <v>60</v>
      </c>
      <c r="D23" s="2">
        <v>2004</v>
      </c>
      <c r="E23" s="2" t="s">
        <v>107</v>
      </c>
      <c r="F23" t="s">
        <v>31</v>
      </c>
      <c r="G23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3" s="5">
        <v>3.8</v>
      </c>
      <c r="I23" s="8">
        <v>7.45</v>
      </c>
      <c r="J23" s="8">
        <v>11.25</v>
      </c>
      <c r="K23" s="5">
        <v>0</v>
      </c>
      <c r="L23" s="8">
        <v>0</v>
      </c>
      <c r="M23" s="8">
        <v>0</v>
      </c>
      <c r="N23" s="5">
        <v>0</v>
      </c>
      <c r="O23" s="8">
        <v>0</v>
      </c>
      <c r="P23" s="8">
        <v>0</v>
      </c>
      <c r="Q23" s="5">
        <v>3.2</v>
      </c>
      <c r="R23" s="8">
        <v>7.4</v>
      </c>
      <c r="S23" s="8">
        <v>10.6</v>
      </c>
      <c r="T23" s="5">
        <v>0</v>
      </c>
      <c r="U23" s="8">
        <v>0</v>
      </c>
      <c r="V23" s="8">
        <v>0</v>
      </c>
      <c r="W23" s="5">
        <v>0</v>
      </c>
      <c r="X23" s="8">
        <v>0</v>
      </c>
      <c r="Y23" s="8">
        <v>0</v>
      </c>
      <c r="Z23" s="4">
        <f>IF(Cracow_result[[#This Row],[All Around]]="Yes",SUM(H23,K23,N23,Q23,T23,W23),0)</f>
        <v>0</v>
      </c>
      <c r="AA23" s="7">
        <f>IF(Cracow_result[[#This Row],[All Around]]="Yes",SUM(I23,L23,O23,R23,U23,X23),0)</f>
        <v>0</v>
      </c>
      <c r="AB23" s="7">
        <v>21.85</v>
      </c>
      <c r="AD23" s="34" t="s">
        <v>301</v>
      </c>
      <c r="AF23" s="40" t="s">
        <v>317</v>
      </c>
      <c r="AG23">
        <v>28</v>
      </c>
      <c r="AH23">
        <v>6</v>
      </c>
      <c r="AI23">
        <v>34</v>
      </c>
      <c r="AN23" t="s">
        <v>59</v>
      </c>
      <c r="AO23" t="s">
        <v>60</v>
      </c>
      <c r="AP23">
        <v>2002</v>
      </c>
      <c r="AQ23" t="s">
        <v>62</v>
      </c>
      <c r="AR23" t="s">
        <v>351</v>
      </c>
      <c r="AS23" t="s">
        <v>306</v>
      </c>
      <c r="AT23" t="s">
        <v>218</v>
      </c>
      <c r="AU23" t="s">
        <v>310</v>
      </c>
      <c r="AV23">
        <v>5.3</v>
      </c>
    </row>
    <row r="24" spans="1:48" x14ac:dyDescent="0.25">
      <c r="A24" s="2">
        <v>23</v>
      </c>
      <c r="B24" t="s">
        <v>108</v>
      </c>
      <c r="C24" s="2" t="s">
        <v>60</v>
      </c>
      <c r="D24" s="2">
        <v>2000</v>
      </c>
      <c r="E24" s="2" t="s">
        <v>109</v>
      </c>
      <c r="F24" t="s">
        <v>62</v>
      </c>
      <c r="G24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4" s="4">
        <v>3.5</v>
      </c>
      <c r="I24" s="7">
        <v>7.45</v>
      </c>
      <c r="J24" s="7">
        <v>10.95</v>
      </c>
      <c r="K24" s="4">
        <v>0</v>
      </c>
      <c r="L24" s="7">
        <v>0</v>
      </c>
      <c r="M24" s="7">
        <v>0</v>
      </c>
      <c r="N24" s="4">
        <v>2.9</v>
      </c>
      <c r="O24" s="7">
        <v>5.75</v>
      </c>
      <c r="P24" s="7">
        <v>8.65</v>
      </c>
      <c r="Q24" s="4">
        <v>0</v>
      </c>
      <c r="R24" s="7">
        <v>0</v>
      </c>
      <c r="S24" s="7">
        <v>0</v>
      </c>
      <c r="T24" s="4">
        <v>0</v>
      </c>
      <c r="U24" s="7">
        <v>0</v>
      </c>
      <c r="V24" s="7">
        <v>0</v>
      </c>
      <c r="W24" s="4">
        <v>0</v>
      </c>
      <c r="X24" s="7">
        <v>0</v>
      </c>
      <c r="Y24" s="7">
        <v>0</v>
      </c>
      <c r="Z24" s="4">
        <f>IF(Cracow_result[[#This Row],[All Around]]="Yes",SUM(H24,K24,N24,Q24,T24,W24),0)</f>
        <v>0</v>
      </c>
      <c r="AA24" s="7">
        <f>IF(Cracow_result[[#This Row],[All Around]]="Yes",SUM(I24,L24,O24,R24,U24,X24),0)</f>
        <v>0</v>
      </c>
      <c r="AB24" s="7">
        <v>19.600000000000001</v>
      </c>
      <c r="AD24" s="37" t="s">
        <v>304</v>
      </c>
      <c r="AF24" s="40" t="s">
        <v>320</v>
      </c>
      <c r="AG24">
        <v>14</v>
      </c>
      <c r="AH24">
        <v>15</v>
      </c>
      <c r="AI24">
        <v>29</v>
      </c>
      <c r="AN24" t="s">
        <v>59</v>
      </c>
      <c r="AO24" t="s">
        <v>60</v>
      </c>
      <c r="AP24">
        <v>2002</v>
      </c>
      <c r="AQ24" t="s">
        <v>62</v>
      </c>
      <c r="AR24" t="s">
        <v>351</v>
      </c>
      <c r="AS24" t="s">
        <v>306</v>
      </c>
      <c r="AT24" t="s">
        <v>218</v>
      </c>
      <c r="AU24" t="s">
        <v>311</v>
      </c>
      <c r="AV24">
        <v>7.25</v>
      </c>
    </row>
    <row r="25" spans="1:48" x14ac:dyDescent="0.25">
      <c r="A25" s="2">
        <v>24</v>
      </c>
      <c r="B25" t="s">
        <v>110</v>
      </c>
      <c r="C25" s="2" t="s">
        <v>60</v>
      </c>
      <c r="D25" s="2">
        <v>2004</v>
      </c>
      <c r="E25" s="2" t="s">
        <v>111</v>
      </c>
      <c r="F25" t="s">
        <v>36</v>
      </c>
      <c r="G25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25" s="4">
        <v>0</v>
      </c>
      <c r="I25" s="7">
        <v>0</v>
      </c>
      <c r="J25" s="7">
        <v>0</v>
      </c>
      <c r="K25" s="4">
        <v>3.5</v>
      </c>
      <c r="L25" s="7">
        <v>5.6</v>
      </c>
      <c r="M25" s="7">
        <v>9.1</v>
      </c>
      <c r="N25" s="4">
        <v>0</v>
      </c>
      <c r="O25" s="7">
        <v>0</v>
      </c>
      <c r="P25" s="7">
        <v>0</v>
      </c>
      <c r="Q25" s="4">
        <v>0</v>
      </c>
      <c r="R25" s="7">
        <v>0</v>
      </c>
      <c r="S25" s="7">
        <v>0</v>
      </c>
      <c r="T25" s="4">
        <v>0</v>
      </c>
      <c r="U25" s="7">
        <v>0</v>
      </c>
      <c r="V25" s="7">
        <v>0</v>
      </c>
      <c r="W25" s="4">
        <v>0</v>
      </c>
      <c r="X25" s="7">
        <v>0</v>
      </c>
      <c r="Y25" s="7">
        <v>0</v>
      </c>
      <c r="Z25" s="4">
        <f>IF(Cracow_result[[#This Row],[All Around]]="Yes",SUM(H25,K25,N25,Q25,T25,W25),0)</f>
        <v>0</v>
      </c>
      <c r="AA25" s="7">
        <f>IF(Cracow_result[[#This Row],[All Around]]="Yes",SUM(I25,L25,O25,R25,U25,X25),0)</f>
        <v>0</v>
      </c>
      <c r="AB25" s="7">
        <v>9.1</v>
      </c>
      <c r="AD25" s="35" t="s">
        <v>302</v>
      </c>
      <c r="AF25" s="40" t="s">
        <v>321</v>
      </c>
      <c r="AG25">
        <v>21</v>
      </c>
      <c r="AH25">
        <v>13</v>
      </c>
      <c r="AI25">
        <v>34</v>
      </c>
      <c r="AN25" t="s">
        <v>59</v>
      </c>
      <c r="AO25" t="s">
        <v>60</v>
      </c>
      <c r="AP25">
        <v>2002</v>
      </c>
      <c r="AQ25" t="s">
        <v>62</v>
      </c>
      <c r="AR25" t="s">
        <v>351</v>
      </c>
      <c r="AS25" t="s">
        <v>306</v>
      </c>
      <c r="AT25" t="s">
        <v>218</v>
      </c>
      <c r="AU25" t="s">
        <v>268</v>
      </c>
      <c r="AV25">
        <v>12.55</v>
      </c>
    </row>
    <row r="26" spans="1:48" x14ac:dyDescent="0.25">
      <c r="A26" s="2">
        <v>1</v>
      </c>
      <c r="B26" t="s">
        <v>25</v>
      </c>
      <c r="C26" s="2" t="s">
        <v>26</v>
      </c>
      <c r="D26" s="2">
        <v>2008</v>
      </c>
      <c r="E26" s="2" t="s">
        <v>27</v>
      </c>
      <c r="F26" t="s">
        <v>28</v>
      </c>
      <c r="G26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26" s="5">
        <v>4</v>
      </c>
      <c r="I26" s="8">
        <v>8.4499999999999993</v>
      </c>
      <c r="J26" s="8">
        <v>12.45</v>
      </c>
      <c r="K26" s="5">
        <v>3.8</v>
      </c>
      <c r="L26" s="8">
        <v>8.5500000000000007</v>
      </c>
      <c r="M26" s="8">
        <v>12.35</v>
      </c>
      <c r="N26" s="5">
        <v>2.8</v>
      </c>
      <c r="O26" s="8">
        <v>8.4</v>
      </c>
      <c r="P26" s="8">
        <v>11.2</v>
      </c>
      <c r="Q26" s="5">
        <v>2.2000000000000002</v>
      </c>
      <c r="R26" s="8">
        <v>9.0500000000000007</v>
      </c>
      <c r="S26" s="8">
        <v>11.25</v>
      </c>
      <c r="T26" s="5">
        <v>4.2</v>
      </c>
      <c r="U26" s="8">
        <v>8.6</v>
      </c>
      <c r="V26" s="8">
        <v>12.8</v>
      </c>
      <c r="W26" s="5">
        <v>2.7</v>
      </c>
      <c r="X26" s="8">
        <v>9.4499999999999993</v>
      </c>
      <c r="Y26" s="8">
        <v>12.15</v>
      </c>
      <c r="Z26" s="4">
        <f>IF(Cracow_result[[#This Row],[All Around]]="Yes",SUM(H26,K26,N26,Q26,T26,W26),0)</f>
        <v>19.7</v>
      </c>
      <c r="AA26" s="7">
        <f>IF(Cracow_result[[#This Row],[All Around]]="Yes",SUM(I26,L26,O26,R26,U26,X26),0)</f>
        <v>52.5</v>
      </c>
      <c r="AB26" s="7">
        <v>72.2</v>
      </c>
      <c r="AD26" s="36" t="s">
        <v>303</v>
      </c>
      <c r="AF26" s="40" t="s">
        <v>322</v>
      </c>
      <c r="AG26">
        <v>11</v>
      </c>
      <c r="AH26">
        <v>35</v>
      </c>
      <c r="AI26">
        <v>46</v>
      </c>
      <c r="AN26" t="s">
        <v>59</v>
      </c>
      <c r="AO26" t="s">
        <v>60</v>
      </c>
      <c r="AP26">
        <v>2002</v>
      </c>
      <c r="AQ26" t="s">
        <v>62</v>
      </c>
      <c r="AR26" t="s">
        <v>351</v>
      </c>
      <c r="AS26" t="s">
        <v>306</v>
      </c>
      <c r="AT26" t="s">
        <v>238</v>
      </c>
      <c r="AU26" t="s">
        <v>310</v>
      </c>
      <c r="AV26">
        <v>5.2</v>
      </c>
    </row>
    <row r="27" spans="1:48" x14ac:dyDescent="0.25">
      <c r="A27" s="2">
        <v>2</v>
      </c>
      <c r="B27" t="s">
        <v>34</v>
      </c>
      <c r="C27" s="2" t="s">
        <v>26</v>
      </c>
      <c r="D27" s="2">
        <v>2006</v>
      </c>
      <c r="E27" s="2" t="s">
        <v>35</v>
      </c>
      <c r="F27" t="s">
        <v>36</v>
      </c>
      <c r="G27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27" s="5">
        <v>3.6</v>
      </c>
      <c r="I27" s="8">
        <v>8.25</v>
      </c>
      <c r="J27" s="8">
        <v>11.85</v>
      </c>
      <c r="K27" s="5">
        <v>3.6</v>
      </c>
      <c r="L27" s="8">
        <v>8.4</v>
      </c>
      <c r="M27" s="8">
        <v>12</v>
      </c>
      <c r="N27" s="5">
        <v>3.7</v>
      </c>
      <c r="O27" s="8">
        <v>7.45</v>
      </c>
      <c r="P27" s="8">
        <v>11.15</v>
      </c>
      <c r="Q27" s="5">
        <v>3.2</v>
      </c>
      <c r="R27" s="8">
        <v>8.6999999999999993</v>
      </c>
      <c r="S27" s="8">
        <v>11.9</v>
      </c>
      <c r="T27" s="5">
        <v>3.7</v>
      </c>
      <c r="U27" s="8">
        <v>8</v>
      </c>
      <c r="V27" s="8">
        <v>11.7</v>
      </c>
      <c r="W27" s="5">
        <v>3.4</v>
      </c>
      <c r="X27" s="8">
        <v>8.6</v>
      </c>
      <c r="Y27" s="8">
        <v>12</v>
      </c>
      <c r="Z27" s="4">
        <f>IF(Cracow_result[[#This Row],[All Around]]="Yes",SUM(H27,K27,N27,Q27,T27,W27),0)</f>
        <v>21.2</v>
      </c>
      <c r="AA27" s="7">
        <f>IF(Cracow_result[[#This Row],[All Around]]="Yes",SUM(I27,L27,O27,R27,U27,X27),0)</f>
        <v>49.4</v>
      </c>
      <c r="AB27" s="7">
        <v>70.599999999999994</v>
      </c>
      <c r="AF27" s="40" t="s">
        <v>323</v>
      </c>
      <c r="AG27">
        <v>2</v>
      </c>
      <c r="AH27">
        <v>23</v>
      </c>
      <c r="AI27">
        <v>25</v>
      </c>
      <c r="AN27" t="s">
        <v>59</v>
      </c>
      <c r="AO27" t="s">
        <v>60</v>
      </c>
      <c r="AP27">
        <v>2002</v>
      </c>
      <c r="AQ27" t="s">
        <v>62</v>
      </c>
      <c r="AR27" t="s">
        <v>351</v>
      </c>
      <c r="AS27" t="s">
        <v>306</v>
      </c>
      <c r="AT27" t="s">
        <v>238</v>
      </c>
      <c r="AU27" t="s">
        <v>311</v>
      </c>
      <c r="AV27">
        <v>7.7</v>
      </c>
    </row>
    <row r="28" spans="1:48" x14ac:dyDescent="0.25">
      <c r="A28" s="2">
        <v>3</v>
      </c>
      <c r="B28" t="s">
        <v>40</v>
      </c>
      <c r="C28" s="2" t="s">
        <v>26</v>
      </c>
      <c r="D28" s="2">
        <v>2007</v>
      </c>
      <c r="E28" s="2" t="s">
        <v>41</v>
      </c>
      <c r="F28" t="s">
        <v>39</v>
      </c>
      <c r="G28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28" s="5">
        <v>3.4</v>
      </c>
      <c r="I28" s="8">
        <v>7.95</v>
      </c>
      <c r="J28" s="8">
        <v>11.35</v>
      </c>
      <c r="K28" s="5">
        <v>2.9</v>
      </c>
      <c r="L28" s="8">
        <v>8.15</v>
      </c>
      <c r="M28" s="8">
        <v>11.05</v>
      </c>
      <c r="N28" s="5">
        <v>3.4</v>
      </c>
      <c r="O28" s="8">
        <v>7.9</v>
      </c>
      <c r="P28" s="8">
        <v>11.3</v>
      </c>
      <c r="Q28" s="5">
        <v>4</v>
      </c>
      <c r="R28" s="8">
        <v>8.8000000000000007</v>
      </c>
      <c r="S28" s="8">
        <v>12.8</v>
      </c>
      <c r="T28" s="5">
        <v>3</v>
      </c>
      <c r="U28" s="8">
        <v>8.1</v>
      </c>
      <c r="V28" s="8">
        <v>11.1</v>
      </c>
      <c r="W28" s="5">
        <v>2.6</v>
      </c>
      <c r="X28" s="8">
        <v>7.65</v>
      </c>
      <c r="Y28" s="8">
        <v>10.25</v>
      </c>
      <c r="Z28" s="4">
        <f>IF(Cracow_result[[#This Row],[All Around]]="Yes",SUM(H28,K28,N28,Q28,T28,W28),0)</f>
        <v>19.3</v>
      </c>
      <c r="AA28" s="7">
        <f>IF(Cracow_result[[#This Row],[All Around]]="Yes",SUM(I28,L28,O28,R28,U28,X28),0)</f>
        <v>48.55</v>
      </c>
      <c r="AB28" s="7">
        <v>67.849999999999994</v>
      </c>
      <c r="AF28" s="40" t="s">
        <v>324</v>
      </c>
      <c r="AH28">
        <v>7</v>
      </c>
      <c r="AI28">
        <v>7</v>
      </c>
      <c r="AN28" t="s">
        <v>59</v>
      </c>
      <c r="AO28" t="s">
        <v>60</v>
      </c>
      <c r="AP28">
        <v>2002</v>
      </c>
      <c r="AQ28" t="s">
        <v>62</v>
      </c>
      <c r="AR28" t="s">
        <v>351</v>
      </c>
      <c r="AS28" t="s">
        <v>306</v>
      </c>
      <c r="AT28" t="s">
        <v>238</v>
      </c>
      <c r="AU28" t="s">
        <v>268</v>
      </c>
      <c r="AV28">
        <v>12.9</v>
      </c>
    </row>
    <row r="29" spans="1:48" x14ac:dyDescent="0.25">
      <c r="A29" s="2">
        <v>4</v>
      </c>
      <c r="B29" t="s">
        <v>32</v>
      </c>
      <c r="C29" s="2" t="s">
        <v>26</v>
      </c>
      <c r="D29" s="2">
        <v>2005</v>
      </c>
      <c r="E29" s="2" t="s">
        <v>33</v>
      </c>
      <c r="F29" t="s">
        <v>31</v>
      </c>
      <c r="G29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29" s="5">
        <v>4.2</v>
      </c>
      <c r="I29" s="8">
        <v>8.3000000000000007</v>
      </c>
      <c r="J29" s="8">
        <v>12.5</v>
      </c>
      <c r="K29" s="5">
        <v>3.4</v>
      </c>
      <c r="L29" s="8">
        <v>7.95</v>
      </c>
      <c r="M29" s="8">
        <v>11.35</v>
      </c>
      <c r="N29" s="5">
        <v>3.3</v>
      </c>
      <c r="O29" s="8">
        <v>6.95</v>
      </c>
      <c r="P29" s="8">
        <v>10.25</v>
      </c>
      <c r="Q29" s="5">
        <v>3.2</v>
      </c>
      <c r="R29" s="8">
        <v>9.1999999999999993</v>
      </c>
      <c r="S29" s="8">
        <v>12.4</v>
      </c>
      <c r="T29" s="5">
        <v>3.2</v>
      </c>
      <c r="U29" s="8">
        <v>8.8000000000000007</v>
      </c>
      <c r="V29" s="8">
        <v>12</v>
      </c>
      <c r="W29" s="5">
        <v>3.1</v>
      </c>
      <c r="X29" s="8">
        <v>4.7</v>
      </c>
      <c r="Y29" s="8">
        <v>7.8</v>
      </c>
      <c r="Z29" s="4">
        <f>IF(Cracow_result[[#This Row],[All Around]]="Yes",SUM(H29,K29,N29,Q29,T29,W29),0)</f>
        <v>20.399999999999999</v>
      </c>
      <c r="AA29" s="7">
        <f>IF(Cracow_result[[#This Row],[All Around]]="Yes",SUM(I29,L29,O29,R29,U29,X29),0)</f>
        <v>45.900000000000006</v>
      </c>
      <c r="AB29" s="7">
        <v>66.3</v>
      </c>
      <c r="AF29" s="40" t="s">
        <v>325</v>
      </c>
      <c r="AH29">
        <v>7</v>
      </c>
      <c r="AI29">
        <v>7</v>
      </c>
      <c r="AN29" t="s">
        <v>59</v>
      </c>
      <c r="AO29" t="s">
        <v>60</v>
      </c>
      <c r="AP29">
        <v>2002</v>
      </c>
      <c r="AQ29" t="s">
        <v>62</v>
      </c>
      <c r="AR29" t="s">
        <v>351</v>
      </c>
      <c r="AS29" t="s">
        <v>306</v>
      </c>
      <c r="AT29" t="s">
        <v>239</v>
      </c>
      <c r="AU29" t="s">
        <v>310</v>
      </c>
      <c r="AV29">
        <v>4.0999999999999996</v>
      </c>
    </row>
    <row r="30" spans="1:48" x14ac:dyDescent="0.25">
      <c r="A30" s="2">
        <v>5</v>
      </c>
      <c r="B30" t="s">
        <v>44</v>
      </c>
      <c r="C30" s="2" t="s">
        <v>26</v>
      </c>
      <c r="D30" s="2">
        <v>2007</v>
      </c>
      <c r="E30" s="2" t="s">
        <v>45</v>
      </c>
      <c r="F30" t="s">
        <v>39</v>
      </c>
      <c r="G30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0" s="5">
        <v>3.4</v>
      </c>
      <c r="I30" s="8">
        <v>8.0500000000000007</v>
      </c>
      <c r="J30" s="8">
        <v>11.45</v>
      </c>
      <c r="K30" s="5">
        <v>3</v>
      </c>
      <c r="L30" s="8">
        <v>5.75</v>
      </c>
      <c r="M30" s="8">
        <v>8.75</v>
      </c>
      <c r="N30" s="5">
        <v>2.2999999999999998</v>
      </c>
      <c r="O30" s="8">
        <v>7.9</v>
      </c>
      <c r="P30" s="8">
        <v>10.199999999999999</v>
      </c>
      <c r="Q30" s="5">
        <v>2.8</v>
      </c>
      <c r="R30" s="8">
        <v>8.75</v>
      </c>
      <c r="S30" s="8">
        <v>11.55</v>
      </c>
      <c r="T30" s="5">
        <v>3</v>
      </c>
      <c r="U30" s="8">
        <v>8.9</v>
      </c>
      <c r="V30" s="8">
        <v>11.9</v>
      </c>
      <c r="W30" s="5">
        <v>2.7</v>
      </c>
      <c r="X30" s="8">
        <v>8.15</v>
      </c>
      <c r="Y30" s="8">
        <v>10.85</v>
      </c>
      <c r="Z30" s="4">
        <f>IF(Cracow_result[[#This Row],[All Around]]="Yes",SUM(H30,K30,N30,Q30,T30,W30),0)</f>
        <v>17.2</v>
      </c>
      <c r="AA30" s="7">
        <f>IF(Cracow_result[[#This Row],[All Around]]="Yes",SUM(I30,L30,O30,R30,U30,X30),0)</f>
        <v>47.5</v>
      </c>
      <c r="AB30" s="7">
        <v>64.7</v>
      </c>
      <c r="AF30" s="40" t="s">
        <v>326</v>
      </c>
      <c r="AH30">
        <v>1</v>
      </c>
      <c r="AI30">
        <v>1</v>
      </c>
      <c r="AN30" t="s">
        <v>59</v>
      </c>
      <c r="AO30" t="s">
        <v>60</v>
      </c>
      <c r="AP30">
        <v>2002</v>
      </c>
      <c r="AQ30" t="s">
        <v>62</v>
      </c>
      <c r="AR30" t="s">
        <v>351</v>
      </c>
      <c r="AS30" t="s">
        <v>306</v>
      </c>
      <c r="AT30" t="s">
        <v>239</v>
      </c>
      <c r="AU30" t="s">
        <v>311</v>
      </c>
      <c r="AV30">
        <v>8.1</v>
      </c>
    </row>
    <row r="31" spans="1:48" x14ac:dyDescent="0.25">
      <c r="A31" s="2">
        <v>6</v>
      </c>
      <c r="B31" t="s">
        <v>42</v>
      </c>
      <c r="C31" s="2" t="s">
        <v>26</v>
      </c>
      <c r="D31" s="2">
        <v>2007</v>
      </c>
      <c r="E31" s="2" t="s">
        <v>43</v>
      </c>
      <c r="F31" t="s">
        <v>36</v>
      </c>
      <c r="G31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1" s="5">
        <v>3.8</v>
      </c>
      <c r="I31" s="8">
        <v>7.1</v>
      </c>
      <c r="J31" s="8">
        <v>10.9</v>
      </c>
      <c r="K31" s="5">
        <v>2.6</v>
      </c>
      <c r="L31" s="8">
        <v>7.65</v>
      </c>
      <c r="M31" s="8">
        <v>10.25</v>
      </c>
      <c r="N31" s="5">
        <v>2.4</v>
      </c>
      <c r="O31" s="8">
        <v>8.0500000000000007</v>
      </c>
      <c r="P31" s="8">
        <v>10.45</v>
      </c>
      <c r="Q31" s="5">
        <v>2.8</v>
      </c>
      <c r="R31" s="8">
        <v>9.1999999999999993</v>
      </c>
      <c r="S31" s="8">
        <v>12</v>
      </c>
      <c r="T31" s="5">
        <v>3.1</v>
      </c>
      <c r="U31" s="8">
        <v>7.1</v>
      </c>
      <c r="V31" s="8">
        <v>10.199999999999999</v>
      </c>
      <c r="W31" s="5">
        <v>1.8</v>
      </c>
      <c r="X31" s="8">
        <v>8.4</v>
      </c>
      <c r="Y31" s="8">
        <v>10.199999999999999</v>
      </c>
      <c r="Z31" s="4">
        <f>IF(Cracow_result[[#This Row],[All Around]]="Yes",SUM(H31,K31,N31,Q31,T31,W31),0)</f>
        <v>16.5</v>
      </c>
      <c r="AA31" s="7">
        <f>IF(Cracow_result[[#This Row],[All Around]]="Yes",SUM(I31,L31,O31,R31,U31,X31),0)</f>
        <v>47.5</v>
      </c>
      <c r="AB31" s="7">
        <v>64</v>
      </c>
      <c r="AF31" s="39" t="s">
        <v>312</v>
      </c>
      <c r="AG31">
        <v>76</v>
      </c>
      <c r="AH31">
        <v>107</v>
      </c>
      <c r="AI31">
        <v>183</v>
      </c>
      <c r="AN31" t="s">
        <v>59</v>
      </c>
      <c r="AO31" t="s">
        <v>60</v>
      </c>
      <c r="AP31">
        <v>2002</v>
      </c>
      <c r="AQ31" t="s">
        <v>62</v>
      </c>
      <c r="AR31" t="s">
        <v>351</v>
      </c>
      <c r="AS31" t="s">
        <v>306</v>
      </c>
      <c r="AT31" t="s">
        <v>239</v>
      </c>
      <c r="AU31" t="s">
        <v>268</v>
      </c>
      <c r="AV31">
        <v>12.2</v>
      </c>
    </row>
    <row r="32" spans="1:48" x14ac:dyDescent="0.25">
      <c r="A32" s="2">
        <v>7</v>
      </c>
      <c r="B32" t="s">
        <v>37</v>
      </c>
      <c r="C32" s="2" t="s">
        <v>26</v>
      </c>
      <c r="D32" s="2">
        <v>2006</v>
      </c>
      <c r="E32" s="2" t="s">
        <v>38</v>
      </c>
      <c r="F32" t="s">
        <v>39</v>
      </c>
      <c r="G32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2" s="5">
        <v>3.3</v>
      </c>
      <c r="I32" s="8">
        <v>7.25</v>
      </c>
      <c r="J32" s="8">
        <v>10.55</v>
      </c>
      <c r="K32" s="5">
        <v>3.6</v>
      </c>
      <c r="L32" s="8">
        <v>7.45</v>
      </c>
      <c r="M32" s="8">
        <v>11.05</v>
      </c>
      <c r="N32" s="5">
        <v>2.2999999999999998</v>
      </c>
      <c r="O32" s="8">
        <v>6.85</v>
      </c>
      <c r="P32" s="8">
        <v>9.15</v>
      </c>
      <c r="Q32" s="5">
        <v>2.4</v>
      </c>
      <c r="R32" s="8">
        <v>8.3000000000000007</v>
      </c>
      <c r="S32" s="8">
        <v>10.7</v>
      </c>
      <c r="T32" s="5">
        <v>3.1</v>
      </c>
      <c r="U32" s="8">
        <v>8.4</v>
      </c>
      <c r="V32" s="8">
        <v>11.5</v>
      </c>
      <c r="W32" s="5">
        <v>3.1</v>
      </c>
      <c r="X32" s="8">
        <v>7.65</v>
      </c>
      <c r="Y32" s="8">
        <v>10.75</v>
      </c>
      <c r="Z32" s="4">
        <f>IF(Cracow_result[[#This Row],[All Around]]="Yes",SUM(H32,K32,N32,Q32,T32,W32),0)</f>
        <v>17.8</v>
      </c>
      <c r="AA32" s="7">
        <f>IF(Cracow_result[[#This Row],[All Around]]="Yes",SUM(I32,L32,O32,R32,U32,X32),0)</f>
        <v>45.9</v>
      </c>
      <c r="AB32" s="7">
        <v>63.7</v>
      </c>
      <c r="AN32" t="s">
        <v>59</v>
      </c>
      <c r="AO32" t="s">
        <v>60</v>
      </c>
      <c r="AP32">
        <v>2002</v>
      </c>
      <c r="AQ32" t="s">
        <v>62</v>
      </c>
      <c r="AR32" t="s">
        <v>351</v>
      </c>
      <c r="AS32" t="s">
        <v>306</v>
      </c>
      <c r="AT32" t="s">
        <v>240</v>
      </c>
      <c r="AU32" t="s">
        <v>310</v>
      </c>
      <c r="AV32">
        <v>4.4000000000000004</v>
      </c>
    </row>
    <row r="33" spans="1:48" x14ac:dyDescent="0.25">
      <c r="A33" s="2">
        <v>8</v>
      </c>
      <c r="B33" t="s">
        <v>48</v>
      </c>
      <c r="C33" s="2" t="s">
        <v>26</v>
      </c>
      <c r="D33" s="2">
        <v>2006</v>
      </c>
      <c r="E33" s="2" t="s">
        <v>49</v>
      </c>
      <c r="F33" t="s">
        <v>36</v>
      </c>
      <c r="G33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3" s="5">
        <v>3.5</v>
      </c>
      <c r="I33" s="8">
        <v>7.65</v>
      </c>
      <c r="J33" s="8">
        <v>11.15</v>
      </c>
      <c r="K33" s="5">
        <v>2.2000000000000002</v>
      </c>
      <c r="L33" s="8">
        <v>4.95</v>
      </c>
      <c r="M33" s="8">
        <v>7.15</v>
      </c>
      <c r="N33" s="5">
        <v>2.5</v>
      </c>
      <c r="O33" s="8">
        <v>6.65</v>
      </c>
      <c r="P33" s="8">
        <v>9.15</v>
      </c>
      <c r="Q33" s="5">
        <v>2.4</v>
      </c>
      <c r="R33" s="8">
        <v>8.85</v>
      </c>
      <c r="S33" s="8">
        <v>11.25</v>
      </c>
      <c r="T33" s="5">
        <v>3.1</v>
      </c>
      <c r="U33" s="8">
        <v>7.45</v>
      </c>
      <c r="V33" s="8">
        <v>10.55</v>
      </c>
      <c r="W33" s="5">
        <v>1.9</v>
      </c>
      <c r="X33" s="8">
        <v>8.6</v>
      </c>
      <c r="Y33" s="8">
        <v>10.5</v>
      </c>
      <c r="Z33" s="4">
        <f>IF(Cracow_result[[#This Row],[All Around]]="Yes",SUM(H33,K33,N33,Q33,T33,W33),0)</f>
        <v>15.6</v>
      </c>
      <c r="AA33" s="7">
        <f>IF(Cracow_result[[#This Row],[All Around]]="Yes",SUM(I33,L33,O33,R33,U33,X33),0)</f>
        <v>44.150000000000006</v>
      </c>
      <c r="AB33" s="7">
        <v>59.75</v>
      </c>
      <c r="AN33" t="s">
        <v>59</v>
      </c>
      <c r="AO33" t="s">
        <v>60</v>
      </c>
      <c r="AP33">
        <v>2002</v>
      </c>
      <c r="AQ33" t="s">
        <v>62</v>
      </c>
      <c r="AR33" t="s">
        <v>351</v>
      </c>
      <c r="AS33" t="s">
        <v>306</v>
      </c>
      <c r="AT33" t="s">
        <v>240</v>
      </c>
      <c r="AU33" t="s">
        <v>311</v>
      </c>
      <c r="AV33">
        <v>9.15</v>
      </c>
    </row>
    <row r="34" spans="1:48" x14ac:dyDescent="0.25">
      <c r="A34" s="2">
        <v>9</v>
      </c>
      <c r="B34" t="s">
        <v>46</v>
      </c>
      <c r="C34" s="2" t="s">
        <v>26</v>
      </c>
      <c r="D34" s="2">
        <v>2006</v>
      </c>
      <c r="E34" s="2" t="s">
        <v>47</v>
      </c>
      <c r="F34" t="s">
        <v>36</v>
      </c>
      <c r="G34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Yes</v>
      </c>
      <c r="H34" s="5">
        <v>3.1</v>
      </c>
      <c r="I34" s="8">
        <v>7.7</v>
      </c>
      <c r="J34" s="8">
        <v>10.8</v>
      </c>
      <c r="K34" s="5">
        <v>2.2000000000000002</v>
      </c>
      <c r="L34" s="8">
        <v>2.75</v>
      </c>
      <c r="M34" s="8">
        <v>4.95</v>
      </c>
      <c r="N34" s="5">
        <v>2.1</v>
      </c>
      <c r="O34" s="8">
        <v>6.65</v>
      </c>
      <c r="P34" s="8">
        <v>8.75</v>
      </c>
      <c r="Q34" s="5">
        <v>1.6</v>
      </c>
      <c r="R34" s="8">
        <v>9</v>
      </c>
      <c r="S34" s="8">
        <v>10.6</v>
      </c>
      <c r="T34" s="5">
        <v>3.1</v>
      </c>
      <c r="U34" s="8">
        <v>8.6</v>
      </c>
      <c r="V34" s="8">
        <v>11.7</v>
      </c>
      <c r="W34" s="5">
        <v>1.9</v>
      </c>
      <c r="X34" s="8">
        <v>7.75</v>
      </c>
      <c r="Y34" s="8">
        <v>9.65</v>
      </c>
      <c r="Z34" s="4">
        <f>IF(Cracow_result[[#This Row],[All Around]]="Yes",SUM(H34,K34,N34,Q34,T34,W34),0)</f>
        <v>14</v>
      </c>
      <c r="AA34" s="7">
        <f>IF(Cracow_result[[#This Row],[All Around]]="Yes",SUM(I34,L34,O34,R34,U34,X34),0)</f>
        <v>42.45</v>
      </c>
      <c r="AB34" s="7">
        <v>56.45</v>
      </c>
      <c r="AN34" t="s">
        <v>59</v>
      </c>
      <c r="AO34" t="s">
        <v>60</v>
      </c>
      <c r="AP34">
        <v>2002</v>
      </c>
      <c r="AQ34" t="s">
        <v>62</v>
      </c>
      <c r="AR34" t="s">
        <v>351</v>
      </c>
      <c r="AS34" t="s">
        <v>306</v>
      </c>
      <c r="AT34" t="s">
        <v>240</v>
      </c>
      <c r="AU34" t="s">
        <v>268</v>
      </c>
      <c r="AV34">
        <v>13.55</v>
      </c>
    </row>
    <row r="35" spans="1:48" x14ac:dyDescent="0.25">
      <c r="A35" s="2">
        <v>10</v>
      </c>
      <c r="B35" t="s">
        <v>114</v>
      </c>
      <c r="C35" s="2" t="s">
        <v>26</v>
      </c>
      <c r="D35" s="2">
        <v>2006</v>
      </c>
      <c r="E35" s="2" t="s">
        <v>115</v>
      </c>
      <c r="F35" t="s">
        <v>36</v>
      </c>
      <c r="G35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35" s="5">
        <v>0</v>
      </c>
      <c r="I35" s="8">
        <v>0</v>
      </c>
      <c r="J35" s="8">
        <v>0</v>
      </c>
      <c r="K35" s="5">
        <v>2.6</v>
      </c>
      <c r="L35" s="8">
        <v>7.65</v>
      </c>
      <c r="M35" s="8">
        <v>10.25</v>
      </c>
      <c r="N35" s="5">
        <v>1.7</v>
      </c>
      <c r="O35" s="8">
        <v>7.85</v>
      </c>
      <c r="P35" s="8">
        <v>9.5500000000000007</v>
      </c>
      <c r="Q35" s="5">
        <v>1.6</v>
      </c>
      <c r="R35" s="8">
        <v>8.8000000000000007</v>
      </c>
      <c r="S35" s="8">
        <v>10.4</v>
      </c>
      <c r="T35" s="5">
        <v>2.4</v>
      </c>
      <c r="U35" s="8">
        <v>8</v>
      </c>
      <c r="V35" s="8">
        <v>10.4</v>
      </c>
      <c r="W35" s="5">
        <v>1.8</v>
      </c>
      <c r="X35" s="8">
        <v>8.8000000000000007</v>
      </c>
      <c r="Y35" s="8">
        <v>10.6</v>
      </c>
      <c r="Z35" s="4">
        <f>IF(Cracow_result[[#This Row],[All Around]]="Yes",SUM(H35,K35,N35,Q35,T35,W35),0)</f>
        <v>0</v>
      </c>
      <c r="AA35" s="7">
        <f>IF(Cracow_result[[#This Row],[All Around]]="Yes",SUM(I35,L35,O35,R35,U35,X35),0)</f>
        <v>0</v>
      </c>
      <c r="AB35" s="7">
        <v>51.2</v>
      </c>
      <c r="AN35" t="s">
        <v>59</v>
      </c>
      <c r="AO35" t="s">
        <v>60</v>
      </c>
      <c r="AP35">
        <v>2002</v>
      </c>
      <c r="AQ35" t="s">
        <v>62</v>
      </c>
      <c r="AR35" t="s">
        <v>351</v>
      </c>
      <c r="AS35" t="s">
        <v>306</v>
      </c>
      <c r="AT35" t="s">
        <v>316</v>
      </c>
      <c r="AU35" t="s">
        <v>310</v>
      </c>
      <c r="AV35">
        <v>5.3</v>
      </c>
    </row>
    <row r="36" spans="1:48" x14ac:dyDescent="0.25">
      <c r="A36" s="2">
        <v>11</v>
      </c>
      <c r="B36" t="s">
        <v>120</v>
      </c>
      <c r="C36" s="2" t="s">
        <v>26</v>
      </c>
      <c r="D36" s="2">
        <v>2006</v>
      </c>
      <c r="E36" s="2" t="s">
        <v>121</v>
      </c>
      <c r="F36" t="s">
        <v>39</v>
      </c>
      <c r="G36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36" s="5">
        <v>2.6</v>
      </c>
      <c r="I36" s="8">
        <v>7.8</v>
      </c>
      <c r="J36" s="8">
        <v>10.4</v>
      </c>
      <c r="K36" s="5">
        <v>2.4</v>
      </c>
      <c r="L36" s="8">
        <v>5.7</v>
      </c>
      <c r="M36" s="8">
        <v>8.1</v>
      </c>
      <c r="N36" s="5">
        <v>1.8</v>
      </c>
      <c r="O36" s="8">
        <v>6.8</v>
      </c>
      <c r="P36" s="8">
        <v>8.6</v>
      </c>
      <c r="Q36" s="5">
        <v>2.4</v>
      </c>
      <c r="R36" s="8">
        <v>7.8</v>
      </c>
      <c r="S36" s="8">
        <v>10.199999999999999</v>
      </c>
      <c r="T36" s="5">
        <v>2.2999999999999998</v>
      </c>
      <c r="U36" s="8">
        <v>7.45</v>
      </c>
      <c r="V36" s="8">
        <v>9.75</v>
      </c>
      <c r="W36" s="5">
        <v>0</v>
      </c>
      <c r="X36" s="8">
        <v>0</v>
      </c>
      <c r="Y36" s="8">
        <v>0</v>
      </c>
      <c r="Z36" s="4">
        <f>IF(Cracow_result[[#This Row],[All Around]]="Yes",SUM(H36,K36,N36,Q36,T36,W36),0)</f>
        <v>0</v>
      </c>
      <c r="AA36" s="7">
        <f>IF(Cracow_result[[#This Row],[All Around]]="Yes",SUM(I36,L36,O36,R36,U36,X36),0)</f>
        <v>0</v>
      </c>
      <c r="AB36" s="7">
        <v>47.05</v>
      </c>
      <c r="AN36" t="s">
        <v>59</v>
      </c>
      <c r="AO36" t="s">
        <v>60</v>
      </c>
      <c r="AP36">
        <v>2002</v>
      </c>
      <c r="AQ36" t="s">
        <v>62</v>
      </c>
      <c r="AR36" t="s">
        <v>351</v>
      </c>
      <c r="AS36" t="s">
        <v>306</v>
      </c>
      <c r="AT36" t="s">
        <v>316</v>
      </c>
      <c r="AU36" t="s">
        <v>311</v>
      </c>
      <c r="AV36">
        <v>6.6</v>
      </c>
    </row>
    <row r="37" spans="1:48" x14ac:dyDescent="0.25">
      <c r="A37" s="2">
        <v>12</v>
      </c>
      <c r="B37" t="s">
        <v>122</v>
      </c>
      <c r="C37" s="2" t="s">
        <v>26</v>
      </c>
      <c r="D37" s="2">
        <v>2006</v>
      </c>
      <c r="E37" s="2" t="s">
        <v>123</v>
      </c>
      <c r="F37" t="s">
        <v>124</v>
      </c>
      <c r="G37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37" s="5">
        <v>3.1</v>
      </c>
      <c r="I37" s="8">
        <v>7.55</v>
      </c>
      <c r="J37" s="8">
        <v>10.65</v>
      </c>
      <c r="K37" s="5">
        <v>0</v>
      </c>
      <c r="L37" s="8">
        <v>0</v>
      </c>
      <c r="M37" s="8">
        <v>0</v>
      </c>
      <c r="N37" s="5">
        <v>2</v>
      </c>
      <c r="O37" s="8">
        <v>7.35</v>
      </c>
      <c r="P37" s="8">
        <v>9.35</v>
      </c>
      <c r="Q37" s="5">
        <v>2.2000000000000002</v>
      </c>
      <c r="R37" s="8">
        <v>8.8000000000000007</v>
      </c>
      <c r="S37" s="8">
        <v>11</v>
      </c>
      <c r="T37" s="5">
        <v>0</v>
      </c>
      <c r="U37" s="8">
        <v>0</v>
      </c>
      <c r="V37" s="8">
        <v>0</v>
      </c>
      <c r="W37" s="5">
        <v>2</v>
      </c>
      <c r="X37" s="8">
        <v>6.6</v>
      </c>
      <c r="Y37" s="8">
        <v>8.6</v>
      </c>
      <c r="Z37" s="4">
        <f>IF(Cracow_result[[#This Row],[All Around]]="Yes",SUM(H37,K37,N37,Q37,T37,W37),0)</f>
        <v>0</v>
      </c>
      <c r="AA37" s="7">
        <f>IF(Cracow_result[[#This Row],[All Around]]="Yes",SUM(I37,L37,O37,R37,U37,X37),0)</f>
        <v>0</v>
      </c>
      <c r="AB37" s="7">
        <v>39.6</v>
      </c>
      <c r="AN37" t="s">
        <v>59</v>
      </c>
      <c r="AO37" t="s">
        <v>60</v>
      </c>
      <c r="AP37">
        <v>2002</v>
      </c>
      <c r="AQ37" t="s">
        <v>62</v>
      </c>
      <c r="AR37" t="s">
        <v>351</v>
      </c>
      <c r="AS37" t="s">
        <v>306</v>
      </c>
      <c r="AT37" t="s">
        <v>316</v>
      </c>
      <c r="AU37" t="s">
        <v>268</v>
      </c>
      <c r="AV37">
        <v>11.9</v>
      </c>
    </row>
    <row r="38" spans="1:48" x14ac:dyDescent="0.25">
      <c r="A38" s="2">
        <v>13</v>
      </c>
      <c r="B38" t="s">
        <v>50</v>
      </c>
      <c r="C38" s="2" t="s">
        <v>26</v>
      </c>
      <c r="D38" s="2">
        <v>2007</v>
      </c>
      <c r="E38" s="2" t="s">
        <v>51</v>
      </c>
      <c r="F38" t="s">
        <v>36</v>
      </c>
      <c r="G38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38" s="5">
        <v>3.9</v>
      </c>
      <c r="I38" s="8">
        <v>7.35</v>
      </c>
      <c r="J38" s="8">
        <v>11.25</v>
      </c>
      <c r="K38" s="5">
        <v>0</v>
      </c>
      <c r="L38" s="8">
        <v>0</v>
      </c>
      <c r="M38" s="8">
        <v>0</v>
      </c>
      <c r="N38" s="5">
        <v>3.7</v>
      </c>
      <c r="O38" s="8">
        <v>7.8</v>
      </c>
      <c r="P38" s="8">
        <v>11.5</v>
      </c>
      <c r="Q38" s="5">
        <v>0</v>
      </c>
      <c r="R38" s="8">
        <v>0</v>
      </c>
      <c r="S38" s="8">
        <v>0</v>
      </c>
      <c r="T38" s="5">
        <v>0</v>
      </c>
      <c r="U38" s="8">
        <v>0</v>
      </c>
      <c r="V38" s="8">
        <v>0</v>
      </c>
      <c r="W38" s="5">
        <v>2.7</v>
      </c>
      <c r="X38" s="8">
        <v>9.1</v>
      </c>
      <c r="Y38" s="8">
        <v>11.8</v>
      </c>
      <c r="Z38" s="4">
        <f>IF(Cracow_result[[#This Row],[All Around]]="Yes",SUM(H38,K38,N38,Q38,T38,W38),0)</f>
        <v>0</v>
      </c>
      <c r="AA38" s="7">
        <f>IF(Cracow_result[[#This Row],[All Around]]="Yes",SUM(I38,L38,O38,R38,U38,X38),0)</f>
        <v>0</v>
      </c>
      <c r="AB38" s="7">
        <v>34.549999999999997</v>
      </c>
      <c r="AN38" t="s">
        <v>59</v>
      </c>
      <c r="AO38" t="s">
        <v>60</v>
      </c>
      <c r="AP38">
        <v>2002</v>
      </c>
      <c r="AQ38" t="s">
        <v>62</v>
      </c>
      <c r="AR38" t="s">
        <v>351</v>
      </c>
      <c r="AS38" t="s">
        <v>306</v>
      </c>
      <c r="AT38" t="s">
        <v>242</v>
      </c>
      <c r="AU38" t="s">
        <v>310</v>
      </c>
      <c r="AV38">
        <v>4.5999999999999996</v>
      </c>
    </row>
    <row r="39" spans="1:48" x14ac:dyDescent="0.25">
      <c r="A39" s="2">
        <v>14</v>
      </c>
      <c r="B39" t="s">
        <v>52</v>
      </c>
      <c r="C39" s="2" t="s">
        <v>26</v>
      </c>
      <c r="D39" s="2">
        <v>2006</v>
      </c>
      <c r="E39" s="2" t="s">
        <v>53</v>
      </c>
      <c r="F39" t="s">
        <v>36</v>
      </c>
      <c r="G39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39" s="5">
        <v>0</v>
      </c>
      <c r="I39" s="8">
        <v>0</v>
      </c>
      <c r="J39" s="8">
        <v>0</v>
      </c>
      <c r="K39" s="5">
        <v>2.2000000000000002</v>
      </c>
      <c r="L39" s="8">
        <v>6.2</v>
      </c>
      <c r="M39" s="8">
        <v>8.4</v>
      </c>
      <c r="N39" s="5">
        <v>0</v>
      </c>
      <c r="O39" s="8">
        <v>0</v>
      </c>
      <c r="P39" s="8">
        <v>0</v>
      </c>
      <c r="Q39" s="5">
        <v>1.6</v>
      </c>
      <c r="R39" s="8">
        <v>9.4499999999999993</v>
      </c>
      <c r="S39" s="8">
        <v>11.05</v>
      </c>
      <c r="T39" s="5">
        <v>2.4</v>
      </c>
      <c r="U39" s="8">
        <v>9.1</v>
      </c>
      <c r="V39" s="8">
        <v>11.5</v>
      </c>
      <c r="W39" s="5">
        <v>0</v>
      </c>
      <c r="X39" s="8">
        <v>0</v>
      </c>
      <c r="Y39" s="8">
        <v>0</v>
      </c>
      <c r="Z39" s="4">
        <f>IF(Cracow_result[[#This Row],[All Around]]="Yes",SUM(H39,K39,N39,Q39,T39,W39),0)</f>
        <v>0</v>
      </c>
      <c r="AA39" s="7">
        <f>IF(Cracow_result[[#This Row],[All Around]]="Yes",SUM(I39,L39,O39,R39,U39,X39),0)</f>
        <v>0</v>
      </c>
      <c r="AB39" s="7">
        <v>30.95</v>
      </c>
      <c r="AN39" t="s">
        <v>59</v>
      </c>
      <c r="AO39" t="s">
        <v>60</v>
      </c>
      <c r="AP39">
        <v>2002</v>
      </c>
      <c r="AQ39" t="s">
        <v>62</v>
      </c>
      <c r="AR39" t="s">
        <v>351</v>
      </c>
      <c r="AS39" t="s">
        <v>306</v>
      </c>
      <c r="AT39" t="s">
        <v>242</v>
      </c>
      <c r="AU39" t="s">
        <v>311</v>
      </c>
      <c r="AV39">
        <v>8.15</v>
      </c>
    </row>
    <row r="40" spans="1:48" x14ac:dyDescent="0.25">
      <c r="A40" s="2">
        <v>15</v>
      </c>
      <c r="B40" t="s">
        <v>125</v>
      </c>
      <c r="C40" s="2" t="s">
        <v>26</v>
      </c>
      <c r="D40" s="2">
        <v>2006</v>
      </c>
      <c r="E40" s="2" t="s">
        <v>126</v>
      </c>
      <c r="F40" t="s">
        <v>67</v>
      </c>
      <c r="G40" s="2" t="str">
        <f>IF((COUNTIF(Cracow_result[[#This Row],[FX_total_score]],"&gt;0")+COUNTIF(Cracow_result[[#This Row],[PH_Total_Score]],"&gt;0")+COUNTIF(Cracow_result[[#This Row],[SR_Total_Score]],"&gt;0")+COUNTIF(Cracow_result[[#This Row],[VT_total_score]],"&gt;0")+COUNTIF(Cracow_result[[#This Row],[PB_total_score]],"&gt;0")+COUNTIF(Cracow_result[[#This Row],[HB_total_score]],"&gt;0"))=6,"Yes","No")</f>
        <v>No</v>
      </c>
      <c r="H40" s="5">
        <v>3.5</v>
      </c>
      <c r="I40" s="8">
        <v>7.85</v>
      </c>
      <c r="J40" s="8">
        <v>11.35</v>
      </c>
      <c r="K40" s="5">
        <v>0</v>
      </c>
      <c r="L40" s="8">
        <v>0</v>
      </c>
      <c r="M40" s="8">
        <v>0</v>
      </c>
      <c r="N40" s="5">
        <v>0</v>
      </c>
      <c r="O40" s="8">
        <v>0</v>
      </c>
      <c r="P40" s="8">
        <v>0</v>
      </c>
      <c r="Q40" s="5">
        <v>3.2</v>
      </c>
      <c r="R40" s="8">
        <v>8.1999999999999993</v>
      </c>
      <c r="S40" s="8">
        <v>11.4</v>
      </c>
      <c r="T40" s="5">
        <v>0</v>
      </c>
      <c r="U40" s="8">
        <v>0</v>
      </c>
      <c r="V40" s="8">
        <v>0</v>
      </c>
      <c r="W40" s="5">
        <v>0</v>
      </c>
      <c r="X40" s="8">
        <v>0</v>
      </c>
      <c r="Y40" s="8">
        <v>0</v>
      </c>
      <c r="Z40" s="4">
        <f>IF(Cracow_result[[#This Row],[All Around]]="Yes",SUM(H40,K40,N40,Q40,T40,W40),0)</f>
        <v>0</v>
      </c>
      <c r="AA40" s="7">
        <f>IF(Cracow_result[[#This Row],[All Around]]="Yes",SUM(I40,L40,O40,R40,U40,X40),0)</f>
        <v>0</v>
      </c>
      <c r="AB40" s="7">
        <v>22.75</v>
      </c>
      <c r="AN40" t="s">
        <v>59</v>
      </c>
      <c r="AO40" t="s">
        <v>60</v>
      </c>
      <c r="AP40">
        <v>2002</v>
      </c>
      <c r="AQ40" t="s">
        <v>62</v>
      </c>
      <c r="AR40" t="s">
        <v>351</v>
      </c>
      <c r="AS40" t="s">
        <v>306</v>
      </c>
      <c r="AT40" t="s">
        <v>242</v>
      </c>
      <c r="AU40" t="s">
        <v>268</v>
      </c>
      <c r="AV40">
        <v>12.75</v>
      </c>
    </row>
    <row r="41" spans="1:48" x14ac:dyDescent="0.25">
      <c r="AN41" t="s">
        <v>59</v>
      </c>
      <c r="AO41" t="s">
        <v>60</v>
      </c>
      <c r="AP41">
        <v>2002</v>
      </c>
      <c r="AQ41" t="s">
        <v>62</v>
      </c>
      <c r="AR41" t="s">
        <v>351</v>
      </c>
      <c r="AS41" t="s">
        <v>306</v>
      </c>
      <c r="AT41" t="s">
        <v>243</v>
      </c>
      <c r="AU41" t="s">
        <v>337</v>
      </c>
      <c r="AV41">
        <v>28.9</v>
      </c>
    </row>
    <row r="42" spans="1:48" x14ac:dyDescent="0.25">
      <c r="AN42" t="s">
        <v>59</v>
      </c>
      <c r="AO42" t="s">
        <v>60</v>
      </c>
      <c r="AP42">
        <v>2002</v>
      </c>
      <c r="AQ42" t="s">
        <v>62</v>
      </c>
      <c r="AR42" t="s">
        <v>351</v>
      </c>
      <c r="AS42" t="s">
        <v>306</v>
      </c>
      <c r="AT42" t="s">
        <v>243</v>
      </c>
      <c r="AU42" t="s">
        <v>338</v>
      </c>
      <c r="AV42">
        <v>46.949999999999996</v>
      </c>
    </row>
    <row r="43" spans="1:48" ht="27.75" customHeight="1" x14ac:dyDescent="0.25">
      <c r="A43" s="2" t="s">
        <v>2</v>
      </c>
      <c r="B43" s="10" t="s">
        <v>217</v>
      </c>
      <c r="C43" s="10" t="s">
        <v>244</v>
      </c>
      <c r="D43" s="10" t="s">
        <v>249</v>
      </c>
      <c r="E43" s="10" t="s">
        <v>245</v>
      </c>
      <c r="F43" s="10" t="s">
        <v>250</v>
      </c>
      <c r="G43" s="10" t="s">
        <v>246</v>
      </c>
      <c r="H43" s="10" t="s">
        <v>251</v>
      </c>
      <c r="I43" s="10" t="s">
        <v>252</v>
      </c>
      <c r="J43" s="10" t="s">
        <v>253</v>
      </c>
      <c r="T43" s="13"/>
      <c r="U43" s="13"/>
      <c r="AN43" t="s">
        <v>59</v>
      </c>
      <c r="AO43" t="s">
        <v>60</v>
      </c>
      <c r="AP43">
        <v>2002</v>
      </c>
      <c r="AQ43" t="s">
        <v>62</v>
      </c>
      <c r="AR43" t="s">
        <v>351</v>
      </c>
      <c r="AS43" t="s">
        <v>306</v>
      </c>
      <c r="AT43" t="s">
        <v>243</v>
      </c>
      <c r="AU43" t="s">
        <v>349</v>
      </c>
      <c r="AV43">
        <v>75.849999999999994</v>
      </c>
    </row>
    <row r="44" spans="1:48" ht="31.5" customHeight="1" x14ac:dyDescent="0.25">
      <c r="A44" s="2" t="s">
        <v>60</v>
      </c>
      <c r="B44" s="10" t="s">
        <v>243</v>
      </c>
      <c r="C44" s="11">
        <f>AVERAGEIFS(Cracow_result[AA_Dscore],Cracow_result[[Category]:[Category]],"senior",Cracow_result[AA_Dscore],"&lt;&gt;0",Cracow_result[All Around],"Yes")</f>
        <v>23.790909090909089</v>
      </c>
      <c r="D44" s="11" cm="1">
        <f t="array" ref="D44">_xlfn.STDEV.S(_xlfn._xlws.FILTER(Cracow_result[AA_Dscore],(Cracow_result[Category]="senior")*(Cracow_result[All Around]="Yes")))</f>
        <v>3.4697131136319093</v>
      </c>
      <c r="E44" s="12">
        <f>AVERAGEIFS(Cracow_result[AA_Escore],Cracow_result[[Category]:[Category]],"senior",Cracow_result[AA_Escore],"&lt;&gt;0",Cracow_result[All Around],"yes")</f>
        <v>47.340909090909093</v>
      </c>
      <c r="F44" s="12" cm="1">
        <f t="array" ref="F44">_xlfn.STDEV.S(_xlfn._xlws.FILTER(Cracow_result[AA_Escore],(Cracow_result[Category]="senior")*(Cracow_result[All Around]="Yes")))</f>
        <v>2.8313263836776366</v>
      </c>
      <c r="G44" s="12">
        <f>AVERAGEIFS(Cracow_result[Total_Score],Cracow_result[[Category]:[Category]],"senior",Cracow_result[Total_Score],"&lt;&gt;0",Cracow_result[All Around],"yes")</f>
        <v>71.13181818181819</v>
      </c>
      <c r="H44" s="12" cm="1">
        <f t="array" ref="H44">_xlfn.STDEV.S(_xlfn._xlws.FILTER(Cracow_result[Total_Score],(Cracow_result[Category]="senior")*(Cracow_result[All Around]="Yes")))</f>
        <v>4.1965624460546698</v>
      </c>
      <c r="I44" s="12" cm="1">
        <f t="array" ref="I44">MAX(_xlfn._xlws.FILTER(Cracow_result[Total_Score],Cracow_result[Category]="senior"))</f>
        <v>75.849999999999994</v>
      </c>
      <c r="J44" s="10" t="str" cm="1">
        <f t="array" ref="J44">IF(COUNTIFS(Cracow_result[Total_Score],I44,Cracow_result[Category],"senior")&gt;1,_xlfn.XLOOKUP(I44,_xlfn._xlws.FILTER(Cracow_result[Total_Score],Cracow_result[Category]="senior"),_xlfn._xlws.FILTER(Cracow_result[Name],Cracow_result[Category]="senior"),0)&amp;" and "&amp;(COUNTIFS(Cracow_result[Total_Score],I44,Cracow_result[Category],"senior")-1)&amp;" more",_xlfn.XLOOKUP(I44,_xlfn._xlws.FILTER(Cracow_result[Total_Score],Cracow_result[Category]="senior"),_xlfn._xlws.FILTER(Cracow_result[Name],Cracow_result[Category]="senior"),0))</f>
        <v>SASNAL Filip and 1 more</v>
      </c>
      <c r="AN44" t="s">
        <v>68</v>
      </c>
      <c r="AO44" t="s">
        <v>60</v>
      </c>
      <c r="AP44">
        <v>2004</v>
      </c>
      <c r="AQ44" t="s">
        <v>31</v>
      </c>
      <c r="AR44" t="s">
        <v>351</v>
      </c>
      <c r="AS44" t="s">
        <v>306</v>
      </c>
      <c r="AT44" t="s">
        <v>218</v>
      </c>
      <c r="AU44" t="s">
        <v>310</v>
      </c>
      <c r="AV44">
        <v>4.5</v>
      </c>
    </row>
    <row r="45" spans="1:48" ht="47.25" customHeight="1" x14ac:dyDescent="0.25">
      <c r="A45" s="2" t="s">
        <v>60</v>
      </c>
      <c r="B45" s="10" t="s">
        <v>218</v>
      </c>
      <c r="C45" s="11">
        <f>AVERAGEIFS(Cracow_result[FX_Dscore],Cracow_result[[Category]:[Category]],"senior",Cracow_result[FX_Dscore],"&lt;&gt;0")</f>
        <v>4.3350000000000009</v>
      </c>
      <c r="D45" s="11" cm="1">
        <f t="array" ref="D45">_xlfn.STDEV.S(_xlfn._xlws.FILTER(Cracow_result[FX_Dscore],(Cracow_result[Category]="senior")*(Cracow_result[FX_Dscore]&gt;0)))</f>
        <v>0.60111738060311626</v>
      </c>
      <c r="E45" s="12">
        <f>AVERAGEIFS(Cracow_result[FX_Escore],Cracow_result[[Category]:[Category]],"senior",Cracow_result[FX_Escore],"&lt;&gt;0")</f>
        <v>7.7</v>
      </c>
      <c r="F45" s="12" cm="1">
        <f t="array" ref="F45">_xlfn.STDEV.S(_xlfn._xlws.FILTER(Cracow_result[FX_Escore],(Cracow_result[Category]="senior")*(Cracow_result[FX_Escore]&gt;0)))</f>
        <v>0.45739537198772529</v>
      </c>
      <c r="G45" s="12">
        <f>AVERAGEIFS(Cracow_result[FX_total_score],Cracow_result[[Category]:[Category]],"senior",Cracow_result[FX_total_score],"&lt;&gt;0")</f>
        <v>12.035</v>
      </c>
      <c r="H45" s="12" cm="1">
        <f t="array" ref="H45">_xlfn.STDEV.S(_xlfn._xlws.FILTER(Cracow_result[FX_total_score],(Cracow_result[Category]="senior")*(Cracow_result[FX_total_score]&gt;0)))</f>
        <v>0.75951854556201037</v>
      </c>
      <c r="I45" s="12" cm="1">
        <f t="array" ref="I45">MAX(_xlfn._xlws.FILTER(Cracow_result[FX_total_score],Cracow_result[Category]="senior"))</f>
        <v>13.65</v>
      </c>
      <c r="J45" s="10" t="str" cm="1">
        <f t="array" ref="J45">IF(COUNTIFS(Cracow_result[FX_total_score],I45,Cracow_result[Category],"senior")&gt;1,_xlfn.XLOOKUP(I45,_xlfn._xlws.FILTER(Cracow_result[FX_total_score],Cracow_result[Category]="senior"),_xlfn._xlws.FILTER(Cracow_result[Name],Cracow_result[Category]="senior"),0)&amp;" and "&amp;(COUNTIFS(Cracow_result[FX_total_score],I45,Cracow_result[Category],"senior")-1)&amp;" more",_xlfn.XLOOKUP(I45,_xlfn._xlws.FILTER(Cracow_result[FX_total_score],Cracow_result[Category]="senior"),_xlfn._xlws.FILTER(Cracow_result[Name],Cracow_result[Category]="senior"),0))</f>
        <v>GAWROŃSKI Sebastian</v>
      </c>
      <c r="AN45" t="s">
        <v>68</v>
      </c>
      <c r="AO45" t="s">
        <v>60</v>
      </c>
      <c r="AP45">
        <v>2004</v>
      </c>
      <c r="AQ45" t="s">
        <v>31</v>
      </c>
      <c r="AR45" t="s">
        <v>351</v>
      </c>
      <c r="AS45" t="s">
        <v>306</v>
      </c>
      <c r="AT45" t="s">
        <v>218</v>
      </c>
      <c r="AU45" t="s">
        <v>311</v>
      </c>
      <c r="AV45">
        <v>8</v>
      </c>
    </row>
    <row r="46" spans="1:48" ht="47.25" customHeight="1" x14ac:dyDescent="0.25">
      <c r="A46" s="2" t="s">
        <v>60</v>
      </c>
      <c r="B46" s="10" t="s">
        <v>242</v>
      </c>
      <c r="C46" s="11">
        <f>AVERAGEIFS(Cracow_result[HB_Dscore],Cracow_result[[Category]:[Category]],"senior",Cracow_result[HB_Dscore],"&lt;&gt;0")</f>
        <v>3.3266666666666671</v>
      </c>
      <c r="D46" s="11" cm="1">
        <f t="array" ref="D46">_xlfn.STDEV.S(_xlfn._xlws.FILTER(Cracow_result[HB_Dscore],(Cracow_result[Category]="senior")*(Cracow_result[HB_Dscore]&gt;0)))</f>
        <v>0.85311753223663156</v>
      </c>
      <c r="E46" s="12">
        <f>AVERAGEIFS(Cracow_result[HB_Escore],Cracow_result[[Category]:[Category]],"senior",Cracow_result[HB_Escore],"&lt;&gt;0")</f>
        <v>7.8866666666666676</v>
      </c>
      <c r="F46" s="12" cm="1">
        <f t="array" ref="F46">_xlfn.STDEV.S(_xlfn._xlws.FILTER(Cracow_result[HB_Escore],(Cracow_result[Category]="senior")*(Cracow_result[HB_Escore]&gt;0)))</f>
        <v>0.63792819419773328</v>
      </c>
      <c r="G46" s="12">
        <f>AVERAGEIFS(Cracow_result[HB_total_score],Cracow_result[[Category]:[Category]],"senior",Cracow_result[HB_total_score],"&lt;&gt;0")</f>
        <v>11.213333333333335</v>
      </c>
      <c r="H46" s="12" cm="1">
        <f t="array" ref="H46">_xlfn.STDEV.S(_xlfn._xlws.FILTER(Cracow_result[HB_total_score],(Cracow_result[Category]="senior")*(Cracow_result[HB_total_score]&gt;0)))</f>
        <v>1.0052481333102838</v>
      </c>
      <c r="I46" s="12" cm="1">
        <f t="array" ref="I46">MAX(_xlfn._xlws.FILTER(Cracow_result[HB_total_score],Cracow_result[Category]="senior"))</f>
        <v>12.8</v>
      </c>
      <c r="J46" s="10" t="str" cm="1">
        <f t="array" ref="J46">IF(COUNTIFS(Cracow_result[HB_total_score],I46,Cracow_result[Category],"senior")&gt;1,_xlfn.XLOOKUP(I46,_xlfn._xlws.FILTER(Cracow_result[HB_total_score],Cracow_result[Category]="senior"),_xlfn._xlws.FILTER(Cracow_result[Name],Cracow_result[Category]="senior"),0)&amp;" and "&amp;(COUNTIFS(Cracow_result[HB_total_score],I46,Cracow_result[Category],"senior")-1)&amp;" more",_xlfn.XLOOKUP(I46,_xlfn._xlws.FILTER(Cracow_result[HB_total_score],Cracow_result[Category]="senior"),_xlfn._xlws.FILTER(Cracow_result[Name],Cracow_result[Category]="senior"),0))</f>
        <v>SASNAL Filip</v>
      </c>
      <c r="AN46" t="s">
        <v>68</v>
      </c>
      <c r="AO46" t="s">
        <v>60</v>
      </c>
      <c r="AP46">
        <v>2004</v>
      </c>
      <c r="AQ46" t="s">
        <v>31</v>
      </c>
      <c r="AR46" t="s">
        <v>351</v>
      </c>
      <c r="AS46" t="s">
        <v>306</v>
      </c>
      <c r="AT46" t="s">
        <v>218</v>
      </c>
      <c r="AU46" t="s">
        <v>268</v>
      </c>
      <c r="AV46">
        <v>12.5</v>
      </c>
    </row>
    <row r="47" spans="1:48" ht="47.25" customHeight="1" x14ac:dyDescent="0.25">
      <c r="A47" s="2" t="s">
        <v>60</v>
      </c>
      <c r="B47" s="10" t="s">
        <v>241</v>
      </c>
      <c r="C47" s="11">
        <f>AVERAGEIFS(Cracow_result[PB_Dscore],Cracow_result[[Category]:[Category]],"senior",Cracow_result[PB_Dscore],"&lt;&gt;0")</f>
        <v>3.6000000000000005</v>
      </c>
      <c r="D47" s="11" cm="1">
        <f t="array" ref="D47">_xlfn.STDEV.S(_xlfn._xlws.FILTER(Cracow_result[PB_Dscore],(Cracow_result[Category]="senior")*(Cracow_result[PB_Dscore]&gt;0)))</f>
        <v>0.74280866034420168</v>
      </c>
      <c r="E47" s="12">
        <f>AVERAGEIFS(Cracow_result[PB_Escore],Cracow_result[[Category]:[Category]],"senior",Cracow_result[PB_Escore],"&lt;&gt;0")</f>
        <v>7.9361111111111109</v>
      </c>
      <c r="F47" s="12" cm="1">
        <f t="array" ref="F47">_xlfn.STDEV.S(_xlfn._xlws.FILTER(Cracow_result[PB_Escore],(Cracow_result[Category]="senior")*(Cracow_result[PB_Escore]&gt;0)))</f>
        <v>0.87696092131653669</v>
      </c>
      <c r="G47" s="12">
        <f>AVERAGEIFS(Cracow_result[PB_total_score],Cracow_result[[Category]:[Category]],"senior",Cracow_result[PB_total_score],"&lt;&gt;0")</f>
        <v>11.53611111111111</v>
      </c>
      <c r="H47" s="12" cm="1">
        <f t="array" ref="H47">_xlfn.STDEV.S(_xlfn._xlws.FILTER(Cracow_result[PB_total_score],(Cracow_result[Category]="senior")*(Cracow_result[PB_total_score]&gt;0)))</f>
        <v>0.91181873126889135</v>
      </c>
      <c r="I47" s="12" cm="1">
        <f t="array" ref="I47">MAX(_xlfn._xlws.FILTER(Cracow_result[PB_total_score],Cracow_result[Category]="senior"))</f>
        <v>13</v>
      </c>
      <c r="J47" s="10" t="str" cm="1">
        <f t="array" ref="J47">IF(COUNTIFS(Cracow_result[PB_total_score],I47,Cracow_result[Category],"senior")&gt;1,_xlfn.XLOOKUP(I47,_xlfn._xlws.FILTER(Cracow_result[PB_total_score],Cracow_result[Category]="senior"),_xlfn._xlws.FILTER(Cracow_result[Name],Cracow_result[Category]="senior"),0)&amp;" and "&amp;(COUNTIFS(Cracow_result[PB_total_score],I47,Cracow_result[Category],"senior")-1)&amp;" more",_xlfn.XLOOKUP(I47,_xlfn._xlws.FILTER(Cracow_result[PB_total_score],Cracow_result[Category]="senior"),_xlfn._xlws.FILTER(Cracow_result[Name],Cracow_result[Category]="senior"),0))</f>
        <v>SASNAL Filip</v>
      </c>
      <c r="AN47" t="s">
        <v>68</v>
      </c>
      <c r="AO47" t="s">
        <v>60</v>
      </c>
      <c r="AP47">
        <v>2004</v>
      </c>
      <c r="AQ47" t="s">
        <v>31</v>
      </c>
      <c r="AR47" t="s">
        <v>351</v>
      </c>
      <c r="AS47" t="s">
        <v>306</v>
      </c>
      <c r="AT47" t="s">
        <v>238</v>
      </c>
      <c r="AU47" t="s">
        <v>310</v>
      </c>
      <c r="AV47">
        <v>3.8</v>
      </c>
    </row>
    <row r="48" spans="1:48" ht="47.25" customHeight="1" x14ac:dyDescent="0.25">
      <c r="A48" s="2" t="s">
        <v>60</v>
      </c>
      <c r="B48" s="10" t="s">
        <v>238</v>
      </c>
      <c r="C48" s="11">
        <f>AVERAGEIFS(Cracow_result[PH_Dscore],Cracow_result[[Category]:[Category]],"senior",Cracow_result[PH_Dscore],"&lt;&gt;0")</f>
        <v>3.9055555555555563</v>
      </c>
      <c r="D48" s="11" cm="1">
        <f t="array" ref="D48">_xlfn.STDEV.S(_xlfn._xlws.FILTER(Cracow_result[PH_Dscore],(Cracow_result[Category]="senior")*(Cracow_result[PH_Dscore]&gt;0)))</f>
        <v>0.61879600574989169</v>
      </c>
      <c r="E48" s="12">
        <f>AVERAGEIFS(Cracow_result[PH_Escore],Cracow_result[[Category]:[Category]],"senior",Cracow_result[PH_Escore],"&lt;&gt;0")</f>
        <v>6.68611111111111</v>
      </c>
      <c r="F48" s="12" cm="1">
        <f t="array" ref="F48">_xlfn.STDEV.S(_xlfn._xlws.FILTER(Cracow_result[PH_Escore],(Cracow_result[Category]="senior")*(Cracow_result[PH_Escore]&gt;0)))</f>
        <v>1.6041128715196997</v>
      </c>
      <c r="G48" s="12">
        <f>AVERAGEIFS(Cracow_result[PH_Total_Score],Cracow_result[[Category]:[Category]],"senior",Cracow_result[PH_Total_Score],"&lt;&gt;0")</f>
        <v>10.591666666666667</v>
      </c>
      <c r="H48" s="12" cm="1">
        <f t="array" ref="H48">_xlfn.STDEV.S(_xlfn._xlws.FILTER(Cracow_result[PH_Total_Score],(Cracow_result[Category]="senior")*(Cracow_result[PH_Total_Score]&gt;0)))</f>
        <v>2.0444508826980194</v>
      </c>
      <c r="I48" s="12" cm="1">
        <f t="array" ref="I48">MAX(_xlfn._xlws.FILTER(Cracow_result[PH_Total_Score],Cracow_result[Category]="senior"))</f>
        <v>12.9</v>
      </c>
      <c r="J48" s="10" t="str" cm="1">
        <f t="array" ref="J48">IF(COUNTIFS(Cracow_result[PH_Total_Score],I48,Cracow_result[Category],"senior")&gt;1,_xlfn.XLOOKUP(I48,_xlfn._xlws.FILTER(Cracow_result[PH_Total_Score],Cracow_result[Category]="senior"),_xlfn._xlws.FILTER(Cracow_result[Name],Cracow_result[Category]="senior"),0)&amp;" and "&amp;(COUNTIFS(Cracow_result[PH_Total_Score],I48,Cracow_result[Category],"senior")-1)&amp;" more",_xlfn.XLOOKUP(I48,_xlfn._xlws.FILTER(Cracow_result[PH_Total_Score],Cracow_result[Category]="senior"),_xlfn._xlws.FILTER(Cracow_result[Name],Cracow_result[Category]="senior"),0))</f>
        <v>GARNCZAREK Kacper</v>
      </c>
      <c r="AN48" t="s">
        <v>68</v>
      </c>
      <c r="AO48" t="s">
        <v>60</v>
      </c>
      <c r="AP48">
        <v>2004</v>
      </c>
      <c r="AQ48" t="s">
        <v>31</v>
      </c>
      <c r="AR48" t="s">
        <v>351</v>
      </c>
      <c r="AS48" t="s">
        <v>306</v>
      </c>
      <c r="AT48" t="s">
        <v>238</v>
      </c>
      <c r="AU48" t="s">
        <v>311</v>
      </c>
      <c r="AV48">
        <v>8</v>
      </c>
    </row>
    <row r="49" spans="1:48" ht="31.5" customHeight="1" x14ac:dyDescent="0.25">
      <c r="A49" s="2" t="s">
        <v>60</v>
      </c>
      <c r="B49" s="10" t="s">
        <v>239</v>
      </c>
      <c r="C49" s="11">
        <f>AVERAGEIFS(Cracow_result[SR_Dscore],Cracow_result[[Category]:[Category]],"senior",Cracow_result[SR_Dscore],"&lt;&gt;0")</f>
        <v>3.6833333333333331</v>
      </c>
      <c r="D49" s="11" cm="1">
        <f t="array" ref="D49">_xlfn.STDEV.S(_xlfn._xlws.FILTER(Cracow_result[SR_Dscore],(Cracow_result[Category]="senior")*(Cracow_result[SR_Dscore]&gt;0)))</f>
        <v>0.6410010553354617</v>
      </c>
      <c r="E49" s="12">
        <f>AVERAGEIFS(Cracow_result[SR_Escore],Cracow_result[[Category]:[Category]],"senior",Cracow_result[SR_Escore],"&lt;&gt;0")</f>
        <v>7.5611111111111109</v>
      </c>
      <c r="F49" s="12" cm="1">
        <f t="array" ref="F49">_xlfn.STDEV.S(_xlfn._xlws.FILTER(Cracow_result[SR_Escore],(Cracow_result[Category]="senior")*(Cracow_result[SR_Escore]&gt;0)))</f>
        <v>0.83587846632002305</v>
      </c>
      <c r="G49" s="12">
        <f>AVERAGEIFS(Cracow_result[SR_Total_Score],Cracow_result[[Category]:[Category]],"senior",Cracow_result[SR_Total_Score],"&lt;&gt;0")</f>
        <v>11.244444444444445</v>
      </c>
      <c r="H49" s="12" cm="1">
        <f t="array" ref="H49">_xlfn.STDEV.S(_xlfn._xlws.FILTER(Cracow_result[SR_Total_Score],(Cracow_result[Category]="senior")*(Cracow_result[SR_Total_Score]&gt;0)))</f>
        <v>1.3940935162413337</v>
      </c>
      <c r="I49" s="12" cm="1">
        <f t="array" ref="I49">MAX(_xlfn._xlws.FILTER(Cracow_result[SR_Total_Score],Cracow_result[Category]="senior"))</f>
        <v>13.1</v>
      </c>
      <c r="J49" s="10" t="str" cm="1">
        <f t="array" ref="J49">IF(COUNTIFS(Cracow_result[SR_Total_Score],I49,Cracow_result[Category],"senior")&gt;1,_xlfn.XLOOKUP(I49,_xlfn._xlws.FILTER(Cracow_result[SR_Total_Score],Cracow_result[Category]="senior"),_xlfn._xlws.FILTER(Cracow_result[Name],Cracow_result[Category]="senior"),0)&amp;" and "&amp;(COUNTIFS(Cracow_result[SR_Total_Score],I49,Cracow_result[Category],"senior")-1)&amp;" more",_xlfn.XLOOKUP(I49,_xlfn._xlws.FILTER(Cracow_result[SR_Total_Score],Cracow_result[Category]="senior"),_xlfn._xlws.FILTER(Cracow_result[Name],Cracow_result[Category]="senior"),0))</f>
        <v>GAWROŃSKI Sebastian</v>
      </c>
      <c r="AN49" t="s">
        <v>68</v>
      </c>
      <c r="AO49" t="s">
        <v>60</v>
      </c>
      <c r="AP49">
        <v>2004</v>
      </c>
      <c r="AQ49" t="s">
        <v>31</v>
      </c>
      <c r="AR49" t="s">
        <v>351</v>
      </c>
      <c r="AS49" t="s">
        <v>306</v>
      </c>
      <c r="AT49" t="s">
        <v>238</v>
      </c>
      <c r="AU49" t="s">
        <v>268</v>
      </c>
      <c r="AV49">
        <v>11.8</v>
      </c>
    </row>
    <row r="50" spans="1:48" ht="31.5" customHeight="1" x14ac:dyDescent="0.25">
      <c r="A50" s="2" t="s">
        <v>60</v>
      </c>
      <c r="B50" s="10" t="s">
        <v>240</v>
      </c>
      <c r="C50" s="11">
        <f>AVERAGEIFS(Cracow_result[VT_Dscore],Cracow_result[[Category]:[Category]],"senior",Cracow_result[VT_Dscore],"&lt;&gt;0")</f>
        <v>3.933333333333334</v>
      </c>
      <c r="D50" s="11" cm="1">
        <f t="array" ref="D50">_xlfn.STDEV.S(_xlfn._xlws.FILTER(Cracow_result[VT_Dscore],(Cracow_result[Category]="senior")*(Cracow_result[VT_Dscore]&gt;0)))</f>
        <v>0.76696498884736608</v>
      </c>
      <c r="E50" s="12">
        <f>AVERAGEIFS(Cracow_result[VT_Escore],Cracow_result[[Category]:[Category]],"senior",Cracow_result[VT_Escore],"&lt;&gt;0")</f>
        <v>8.8277777777777775</v>
      </c>
      <c r="F50" s="12" cm="1">
        <f t="array" ref="F50">_xlfn.STDEV.S(_xlfn._xlws.FILTER(Cracow_result[VT_Escore],(Cracow_result[Category]="senior")*(Cracow_result[VT_Escore]&gt;0)))</f>
        <v>0.62148357183867642</v>
      </c>
      <c r="G50" s="12">
        <f>AVERAGEIFS(Cracow_result[VT_total_score],Cracow_result[[Category]:[Category]],"senior",Cracow_result[VT_total_score],"&lt;&gt;0")</f>
        <v>12.761111111111111</v>
      </c>
      <c r="H50" s="12" cm="1">
        <f t="array" ref="H50">_xlfn.STDEV.S(_xlfn._xlws.FILTER(Cracow_result[VT_total_score],(Cracow_result[Category]="senior")*(Cracow_result[VT_total_score]&gt;0)))</f>
        <v>0.8272128176906075</v>
      </c>
      <c r="I50" s="12" cm="1">
        <f t="array" ref="I50">MAX(_xlfn._xlws.FILTER(Cracow_result[VT_total_score],Cracow_result[Category]="senior"))</f>
        <v>13.75</v>
      </c>
      <c r="J50" s="10" t="str" cm="1">
        <f t="array" ref="J50">IF(COUNTIFS(Cracow_result[VT_total_score],I50,Cracow_result[Category],"senior")&gt;1,_xlfn.XLOOKUP(I50,_xlfn._xlws.FILTER(Cracow_result[VT_total_score],Cracow_result[Category]="senior"),_xlfn._xlws.FILTER(Cracow_result[Name],Cracow_result[Category]="senior"),0)&amp;" and "&amp;(COUNTIFS(Cracow_result[VT_total_score],I50,Cracow_result[Category],"senior")-1)&amp;" more",_xlfn.XLOOKUP(I50,_xlfn._xlws.FILTER(Cracow_result[VT_total_score],Cracow_result[Category]="senior"),_xlfn._xlws.FILTER(Cracow_result[Name],Cracow_result[Category]="senior"),0))</f>
        <v>SZYMCZYK Radosław</v>
      </c>
      <c r="AN50" t="s">
        <v>68</v>
      </c>
      <c r="AO50" t="s">
        <v>60</v>
      </c>
      <c r="AP50">
        <v>2004</v>
      </c>
      <c r="AQ50" t="s">
        <v>31</v>
      </c>
      <c r="AR50" t="s">
        <v>351</v>
      </c>
      <c r="AS50" t="s">
        <v>306</v>
      </c>
      <c r="AT50" t="s">
        <v>239</v>
      </c>
      <c r="AU50" t="s">
        <v>310</v>
      </c>
      <c r="AV50">
        <v>3.8</v>
      </c>
    </row>
    <row r="51" spans="1:48" ht="31.5" customHeight="1" x14ac:dyDescent="0.25">
      <c r="A51" s="2" t="s">
        <v>26</v>
      </c>
      <c r="B51" s="10" t="s">
        <v>243</v>
      </c>
      <c r="C51" s="11">
        <f>AVERAGEIFS(Cracow_result[AA_Dscore],Cracow_result[[Category]:[Category]],"junior",Cracow_result[AA_Dscore],"&lt;&gt;0",Cracow_result[All Around],"Yes")</f>
        <v>17.966666666666665</v>
      </c>
      <c r="D51" s="11" cm="1">
        <f t="array" ref="D51">_xlfn.STDEV.S(_xlfn._xlws.FILTER(Cracow_result[AA_Dscore],(Cracow_result[Category]="junior")*(Cracow_result[All Around]="Yes")))</f>
        <v>2.3785499784532651</v>
      </c>
      <c r="E51" s="12">
        <f>AVERAGEIFS(Cracow_result[AA_Escore],Cracow_result[[Category]:[Category]],"junior",Cracow_result[AA_Escore],"&lt;&gt;0",Cracow_result[All Around],"yes")</f>
        <v>47.094444444444441</v>
      </c>
      <c r="F51" s="12" cm="1">
        <f t="array" ref="F51">_xlfn.STDEV.S(_xlfn._xlws.FILTER(Cracow_result[AA_Escore],(Cracow_result[Category]="junior")*(Cracow_result[All Around]="Yes")))</f>
        <v>2.9596710590499353</v>
      </c>
      <c r="G51" s="12">
        <f>AVERAGEIFS(Cracow_result[Total_Score],Cracow_result[[Category]:[Category]],"junior",Cracow_result[Total_Score],"&lt;&gt;0",Cracow_result[All Around],"yes")</f>
        <v>65.061111111111103</v>
      </c>
      <c r="H51" s="12" cm="1">
        <f t="array" ref="H51">_xlfn.STDEV.S(_xlfn._xlws.FILTER(Cracow_result[Total_Score],(Cracow_result[Category]="junior")*(Cracow_result[All Around]="Yes")))</f>
        <v>4.9550969830176985</v>
      </c>
      <c r="I51" s="12" cm="1">
        <f t="array" ref="I51">MAX(_xlfn._xlws.FILTER(Cracow_result[Total_Score],Cracow_result[Category]="junior"))</f>
        <v>72.2</v>
      </c>
      <c r="J51" s="10" t="str" cm="1">
        <f t="array" ref="J51">IF(COUNTIFS(Cracow_result[Total_Score],I51,Cracow_result[Category],"junior")&gt;1,_xlfn.XLOOKUP(I51,_xlfn._xlws.FILTER(Cracow_result[Total_Score],Cracow_result[Category]="junior"),_xlfn._xlws.FILTER(Cracow_result[Name],Cracow_result[Category]="junior"),0)&amp;" and "&amp;(COUNTIFS(Cracow_result[Total_Score],I51,Cracow_result[Category],"junior")-1)&amp;" more",_xlfn.XLOOKUP(I51,_xlfn._xlws.FILTER(Cracow_result[Total_Score],Cracow_result[Category]="junior"),_xlfn._xlws.FILTER(Cracow_result[Name],Cracow_result[Category]="junior"),0))</f>
        <v>LEKHAC Tomasz</v>
      </c>
      <c r="AN51" t="s">
        <v>68</v>
      </c>
      <c r="AO51" t="s">
        <v>60</v>
      </c>
      <c r="AP51">
        <v>2004</v>
      </c>
      <c r="AQ51" t="s">
        <v>31</v>
      </c>
      <c r="AR51" t="s">
        <v>351</v>
      </c>
      <c r="AS51" t="s">
        <v>306</v>
      </c>
      <c r="AT51" t="s">
        <v>239</v>
      </c>
      <c r="AU51" t="s">
        <v>311</v>
      </c>
      <c r="AV51">
        <v>8.5500000000000007</v>
      </c>
    </row>
    <row r="52" spans="1:48" ht="46.5" customHeight="1" x14ac:dyDescent="0.25">
      <c r="A52" s="2" t="s">
        <v>26</v>
      </c>
      <c r="B52" s="10" t="s">
        <v>218</v>
      </c>
      <c r="C52" s="11">
        <f>AVERAGEIFS(Cracow_result[FX_Dscore],Cracow_result[[Category]:[Category]],"junior",Cracow_result[FX_Dscore],"&lt;&gt;0")</f>
        <v>3.4923076923076923</v>
      </c>
      <c r="D52" s="11" cm="1">
        <f t="array" ref="D52">_xlfn.STDEV.S(_xlfn._xlws.FILTER(Cracow_result[FX_Dscore],(Cracow_result[Category]="junior")*(Cracow_result[FX_Dscore]&gt;0)))</f>
        <v>0.42712515430011744</v>
      </c>
      <c r="E52" s="12">
        <f>AVERAGEIFS(Cracow_result[FX_Escore],Cracow_result[[Category]:[Category]],"junior",Cracow_result[FX_Escore],"&lt;&gt;0")</f>
        <v>7.7884615384615374</v>
      </c>
      <c r="F52" s="12" cm="1">
        <f t="array" ref="F52">_xlfn.STDEV.S(_xlfn._xlws.FILTER(Cracow_result[FX_Escore],(Cracow_result[Category]="junior")*(Cracow_result[FX_Escore]&gt;0)))</f>
        <v>0.41339743092747433</v>
      </c>
      <c r="G52" s="12">
        <f>AVERAGEIFS(Cracow_result[FX_total_score],Cracow_result[[Category]:[Category]],"junior",Cracow_result[FX_total_score],"&lt;&gt;0")</f>
        <v>11.280769230769231</v>
      </c>
      <c r="H52" s="12" cm="1">
        <f t="array" ref="H52">_xlfn.STDEV.S(_xlfn._xlws.FILTER(Cracow_result[FX_total_score],(Cracow_result[Category]="junior")*(Cracow_result[FX_total_score]&gt;0)))</f>
        <v>0.6656883847875259</v>
      </c>
      <c r="I52" s="12" cm="1">
        <f t="array" ref="I52">MAX(_xlfn._xlws.FILTER(Cracow_result[FX_total_score],Cracow_result[Category]="junior"))</f>
        <v>12.5</v>
      </c>
      <c r="J52" s="10" t="str" cm="1">
        <f t="array" ref="J52">IF(COUNTIFS(Cracow_result[FX_total_score],I52,Cracow_result[Category],"junior")&gt;1,_xlfn.XLOOKUP(I52,_xlfn._xlws.FILTER(Cracow_result[FX_total_score],Cracow_result[Category]="junior"),_xlfn._xlws.FILTER(Cracow_result[Name],Cracow_result[Category]="junior"),0)&amp;" and "&amp;(COUNTIFS(Cracow_result[FX_total_score],I52,Cracow_result[Category],"junior")-1)&amp;" more",_xlfn.XLOOKUP(I52,_xlfn._xlws.FILTER(Cracow_result[FX_total_score],Cracow_result[Category]="junior"),_xlfn._xlws.FILTER(Cracow_result[Name],Cracow_result[Category]="junior"),0))</f>
        <v>KWIATKOWSKI Michał</v>
      </c>
      <c r="AN52" t="s">
        <v>68</v>
      </c>
      <c r="AO52" t="s">
        <v>60</v>
      </c>
      <c r="AP52">
        <v>2004</v>
      </c>
      <c r="AQ52" t="s">
        <v>31</v>
      </c>
      <c r="AR52" t="s">
        <v>351</v>
      </c>
      <c r="AS52" t="s">
        <v>306</v>
      </c>
      <c r="AT52" t="s">
        <v>239</v>
      </c>
      <c r="AU52" t="s">
        <v>268</v>
      </c>
      <c r="AV52">
        <v>12.35</v>
      </c>
    </row>
    <row r="53" spans="1:48" ht="44.25" customHeight="1" x14ac:dyDescent="0.25">
      <c r="A53" s="2" t="s">
        <v>26</v>
      </c>
      <c r="B53" s="10" t="s">
        <v>242</v>
      </c>
      <c r="C53" s="11">
        <f>AVERAGEIFS(Cracow_result[HB_Dscore],Cracow_result[[Category]:[Category]],"junior",Cracow_result[HB_Dscore],"&lt;&gt;0")</f>
        <v>2.4750000000000001</v>
      </c>
      <c r="D53" s="11" cm="1">
        <f t="array" ref="D53">_xlfn.STDEV.S(_xlfn._xlws.FILTER(Cracow_result[HB_Dscore],(Cracow_result[Category]="junior")*(Cracow_result[HB_Dscore]&gt;0)))</f>
        <v>0.57227615711298141</v>
      </c>
      <c r="E53" s="12">
        <f>AVERAGEIFS(Cracow_result[HB_Escore],Cracow_result[[Category]:[Category]],"junior",Cracow_result[HB_Escore],"&lt;&gt;0")</f>
        <v>7.9541666666666648</v>
      </c>
      <c r="F53" s="12" cm="1">
        <f t="array" ref="F53">_xlfn.STDEV.S(_xlfn._xlws.FILTER(Cracow_result[HB_Escore],(Cracow_result[Category]="junior")*(Cracow_result[HB_Escore]&gt;0)))</f>
        <v>1.2787526474394362</v>
      </c>
      <c r="G53" s="12">
        <f>AVERAGEIFS(Cracow_result[HB_total_score],Cracow_result[[Category]:[Category]],"junior",Cracow_result[HB_total_score],"&lt;&gt;0")</f>
        <v>10.429166666666665</v>
      </c>
      <c r="H53" s="12" cm="1">
        <f t="array" ref="H53">_xlfn.STDEV.S(_xlfn._xlws.FILTER(Cracow_result[HB_total_score],(Cracow_result[Category]="junior")*(Cracow_result[HB_total_score]&gt;0)))</f>
        <v>1.2993806799837939</v>
      </c>
      <c r="I53" s="12" cm="1">
        <f t="array" ref="I53">MAX(_xlfn._xlws.FILTER(Cracow_result[HB_total_score],Cracow_result[Category]="junior"))</f>
        <v>12.15</v>
      </c>
      <c r="J53" s="10" t="str" cm="1">
        <f t="array" ref="J53">IF(COUNTIFS(Cracow_result[HB_total_score],I53,Cracow_result[Category],"junior")&gt;1,_xlfn.XLOOKUP(I53,_xlfn._xlws.FILTER(Cracow_result[HB_total_score],Cracow_result[Category]="junior"),_xlfn._xlws.FILTER(Cracow_result[Name],Cracow_result[Category]="junior"),0)&amp;" and "&amp;(COUNTIFS(Cracow_result[HB_total_score],I53,Cracow_result[Category],"junior")-1)&amp;" more",_xlfn.XLOOKUP(I53,_xlfn._xlws.FILTER(Cracow_result[HB_total_score],Cracow_result[Category]="junior"),_xlfn._xlws.FILTER(Cracow_result[Name],Cracow_result[Category]="junior"),0))</f>
        <v>LEKHAC Tomasz</v>
      </c>
      <c r="AN53" t="s">
        <v>68</v>
      </c>
      <c r="AO53" t="s">
        <v>60</v>
      </c>
      <c r="AP53">
        <v>2004</v>
      </c>
      <c r="AQ53" t="s">
        <v>31</v>
      </c>
      <c r="AR53" t="s">
        <v>351</v>
      </c>
      <c r="AS53" t="s">
        <v>306</v>
      </c>
      <c r="AT53" t="s">
        <v>240</v>
      </c>
      <c r="AU53" t="s">
        <v>310</v>
      </c>
      <c r="AV53">
        <v>4</v>
      </c>
    </row>
    <row r="54" spans="1:48" ht="44.25" customHeight="1" x14ac:dyDescent="0.25">
      <c r="A54" s="2" t="s">
        <v>26</v>
      </c>
      <c r="B54" s="10" t="s">
        <v>241</v>
      </c>
      <c r="C54" s="11">
        <f>AVERAGEIFS(Cracow_result[PB_Dscore],Cracow_result[[Category]:[Category]],"junior",Cracow_result[PB_Dscore],"&lt;&gt;0")</f>
        <v>3.0500000000000003</v>
      </c>
      <c r="D54" s="11" cm="1">
        <f t="array" ref="D54">_xlfn.STDEV.S(_xlfn._xlws.FILTER(Cracow_result[PB_Dscore],(Cracow_result[Category]="junior")*(Cracow_result[PB_Dscore]&gt;0)))</f>
        <v>0.53851648071345026</v>
      </c>
      <c r="E54" s="12">
        <f>AVERAGEIFS(Cracow_result[PB_Escore],Cracow_result[[Category]:[Category]],"junior",Cracow_result[PB_Escore],"&lt;&gt;0")</f>
        <v>8.2083333333333321</v>
      </c>
      <c r="F54" s="12" cm="1">
        <f t="array" ref="F54">_xlfn.STDEV.S(_xlfn._xlws.FILTER(Cracow_result[PB_Escore],(Cracow_result[Category]="junior")*(Cracow_result[PB_Escore]&gt;0)))</f>
        <v>0.63562186204940407</v>
      </c>
      <c r="G54" s="12">
        <f>AVERAGEIFS(Cracow_result[PB_total_score],Cracow_result[[Category]:[Category]],"junior",Cracow_result[PB_total_score],"&lt;&gt;0")</f>
        <v>11.258333333333335</v>
      </c>
      <c r="H54" s="12" cm="1">
        <f t="array" ref="H54">_xlfn.STDEV.S(_xlfn._xlws.FILTER(Cracow_result[PB_total_score],(Cracow_result[Category]="junior")*(Cracow_result[PB_total_score]&gt;0)))</f>
        <v>0.87926449979858778</v>
      </c>
      <c r="I54" s="12" cm="1">
        <f t="array" ref="I54">MAX(_xlfn._xlws.FILTER(Cracow_result[PB_total_score],Cracow_result[Category]="junior"))</f>
        <v>12.8</v>
      </c>
      <c r="J54" s="10" t="str" cm="1">
        <f t="array" ref="J54">IF(COUNTIFS(Cracow_result[PB_total_score],I54,Cracow_result[Category],"junior")&gt;1,_xlfn.XLOOKUP(I54,_xlfn._xlws.FILTER(Cracow_result[PB_total_score],Cracow_result[Category]="junior"),_xlfn._xlws.FILTER(Cracow_result[Name],Cracow_result[Category]="junior"),0)&amp;" and "&amp;(COUNTIFS(Cracow_result[PB_total_score],I54,Cracow_result[Category],"junior")-1)&amp;" more",_xlfn.XLOOKUP(I54,_xlfn._xlws.FILTER(Cracow_result[PB_total_score],Cracow_result[Category]="junior"),_xlfn._xlws.FILTER(Cracow_result[Name],Cracow_result[Category]="junior"),0))</f>
        <v>LEKHAC Tomasz</v>
      </c>
      <c r="AN54" t="s">
        <v>68</v>
      </c>
      <c r="AO54" t="s">
        <v>60</v>
      </c>
      <c r="AP54">
        <v>2004</v>
      </c>
      <c r="AQ54" t="s">
        <v>31</v>
      </c>
      <c r="AR54" t="s">
        <v>351</v>
      </c>
      <c r="AS54" t="s">
        <v>306</v>
      </c>
      <c r="AT54" t="s">
        <v>240</v>
      </c>
      <c r="AU54" t="s">
        <v>311</v>
      </c>
      <c r="AV54">
        <v>9.35</v>
      </c>
    </row>
    <row r="55" spans="1:48" ht="44.25" customHeight="1" x14ac:dyDescent="0.25">
      <c r="A55" s="2" t="s">
        <v>26</v>
      </c>
      <c r="B55" s="10" t="s">
        <v>238</v>
      </c>
      <c r="C55" s="11">
        <f>AVERAGEIFS(Cracow_result[PH_Dscore],Cracow_result[[Category]:[Category]],"junior",Cracow_result[PH_Dscore],"&lt;&gt;0")</f>
        <v>2.8750000000000004</v>
      </c>
      <c r="D55" s="11" cm="1">
        <f t="array" ref="D55">_xlfn.STDEV.S(_xlfn._xlws.FILTER(Cracow_result[PH_Dscore],(Cracow_result[Category]="junior")*(Cracow_result[PH_Dscore]&gt;0)))</f>
        <v>0.59867277448460032</v>
      </c>
      <c r="E55" s="12">
        <f>AVERAGEIFS(Cracow_result[PH_Escore],Cracow_result[[Category]:[Category]],"junior",Cracow_result[PH_Escore],"&lt;&gt;0")</f>
        <v>6.762500000000002</v>
      </c>
      <c r="F55" s="12" cm="1">
        <f t="array" ref="F55">_xlfn.STDEV.S(_xlfn._xlws.FILTER(Cracow_result[PH_Escore],(Cracow_result[Category]="junior")*(Cracow_result[PH_Escore]&gt;0)))</f>
        <v>1.7350825235810414</v>
      </c>
      <c r="G55" s="12">
        <f>AVERAGEIFS(Cracow_result[PH_Total_Score],Cracow_result[[Category]:[Category]],"junior",Cracow_result[PH_Total_Score],"&lt;&gt;0")</f>
        <v>9.6375000000000011</v>
      </c>
      <c r="H55" s="12" cm="1">
        <f t="array" ref="H55">_xlfn.STDEV.S(_xlfn._xlws.FILTER(Cracow_result[PH_Total_Score],(Cracow_result[Category]="junior")*(Cracow_result[PH_Total_Score]&gt;0)))</f>
        <v>2.2044505602819169</v>
      </c>
      <c r="I55" s="12" cm="1">
        <f t="array" ref="I55">MAX(_xlfn._xlws.FILTER(Cracow_result[PH_Total_Score],Cracow_result[Category]="junior"))</f>
        <v>12.35</v>
      </c>
      <c r="J55" s="10" t="str" cm="1">
        <f t="array" ref="J55">IF(COUNTIFS(Cracow_result[PH_Total_Score],I55,Cracow_result[Category],"junior")&gt;1,_xlfn.XLOOKUP(I55,_xlfn._xlws.FILTER(Cracow_result[PH_Total_Score],Cracow_result[Category]="junior"),_xlfn._xlws.FILTER(Cracow_result[Name],Cracow_result[Category]="junior"),0)&amp;" and "&amp;(COUNTIFS(Cracow_result[PH_Total_Score],I55,Cracow_result[Category],"junior")-1)&amp;" more",_xlfn.XLOOKUP(I55,_xlfn._xlws.FILTER(Cracow_result[PH_Total_Score],Cracow_result[Category]="junior"),_xlfn._xlws.FILTER(Cracow_result[Name],Cracow_result[Category]="junior"),0))</f>
        <v>LEKHAC Tomasz</v>
      </c>
      <c r="AN55" t="s">
        <v>68</v>
      </c>
      <c r="AO55" t="s">
        <v>60</v>
      </c>
      <c r="AP55">
        <v>2004</v>
      </c>
      <c r="AQ55" t="s">
        <v>31</v>
      </c>
      <c r="AR55" t="s">
        <v>351</v>
      </c>
      <c r="AS55" t="s">
        <v>306</v>
      </c>
      <c r="AT55" t="s">
        <v>240</v>
      </c>
      <c r="AU55" t="s">
        <v>268</v>
      </c>
      <c r="AV55">
        <v>13.35</v>
      </c>
    </row>
    <row r="56" spans="1:48" ht="44.25" customHeight="1" x14ac:dyDescent="0.25">
      <c r="A56" s="2" t="s">
        <v>26</v>
      </c>
      <c r="B56" s="10" t="s">
        <v>239</v>
      </c>
      <c r="C56" s="11">
        <f>AVERAGEIFS(Cracow_result[SR_Dscore],Cracow_result[[Category]:[Category]],"junior",Cracow_result[SR_Dscore],"&lt;&gt;0")</f>
        <v>2.6153846153846154</v>
      </c>
      <c r="D56" s="11" cm="1">
        <f t="array" ref="D56">_xlfn.STDEV.S(_xlfn._xlws.FILTER(Cracow_result[SR_Dscore],(Cracow_result[Category]="junior")*(Cracow_result[SR_Dscore]&gt;0)))</f>
        <v>0.69981682585058547</v>
      </c>
      <c r="E56" s="12">
        <f>AVERAGEIFS(Cracow_result[SR_Escore],Cracow_result[[Category]:[Category]],"junior",Cracow_result[SR_Escore],"&lt;&gt;0")</f>
        <v>7.4307692307692301</v>
      </c>
      <c r="F56" s="12" cm="1">
        <f t="array" ref="F56">_xlfn.STDEV.S(_xlfn._xlws.FILTER(Cracow_result[SR_Escore],(Cracow_result[Category]="junior")*(Cracow_result[SR_Escore]&gt;0)))</f>
        <v>0.59635645853887231</v>
      </c>
      <c r="G56" s="12">
        <f>AVERAGEIFS(Cracow_result[SR_Total_Score],Cracow_result[[Category]:[Category]],"junior",Cracow_result[SR_Total_Score],"&lt;&gt;0")</f>
        <v>10.046153846153848</v>
      </c>
      <c r="H56" s="12" cm="1">
        <f t="array" ref="H56">_xlfn.STDEV.S(_xlfn._xlws.FILTER(Cracow_result[SR_Total_Score],(Cracow_result[Category]="junior")*(Cracow_result[SR_Total_Score]&gt;0)))</f>
        <v>1.0235684186669241</v>
      </c>
      <c r="I56" s="12" cm="1">
        <f t="array" ref="I56">MAX(_xlfn._xlws.FILTER(Cracow_result[SR_Total_Score],Cracow_result[Category]="junior"))</f>
        <v>11.5</v>
      </c>
      <c r="J56" s="10" t="str" cm="1">
        <f t="array" ref="J56">IF(COUNTIFS(Cracow_result[SR_Total_Score],I56,Cracow_result[Category],"junior")&gt;1,_xlfn.XLOOKUP(I56,_xlfn._xlws.FILTER(Cracow_result[SR_Total_Score],Cracow_result[Category]="junior"),_xlfn._xlws.FILTER(Cracow_result[Name],Cracow_result[Category]="junior"),0)&amp;" and "&amp;(COUNTIFS(Cracow_result[SR_Total_Score],I56,Cracow_result[Category],"junior")-1)&amp;" more",_xlfn.XLOOKUP(I56,_xlfn._xlws.FILTER(Cracow_result[SR_Total_Score],Cracow_result[Category]="junior"),_xlfn._xlws.FILTER(Cracow_result[Name],Cracow_result[Category]="junior"),0))</f>
        <v>AZUMI Vincent</v>
      </c>
      <c r="AN56" t="s">
        <v>68</v>
      </c>
      <c r="AO56" t="s">
        <v>60</v>
      </c>
      <c r="AP56">
        <v>2004</v>
      </c>
      <c r="AQ56" t="s">
        <v>31</v>
      </c>
      <c r="AR56" t="s">
        <v>351</v>
      </c>
      <c r="AS56" t="s">
        <v>306</v>
      </c>
      <c r="AT56" t="s">
        <v>316</v>
      </c>
      <c r="AU56" t="s">
        <v>310</v>
      </c>
      <c r="AV56">
        <v>3.4</v>
      </c>
    </row>
    <row r="57" spans="1:48" ht="44.25" customHeight="1" x14ac:dyDescent="0.25">
      <c r="A57" s="2" t="s">
        <v>26</v>
      </c>
      <c r="B57" s="10" t="s">
        <v>240</v>
      </c>
      <c r="C57" s="11">
        <f>AVERAGEIFS(Cracow_result[VT_Dscore],Cracow_result[[Category]:[Category]],"junior",Cracow_result[VT_Dscore],"&lt;&gt;0")</f>
        <v>2.5428571428571431</v>
      </c>
      <c r="D57" s="11" cm="1">
        <f t="array" ref="D57">_xlfn.STDEV.S(_xlfn._xlws.FILTER(Cracow_result[VT_Dscore],(Cracow_result[Category]="junior")*(Cracow_result[VT_Dscore]&gt;0)))</f>
        <v>0.70788339512867626</v>
      </c>
      <c r="E57" s="12">
        <f>AVERAGEIFS(Cracow_result[VT_Escore],Cracow_result[[Category]:[Category]],"junior",Cracow_result[VT_Escore],"&lt;&gt;0")</f>
        <v>8.7785714285714285</v>
      </c>
      <c r="F57" s="12" cm="1">
        <f t="array" ref="F57">_xlfn.STDEV.S(_xlfn._xlws.FILTER(Cracow_result[VT_Escore],(Cracow_result[Category]="junior")*(Cracow_result[VT_Escore]&gt;0)))</f>
        <v>0.43532228808722212</v>
      </c>
      <c r="G57" s="12">
        <f>AVERAGEIFS(Cracow_result[VT_total_score],Cracow_result[[Category]:[Category]],"junior",Cracow_result[VT_total_score],"&lt;&gt;0")</f>
        <v>11.321428571428573</v>
      </c>
      <c r="H57" s="12" cm="1">
        <f t="array" ref="H57">_xlfn.STDEV.S(_xlfn._xlws.FILTER(Cracow_result[VT_total_score],(Cracow_result[Category]="junior")*(Cracow_result[VT_total_score]&gt;0)))</f>
        <v>0.75465587820243929</v>
      </c>
      <c r="I57" s="12" cm="1">
        <f t="array" ref="I57">MAX(_xlfn._xlws.FILTER(Cracow_result[VT_total_score],Cracow_result[Category]="junior"))</f>
        <v>12.8</v>
      </c>
      <c r="J57" s="10" t="str" cm="1">
        <f t="array" ref="J57">IF(COUNTIFS(Cracow_result[VT_total_score],I57,Cracow_result[Category],"junior")&gt;1,_xlfn.XLOOKUP(I57,_xlfn._xlws.FILTER(Cracow_result[VT_total_score],Cracow_result[Category]="junior"),_xlfn._xlws.FILTER(Cracow_result[Name],Cracow_result[Category]="junior"),0)&amp;" and "&amp;(COUNTIFS(Cracow_result[VT_total_score],I57,Cracow_result[Category],"junior")-1)&amp;" more",_xlfn.XLOOKUP(I57,_xlfn._xlws.FILTER(Cracow_result[VT_total_score],Cracow_result[Category]="junior"),_xlfn._xlws.FILTER(Cracow_result[Name],Cracow_result[Category]="junior"),0))</f>
        <v>KOPERSKI Filip</v>
      </c>
      <c r="AN57" t="s">
        <v>68</v>
      </c>
      <c r="AO57" t="s">
        <v>60</v>
      </c>
      <c r="AP57">
        <v>2004</v>
      </c>
      <c r="AQ57" t="s">
        <v>31</v>
      </c>
      <c r="AR57" t="s">
        <v>351</v>
      </c>
      <c r="AS57" t="s">
        <v>306</v>
      </c>
      <c r="AT57" t="s">
        <v>316</v>
      </c>
      <c r="AU57" t="s">
        <v>311</v>
      </c>
      <c r="AV57">
        <v>8.75</v>
      </c>
    </row>
    <row r="58" spans="1:48" ht="44.25" customHeight="1" x14ac:dyDescent="0.25">
      <c r="AN58" t="s">
        <v>68</v>
      </c>
      <c r="AO58" t="s">
        <v>60</v>
      </c>
      <c r="AP58">
        <v>2004</v>
      </c>
      <c r="AQ58" t="s">
        <v>31</v>
      </c>
      <c r="AR58" t="s">
        <v>351</v>
      </c>
      <c r="AS58" t="s">
        <v>306</v>
      </c>
      <c r="AT58" t="s">
        <v>316</v>
      </c>
      <c r="AU58" t="s">
        <v>268</v>
      </c>
      <c r="AV58">
        <v>12.15</v>
      </c>
    </row>
    <row r="59" spans="1:48" ht="44.25" customHeight="1" x14ac:dyDescent="0.25">
      <c r="AN59" t="s">
        <v>68</v>
      </c>
      <c r="AO59" t="s">
        <v>60</v>
      </c>
      <c r="AP59">
        <v>2004</v>
      </c>
      <c r="AQ59" t="s">
        <v>31</v>
      </c>
      <c r="AR59" t="s">
        <v>351</v>
      </c>
      <c r="AS59" t="s">
        <v>306</v>
      </c>
      <c r="AT59" t="s">
        <v>242</v>
      </c>
      <c r="AU59" t="s">
        <v>310</v>
      </c>
      <c r="AV59">
        <v>2.6</v>
      </c>
    </row>
    <row r="60" spans="1:48" ht="44.25" customHeight="1" x14ac:dyDescent="0.25">
      <c r="AN60" t="s">
        <v>68</v>
      </c>
      <c r="AO60" t="s">
        <v>60</v>
      </c>
      <c r="AP60">
        <v>2004</v>
      </c>
      <c r="AQ60" t="s">
        <v>31</v>
      </c>
      <c r="AR60" t="s">
        <v>351</v>
      </c>
      <c r="AS60" t="s">
        <v>306</v>
      </c>
      <c r="AT60" t="s">
        <v>242</v>
      </c>
      <c r="AU60" t="s">
        <v>311</v>
      </c>
      <c r="AV60">
        <v>8.9</v>
      </c>
    </row>
    <row r="61" spans="1:48" ht="44.25" customHeight="1" x14ac:dyDescent="0.25">
      <c r="AN61" t="s">
        <v>68</v>
      </c>
      <c r="AO61" t="s">
        <v>60</v>
      </c>
      <c r="AP61">
        <v>2004</v>
      </c>
      <c r="AQ61" t="s">
        <v>31</v>
      </c>
      <c r="AR61" t="s">
        <v>351</v>
      </c>
      <c r="AS61" t="s">
        <v>306</v>
      </c>
      <c r="AT61" t="s">
        <v>242</v>
      </c>
      <c r="AU61" t="s">
        <v>268</v>
      </c>
      <c r="AV61">
        <v>11.5</v>
      </c>
    </row>
    <row r="62" spans="1:48" x14ac:dyDescent="0.25">
      <c r="AN62" t="s">
        <v>68</v>
      </c>
      <c r="AO62" t="s">
        <v>60</v>
      </c>
      <c r="AP62">
        <v>2004</v>
      </c>
      <c r="AQ62" t="s">
        <v>31</v>
      </c>
      <c r="AR62" t="s">
        <v>351</v>
      </c>
      <c r="AS62" t="s">
        <v>306</v>
      </c>
      <c r="AT62" t="s">
        <v>243</v>
      </c>
      <c r="AU62" t="s">
        <v>337</v>
      </c>
      <c r="AV62">
        <v>22.1</v>
      </c>
    </row>
    <row r="63" spans="1:48" x14ac:dyDescent="0.25">
      <c r="AN63" t="s">
        <v>68</v>
      </c>
      <c r="AO63" t="s">
        <v>60</v>
      </c>
      <c r="AP63">
        <v>2004</v>
      </c>
      <c r="AQ63" t="s">
        <v>31</v>
      </c>
      <c r="AR63" t="s">
        <v>351</v>
      </c>
      <c r="AS63" t="s">
        <v>306</v>
      </c>
      <c r="AT63" t="s">
        <v>243</v>
      </c>
      <c r="AU63" t="s">
        <v>338</v>
      </c>
      <c r="AV63">
        <v>51.55</v>
      </c>
    </row>
    <row r="64" spans="1:48" x14ac:dyDescent="0.25">
      <c r="AN64" t="s">
        <v>68</v>
      </c>
      <c r="AO64" t="s">
        <v>60</v>
      </c>
      <c r="AP64">
        <v>2004</v>
      </c>
      <c r="AQ64" t="s">
        <v>31</v>
      </c>
      <c r="AR64" t="s">
        <v>351</v>
      </c>
      <c r="AS64" t="s">
        <v>306</v>
      </c>
      <c r="AT64" t="s">
        <v>243</v>
      </c>
      <c r="AU64" t="s">
        <v>349</v>
      </c>
      <c r="AV64">
        <v>73.650000000000006</v>
      </c>
    </row>
    <row r="65" spans="40:48" x14ac:dyDescent="0.25">
      <c r="AN65" t="s">
        <v>118</v>
      </c>
      <c r="AO65" t="s">
        <v>60</v>
      </c>
      <c r="AP65">
        <v>2000</v>
      </c>
      <c r="AQ65" t="s">
        <v>31</v>
      </c>
      <c r="AR65" t="s">
        <v>351</v>
      </c>
      <c r="AS65" t="s">
        <v>306</v>
      </c>
      <c r="AT65" t="s">
        <v>218</v>
      </c>
      <c r="AU65" t="s">
        <v>310</v>
      </c>
      <c r="AV65">
        <v>4.8</v>
      </c>
    </row>
    <row r="66" spans="40:48" x14ac:dyDescent="0.25">
      <c r="AN66" t="s">
        <v>118</v>
      </c>
      <c r="AO66" t="s">
        <v>60</v>
      </c>
      <c r="AP66">
        <v>2000</v>
      </c>
      <c r="AQ66" t="s">
        <v>31</v>
      </c>
      <c r="AR66" t="s">
        <v>351</v>
      </c>
      <c r="AS66" t="s">
        <v>306</v>
      </c>
      <c r="AT66" t="s">
        <v>218</v>
      </c>
      <c r="AU66" t="s">
        <v>311</v>
      </c>
      <c r="AV66">
        <v>7.7</v>
      </c>
    </row>
    <row r="67" spans="40:48" x14ac:dyDescent="0.25">
      <c r="AN67" t="s">
        <v>118</v>
      </c>
      <c r="AO67" t="s">
        <v>60</v>
      </c>
      <c r="AP67">
        <v>2000</v>
      </c>
      <c r="AQ67" t="s">
        <v>31</v>
      </c>
      <c r="AR67" t="s">
        <v>351</v>
      </c>
      <c r="AS67" t="s">
        <v>306</v>
      </c>
      <c r="AT67" t="s">
        <v>218</v>
      </c>
      <c r="AU67" t="s">
        <v>268</v>
      </c>
      <c r="AV67">
        <v>12.5</v>
      </c>
    </row>
    <row r="68" spans="40:48" x14ac:dyDescent="0.25">
      <c r="AN68" t="s">
        <v>118</v>
      </c>
      <c r="AO68" t="s">
        <v>60</v>
      </c>
      <c r="AP68">
        <v>2000</v>
      </c>
      <c r="AQ68" t="s">
        <v>31</v>
      </c>
      <c r="AR68" t="s">
        <v>351</v>
      </c>
      <c r="AS68" t="s">
        <v>306</v>
      </c>
      <c r="AT68" t="s">
        <v>238</v>
      </c>
      <c r="AU68" t="s">
        <v>310</v>
      </c>
      <c r="AV68">
        <v>4.5999999999999996</v>
      </c>
    </row>
    <row r="69" spans="40:48" x14ac:dyDescent="0.25">
      <c r="AN69" t="s">
        <v>118</v>
      </c>
      <c r="AO69" t="s">
        <v>60</v>
      </c>
      <c r="AP69">
        <v>2000</v>
      </c>
      <c r="AQ69" t="s">
        <v>31</v>
      </c>
      <c r="AR69" t="s">
        <v>351</v>
      </c>
      <c r="AS69" t="s">
        <v>306</v>
      </c>
      <c r="AT69" t="s">
        <v>238</v>
      </c>
      <c r="AU69" t="s">
        <v>311</v>
      </c>
      <c r="AV69">
        <v>7.7</v>
      </c>
    </row>
    <row r="70" spans="40:48" x14ac:dyDescent="0.25">
      <c r="AN70" t="s">
        <v>118</v>
      </c>
      <c r="AO70" t="s">
        <v>60</v>
      </c>
      <c r="AP70">
        <v>2000</v>
      </c>
      <c r="AQ70" t="s">
        <v>31</v>
      </c>
      <c r="AR70" t="s">
        <v>351</v>
      </c>
      <c r="AS70" t="s">
        <v>306</v>
      </c>
      <c r="AT70" t="s">
        <v>238</v>
      </c>
      <c r="AU70" t="s">
        <v>268</v>
      </c>
      <c r="AV70">
        <v>12.3</v>
      </c>
    </row>
    <row r="71" spans="40:48" x14ac:dyDescent="0.25">
      <c r="AN71" t="s">
        <v>118</v>
      </c>
      <c r="AO71" t="s">
        <v>60</v>
      </c>
      <c r="AP71">
        <v>2000</v>
      </c>
      <c r="AQ71" t="s">
        <v>31</v>
      </c>
      <c r="AR71" t="s">
        <v>351</v>
      </c>
      <c r="AS71" t="s">
        <v>306</v>
      </c>
      <c r="AT71" t="s">
        <v>239</v>
      </c>
      <c r="AU71" t="s">
        <v>310</v>
      </c>
      <c r="AV71">
        <v>4</v>
      </c>
    </row>
    <row r="72" spans="40:48" x14ac:dyDescent="0.25">
      <c r="AN72" t="s">
        <v>118</v>
      </c>
      <c r="AO72" t="s">
        <v>60</v>
      </c>
      <c r="AP72">
        <v>2000</v>
      </c>
      <c r="AQ72" t="s">
        <v>31</v>
      </c>
      <c r="AR72" t="s">
        <v>351</v>
      </c>
      <c r="AS72" t="s">
        <v>306</v>
      </c>
      <c r="AT72" t="s">
        <v>239</v>
      </c>
      <c r="AU72" t="s">
        <v>311</v>
      </c>
      <c r="AV72">
        <v>7.65</v>
      </c>
    </row>
    <row r="73" spans="40:48" x14ac:dyDescent="0.25">
      <c r="AN73" t="s">
        <v>118</v>
      </c>
      <c r="AO73" t="s">
        <v>60</v>
      </c>
      <c r="AP73">
        <v>2000</v>
      </c>
      <c r="AQ73" t="s">
        <v>31</v>
      </c>
      <c r="AR73" t="s">
        <v>351</v>
      </c>
      <c r="AS73" t="s">
        <v>306</v>
      </c>
      <c r="AT73" t="s">
        <v>239</v>
      </c>
      <c r="AU73" t="s">
        <v>268</v>
      </c>
      <c r="AV73">
        <v>11.65</v>
      </c>
    </row>
    <row r="74" spans="40:48" x14ac:dyDescent="0.25">
      <c r="AN74" t="s">
        <v>118</v>
      </c>
      <c r="AO74" t="s">
        <v>60</v>
      </c>
      <c r="AP74">
        <v>2000</v>
      </c>
      <c r="AQ74" t="s">
        <v>31</v>
      </c>
      <c r="AR74" t="s">
        <v>351</v>
      </c>
      <c r="AS74" t="s">
        <v>306</v>
      </c>
      <c r="AT74" t="s">
        <v>240</v>
      </c>
      <c r="AU74" t="s">
        <v>310</v>
      </c>
      <c r="AV74">
        <v>4</v>
      </c>
    </row>
    <row r="75" spans="40:48" x14ac:dyDescent="0.25">
      <c r="AN75" t="s">
        <v>118</v>
      </c>
      <c r="AO75" t="s">
        <v>60</v>
      </c>
      <c r="AP75">
        <v>2000</v>
      </c>
      <c r="AQ75" t="s">
        <v>31</v>
      </c>
      <c r="AR75" t="s">
        <v>351</v>
      </c>
      <c r="AS75" t="s">
        <v>306</v>
      </c>
      <c r="AT75" t="s">
        <v>240</v>
      </c>
      <c r="AU75" t="s">
        <v>311</v>
      </c>
      <c r="AV75">
        <v>9.3000000000000007</v>
      </c>
    </row>
    <row r="76" spans="40:48" x14ac:dyDescent="0.25">
      <c r="AN76" t="s">
        <v>118</v>
      </c>
      <c r="AO76" t="s">
        <v>60</v>
      </c>
      <c r="AP76">
        <v>2000</v>
      </c>
      <c r="AQ76" t="s">
        <v>31</v>
      </c>
      <c r="AR76" t="s">
        <v>351</v>
      </c>
      <c r="AS76" t="s">
        <v>306</v>
      </c>
      <c r="AT76" t="s">
        <v>240</v>
      </c>
      <c r="AU76" t="s">
        <v>268</v>
      </c>
      <c r="AV76">
        <v>13.3</v>
      </c>
    </row>
    <row r="77" spans="40:48" x14ac:dyDescent="0.25">
      <c r="AN77" t="s">
        <v>118</v>
      </c>
      <c r="AO77" t="s">
        <v>60</v>
      </c>
      <c r="AP77">
        <v>2000</v>
      </c>
      <c r="AQ77" t="s">
        <v>31</v>
      </c>
      <c r="AR77" t="s">
        <v>351</v>
      </c>
      <c r="AS77" t="s">
        <v>306</v>
      </c>
      <c r="AT77" t="s">
        <v>316</v>
      </c>
      <c r="AU77" t="s">
        <v>310</v>
      </c>
      <c r="AV77">
        <v>4.3</v>
      </c>
    </row>
    <row r="78" spans="40:48" x14ac:dyDescent="0.25">
      <c r="AN78" t="s">
        <v>118</v>
      </c>
      <c r="AO78" t="s">
        <v>60</v>
      </c>
      <c r="AP78">
        <v>2000</v>
      </c>
      <c r="AQ78" t="s">
        <v>31</v>
      </c>
      <c r="AR78" t="s">
        <v>351</v>
      </c>
      <c r="AS78" t="s">
        <v>306</v>
      </c>
      <c r="AT78" t="s">
        <v>316</v>
      </c>
      <c r="AU78" t="s">
        <v>311</v>
      </c>
      <c r="AV78">
        <v>7.1</v>
      </c>
    </row>
    <row r="79" spans="40:48" x14ac:dyDescent="0.25">
      <c r="AN79" t="s">
        <v>118</v>
      </c>
      <c r="AO79" t="s">
        <v>60</v>
      </c>
      <c r="AP79">
        <v>2000</v>
      </c>
      <c r="AQ79" t="s">
        <v>31</v>
      </c>
      <c r="AR79" t="s">
        <v>351</v>
      </c>
      <c r="AS79" t="s">
        <v>306</v>
      </c>
      <c r="AT79" t="s">
        <v>316</v>
      </c>
      <c r="AU79" t="s">
        <v>268</v>
      </c>
      <c r="AV79">
        <v>11.4</v>
      </c>
    </row>
    <row r="80" spans="40:48" x14ac:dyDescent="0.25">
      <c r="AN80" t="s">
        <v>118</v>
      </c>
      <c r="AO80" t="s">
        <v>60</v>
      </c>
      <c r="AP80">
        <v>2000</v>
      </c>
      <c r="AQ80" t="s">
        <v>31</v>
      </c>
      <c r="AR80" t="s">
        <v>351</v>
      </c>
      <c r="AS80" t="s">
        <v>306</v>
      </c>
      <c r="AT80" t="s">
        <v>242</v>
      </c>
      <c r="AU80" t="s">
        <v>310</v>
      </c>
      <c r="AV80">
        <v>3.7</v>
      </c>
    </row>
    <row r="81" spans="40:48" x14ac:dyDescent="0.25">
      <c r="AN81" t="s">
        <v>118</v>
      </c>
      <c r="AO81" t="s">
        <v>60</v>
      </c>
      <c r="AP81">
        <v>2000</v>
      </c>
      <c r="AQ81" t="s">
        <v>31</v>
      </c>
      <c r="AR81" t="s">
        <v>351</v>
      </c>
      <c r="AS81" t="s">
        <v>306</v>
      </c>
      <c r="AT81" t="s">
        <v>242</v>
      </c>
      <c r="AU81" t="s">
        <v>311</v>
      </c>
      <c r="AV81">
        <v>8.15</v>
      </c>
    </row>
    <row r="82" spans="40:48" x14ac:dyDescent="0.25">
      <c r="AN82" t="s">
        <v>118</v>
      </c>
      <c r="AO82" t="s">
        <v>60</v>
      </c>
      <c r="AP82">
        <v>2000</v>
      </c>
      <c r="AQ82" t="s">
        <v>31</v>
      </c>
      <c r="AR82" t="s">
        <v>351</v>
      </c>
      <c r="AS82" t="s">
        <v>306</v>
      </c>
      <c r="AT82" t="s">
        <v>242</v>
      </c>
      <c r="AU82" t="s">
        <v>268</v>
      </c>
      <c r="AV82">
        <v>11.85</v>
      </c>
    </row>
    <row r="83" spans="40:48" x14ac:dyDescent="0.25">
      <c r="AN83" t="s">
        <v>118</v>
      </c>
      <c r="AO83" t="s">
        <v>60</v>
      </c>
      <c r="AP83">
        <v>2000</v>
      </c>
      <c r="AQ83" t="s">
        <v>31</v>
      </c>
      <c r="AR83" t="s">
        <v>351</v>
      </c>
      <c r="AS83" t="s">
        <v>306</v>
      </c>
      <c r="AT83" t="s">
        <v>243</v>
      </c>
      <c r="AU83" t="s">
        <v>337</v>
      </c>
      <c r="AV83">
        <v>25.4</v>
      </c>
    </row>
    <row r="84" spans="40:48" x14ac:dyDescent="0.25">
      <c r="AN84" t="s">
        <v>118</v>
      </c>
      <c r="AO84" t="s">
        <v>60</v>
      </c>
      <c r="AP84">
        <v>2000</v>
      </c>
      <c r="AQ84" t="s">
        <v>31</v>
      </c>
      <c r="AR84" t="s">
        <v>351</v>
      </c>
      <c r="AS84" t="s">
        <v>306</v>
      </c>
      <c r="AT84" t="s">
        <v>243</v>
      </c>
      <c r="AU84" t="s">
        <v>338</v>
      </c>
      <c r="AV84">
        <v>47.6</v>
      </c>
    </row>
    <row r="85" spans="40:48" x14ac:dyDescent="0.25">
      <c r="AN85" t="s">
        <v>118</v>
      </c>
      <c r="AO85" t="s">
        <v>60</v>
      </c>
      <c r="AP85">
        <v>2000</v>
      </c>
      <c r="AQ85" t="s">
        <v>31</v>
      </c>
      <c r="AR85" t="s">
        <v>351</v>
      </c>
      <c r="AS85" t="s">
        <v>306</v>
      </c>
      <c r="AT85" t="s">
        <v>243</v>
      </c>
      <c r="AU85" t="s">
        <v>349</v>
      </c>
      <c r="AV85">
        <v>73</v>
      </c>
    </row>
    <row r="86" spans="40:48" x14ac:dyDescent="0.25">
      <c r="AN86" t="s">
        <v>116</v>
      </c>
      <c r="AO86" t="s">
        <v>60</v>
      </c>
      <c r="AP86">
        <v>1996</v>
      </c>
      <c r="AQ86" t="s">
        <v>62</v>
      </c>
      <c r="AR86" t="s">
        <v>351</v>
      </c>
      <c r="AS86" t="s">
        <v>306</v>
      </c>
      <c r="AT86" t="s">
        <v>218</v>
      </c>
      <c r="AU86" t="s">
        <v>310</v>
      </c>
      <c r="AV86">
        <v>5.4</v>
      </c>
    </row>
    <row r="87" spans="40:48" x14ac:dyDescent="0.25">
      <c r="AN87" t="s">
        <v>116</v>
      </c>
      <c r="AO87" t="s">
        <v>60</v>
      </c>
      <c r="AP87">
        <v>1996</v>
      </c>
      <c r="AQ87" t="s">
        <v>62</v>
      </c>
      <c r="AR87" t="s">
        <v>351</v>
      </c>
      <c r="AS87" t="s">
        <v>306</v>
      </c>
      <c r="AT87" t="s">
        <v>218</v>
      </c>
      <c r="AU87" t="s">
        <v>311</v>
      </c>
      <c r="AV87">
        <v>8.25</v>
      </c>
    </row>
    <row r="88" spans="40:48" x14ac:dyDescent="0.25">
      <c r="AN88" t="s">
        <v>116</v>
      </c>
      <c r="AO88" t="s">
        <v>60</v>
      </c>
      <c r="AP88">
        <v>1996</v>
      </c>
      <c r="AQ88" t="s">
        <v>62</v>
      </c>
      <c r="AR88" t="s">
        <v>351</v>
      </c>
      <c r="AS88" t="s">
        <v>306</v>
      </c>
      <c r="AT88" t="s">
        <v>218</v>
      </c>
      <c r="AU88" t="s">
        <v>268</v>
      </c>
      <c r="AV88">
        <v>13.65</v>
      </c>
    </row>
    <row r="89" spans="40:48" x14ac:dyDescent="0.25">
      <c r="AN89" t="s">
        <v>116</v>
      </c>
      <c r="AO89" t="s">
        <v>60</v>
      </c>
      <c r="AP89">
        <v>1996</v>
      </c>
      <c r="AQ89" t="s">
        <v>62</v>
      </c>
      <c r="AR89" t="s">
        <v>351</v>
      </c>
      <c r="AS89" t="s">
        <v>306</v>
      </c>
      <c r="AT89" t="s">
        <v>238</v>
      </c>
      <c r="AU89" t="s">
        <v>310</v>
      </c>
      <c r="AV89">
        <v>4.2</v>
      </c>
    </row>
    <row r="90" spans="40:48" x14ac:dyDescent="0.25">
      <c r="AN90" t="s">
        <v>116</v>
      </c>
      <c r="AO90" t="s">
        <v>60</v>
      </c>
      <c r="AP90">
        <v>1996</v>
      </c>
      <c r="AQ90" t="s">
        <v>62</v>
      </c>
      <c r="AR90" t="s">
        <v>351</v>
      </c>
      <c r="AS90" t="s">
        <v>306</v>
      </c>
      <c r="AT90" t="s">
        <v>238</v>
      </c>
      <c r="AU90" t="s">
        <v>311</v>
      </c>
      <c r="AV90">
        <v>6.5</v>
      </c>
    </row>
    <row r="91" spans="40:48" x14ac:dyDescent="0.25">
      <c r="AN91" t="s">
        <v>116</v>
      </c>
      <c r="AO91" t="s">
        <v>60</v>
      </c>
      <c r="AP91">
        <v>1996</v>
      </c>
      <c r="AQ91" t="s">
        <v>62</v>
      </c>
      <c r="AR91" t="s">
        <v>351</v>
      </c>
      <c r="AS91" t="s">
        <v>306</v>
      </c>
      <c r="AT91" t="s">
        <v>238</v>
      </c>
      <c r="AU91" t="s">
        <v>268</v>
      </c>
      <c r="AV91">
        <v>10.7</v>
      </c>
    </row>
    <row r="92" spans="40:48" x14ac:dyDescent="0.25">
      <c r="AN92" t="s">
        <v>116</v>
      </c>
      <c r="AO92" t="s">
        <v>60</v>
      </c>
      <c r="AP92">
        <v>1996</v>
      </c>
      <c r="AQ92" t="s">
        <v>62</v>
      </c>
      <c r="AR92" t="s">
        <v>351</v>
      </c>
      <c r="AS92" t="s">
        <v>306</v>
      </c>
      <c r="AT92" t="s">
        <v>239</v>
      </c>
      <c r="AU92" t="s">
        <v>310</v>
      </c>
      <c r="AV92">
        <v>5</v>
      </c>
    </row>
    <row r="93" spans="40:48" x14ac:dyDescent="0.25">
      <c r="AN93" t="s">
        <v>116</v>
      </c>
      <c r="AO93" t="s">
        <v>60</v>
      </c>
      <c r="AP93">
        <v>1996</v>
      </c>
      <c r="AQ93" t="s">
        <v>62</v>
      </c>
      <c r="AR93" t="s">
        <v>351</v>
      </c>
      <c r="AS93" t="s">
        <v>306</v>
      </c>
      <c r="AT93" t="s">
        <v>239</v>
      </c>
      <c r="AU93" t="s">
        <v>311</v>
      </c>
      <c r="AV93">
        <v>8.1</v>
      </c>
    </row>
    <row r="94" spans="40:48" x14ac:dyDescent="0.25">
      <c r="AN94" t="s">
        <v>116</v>
      </c>
      <c r="AO94" t="s">
        <v>60</v>
      </c>
      <c r="AP94">
        <v>1996</v>
      </c>
      <c r="AQ94" t="s">
        <v>62</v>
      </c>
      <c r="AR94" t="s">
        <v>351</v>
      </c>
      <c r="AS94" t="s">
        <v>306</v>
      </c>
      <c r="AT94" t="s">
        <v>239</v>
      </c>
      <c r="AU94" t="s">
        <v>268</v>
      </c>
      <c r="AV94">
        <v>13.1</v>
      </c>
    </row>
    <row r="95" spans="40:48" x14ac:dyDescent="0.25">
      <c r="AN95" t="s">
        <v>116</v>
      </c>
      <c r="AO95" t="s">
        <v>60</v>
      </c>
      <c r="AP95">
        <v>1996</v>
      </c>
      <c r="AQ95" t="s">
        <v>62</v>
      </c>
      <c r="AR95" t="s">
        <v>351</v>
      </c>
      <c r="AS95" t="s">
        <v>306</v>
      </c>
      <c r="AT95" t="s">
        <v>240</v>
      </c>
      <c r="AU95" t="s">
        <v>310</v>
      </c>
      <c r="AV95">
        <v>5.2</v>
      </c>
    </row>
    <row r="96" spans="40:48" x14ac:dyDescent="0.25">
      <c r="AN96" t="s">
        <v>116</v>
      </c>
      <c r="AO96" t="s">
        <v>60</v>
      </c>
      <c r="AP96">
        <v>1996</v>
      </c>
      <c r="AQ96" t="s">
        <v>62</v>
      </c>
      <c r="AR96" t="s">
        <v>351</v>
      </c>
      <c r="AS96" t="s">
        <v>306</v>
      </c>
      <c r="AT96" t="s">
        <v>240</v>
      </c>
      <c r="AU96" t="s">
        <v>311</v>
      </c>
      <c r="AV96">
        <v>8.1</v>
      </c>
    </row>
    <row r="97" spans="40:48" x14ac:dyDescent="0.25">
      <c r="AN97" t="s">
        <v>116</v>
      </c>
      <c r="AO97" t="s">
        <v>60</v>
      </c>
      <c r="AP97">
        <v>1996</v>
      </c>
      <c r="AQ97" t="s">
        <v>62</v>
      </c>
      <c r="AR97" t="s">
        <v>351</v>
      </c>
      <c r="AS97" t="s">
        <v>306</v>
      </c>
      <c r="AT97" t="s">
        <v>240</v>
      </c>
      <c r="AU97" t="s">
        <v>268</v>
      </c>
      <c r="AV97">
        <v>13.3</v>
      </c>
    </row>
    <row r="98" spans="40:48" x14ac:dyDescent="0.25">
      <c r="AN98" t="s">
        <v>116</v>
      </c>
      <c r="AO98" t="s">
        <v>60</v>
      </c>
      <c r="AP98">
        <v>1996</v>
      </c>
      <c r="AQ98" t="s">
        <v>62</v>
      </c>
      <c r="AR98" t="s">
        <v>351</v>
      </c>
      <c r="AS98" t="s">
        <v>306</v>
      </c>
      <c r="AT98" t="s">
        <v>316</v>
      </c>
      <c r="AU98" t="s">
        <v>310</v>
      </c>
      <c r="AV98">
        <v>4.5</v>
      </c>
    </row>
    <row r="99" spans="40:48" x14ac:dyDescent="0.25">
      <c r="AN99" t="s">
        <v>116</v>
      </c>
      <c r="AO99" t="s">
        <v>60</v>
      </c>
      <c r="AP99">
        <v>1996</v>
      </c>
      <c r="AQ99" t="s">
        <v>62</v>
      </c>
      <c r="AR99" t="s">
        <v>351</v>
      </c>
      <c r="AS99" t="s">
        <v>306</v>
      </c>
      <c r="AT99" t="s">
        <v>316</v>
      </c>
      <c r="AU99" t="s">
        <v>311</v>
      </c>
      <c r="AV99">
        <v>6.45</v>
      </c>
    </row>
    <row r="100" spans="40:48" x14ac:dyDescent="0.25">
      <c r="AN100" t="s">
        <v>116</v>
      </c>
      <c r="AO100" t="s">
        <v>60</v>
      </c>
      <c r="AP100">
        <v>1996</v>
      </c>
      <c r="AQ100" t="s">
        <v>62</v>
      </c>
      <c r="AR100" t="s">
        <v>351</v>
      </c>
      <c r="AS100" t="s">
        <v>306</v>
      </c>
      <c r="AT100" t="s">
        <v>316</v>
      </c>
      <c r="AU100" t="s">
        <v>268</v>
      </c>
      <c r="AV100">
        <v>10.95</v>
      </c>
    </row>
    <row r="101" spans="40:48" x14ac:dyDescent="0.25">
      <c r="AN101" t="s">
        <v>116</v>
      </c>
      <c r="AO101" t="s">
        <v>60</v>
      </c>
      <c r="AP101">
        <v>1996</v>
      </c>
      <c r="AQ101" t="s">
        <v>62</v>
      </c>
      <c r="AR101" t="s">
        <v>351</v>
      </c>
      <c r="AS101" t="s">
        <v>306</v>
      </c>
      <c r="AT101" t="s">
        <v>242</v>
      </c>
      <c r="AU101" t="s">
        <v>310</v>
      </c>
      <c r="AV101">
        <v>4.5999999999999996</v>
      </c>
    </row>
    <row r="102" spans="40:48" x14ac:dyDescent="0.25">
      <c r="AN102" t="s">
        <v>116</v>
      </c>
      <c r="AO102" t="s">
        <v>60</v>
      </c>
      <c r="AP102">
        <v>1996</v>
      </c>
      <c r="AQ102" t="s">
        <v>62</v>
      </c>
      <c r="AR102" t="s">
        <v>351</v>
      </c>
      <c r="AS102" t="s">
        <v>306</v>
      </c>
      <c r="AT102" t="s">
        <v>242</v>
      </c>
      <c r="AU102" t="s">
        <v>311</v>
      </c>
      <c r="AV102">
        <v>6.65</v>
      </c>
    </row>
    <row r="103" spans="40:48" x14ac:dyDescent="0.25">
      <c r="AN103" t="s">
        <v>116</v>
      </c>
      <c r="AO103" t="s">
        <v>60</v>
      </c>
      <c r="AP103">
        <v>1996</v>
      </c>
      <c r="AQ103" t="s">
        <v>62</v>
      </c>
      <c r="AR103" t="s">
        <v>351</v>
      </c>
      <c r="AS103" t="s">
        <v>306</v>
      </c>
      <c r="AT103" t="s">
        <v>242</v>
      </c>
      <c r="AU103" t="s">
        <v>268</v>
      </c>
      <c r="AV103">
        <v>11.25</v>
      </c>
    </row>
    <row r="104" spans="40:48" x14ac:dyDescent="0.25">
      <c r="AN104" t="s">
        <v>116</v>
      </c>
      <c r="AO104" t="s">
        <v>60</v>
      </c>
      <c r="AP104">
        <v>1996</v>
      </c>
      <c r="AQ104" t="s">
        <v>62</v>
      </c>
      <c r="AR104" t="s">
        <v>351</v>
      </c>
      <c r="AS104" t="s">
        <v>306</v>
      </c>
      <c r="AT104" t="s">
        <v>243</v>
      </c>
      <c r="AU104" t="s">
        <v>337</v>
      </c>
      <c r="AV104">
        <v>28.9</v>
      </c>
    </row>
    <row r="105" spans="40:48" x14ac:dyDescent="0.25">
      <c r="AN105" t="s">
        <v>116</v>
      </c>
      <c r="AO105" t="s">
        <v>60</v>
      </c>
      <c r="AP105">
        <v>1996</v>
      </c>
      <c r="AQ105" t="s">
        <v>62</v>
      </c>
      <c r="AR105" t="s">
        <v>351</v>
      </c>
      <c r="AS105" t="s">
        <v>306</v>
      </c>
      <c r="AT105" t="s">
        <v>243</v>
      </c>
      <c r="AU105" t="s">
        <v>338</v>
      </c>
      <c r="AV105">
        <v>44.050000000000004</v>
      </c>
    </row>
    <row r="106" spans="40:48" x14ac:dyDescent="0.25">
      <c r="AN106" t="s">
        <v>116</v>
      </c>
      <c r="AO106" t="s">
        <v>60</v>
      </c>
      <c r="AP106">
        <v>1996</v>
      </c>
      <c r="AQ106" t="s">
        <v>62</v>
      </c>
      <c r="AR106" t="s">
        <v>351</v>
      </c>
      <c r="AS106" t="s">
        <v>306</v>
      </c>
      <c r="AT106" t="s">
        <v>243</v>
      </c>
      <c r="AU106" t="s">
        <v>349</v>
      </c>
      <c r="AV106">
        <v>72.95</v>
      </c>
    </row>
    <row r="107" spans="40:48" x14ac:dyDescent="0.25">
      <c r="AN107" t="s">
        <v>127</v>
      </c>
      <c r="AO107" t="s">
        <v>60</v>
      </c>
      <c r="AP107">
        <v>2000</v>
      </c>
      <c r="AQ107" t="s">
        <v>72</v>
      </c>
      <c r="AR107" t="s">
        <v>351</v>
      </c>
      <c r="AS107" t="s">
        <v>306</v>
      </c>
      <c r="AT107" t="s">
        <v>218</v>
      </c>
      <c r="AU107" t="s">
        <v>310</v>
      </c>
      <c r="AV107">
        <v>3.7</v>
      </c>
    </row>
    <row r="108" spans="40:48" x14ac:dyDescent="0.25">
      <c r="AN108" t="s">
        <v>127</v>
      </c>
      <c r="AO108" t="s">
        <v>60</v>
      </c>
      <c r="AP108">
        <v>2000</v>
      </c>
      <c r="AQ108" t="s">
        <v>72</v>
      </c>
      <c r="AR108" t="s">
        <v>351</v>
      </c>
      <c r="AS108" t="s">
        <v>306</v>
      </c>
      <c r="AT108" t="s">
        <v>218</v>
      </c>
      <c r="AU108" t="s">
        <v>311</v>
      </c>
      <c r="AV108">
        <v>7.1</v>
      </c>
    </row>
    <row r="109" spans="40:48" x14ac:dyDescent="0.25">
      <c r="AN109" t="s">
        <v>127</v>
      </c>
      <c r="AO109" t="s">
        <v>60</v>
      </c>
      <c r="AP109">
        <v>2000</v>
      </c>
      <c r="AQ109" t="s">
        <v>72</v>
      </c>
      <c r="AR109" t="s">
        <v>351</v>
      </c>
      <c r="AS109" t="s">
        <v>306</v>
      </c>
      <c r="AT109" t="s">
        <v>218</v>
      </c>
      <c r="AU109" t="s">
        <v>268</v>
      </c>
      <c r="AV109">
        <v>10.8</v>
      </c>
    </row>
    <row r="110" spans="40:48" x14ac:dyDescent="0.25">
      <c r="AN110" t="s">
        <v>127</v>
      </c>
      <c r="AO110" t="s">
        <v>60</v>
      </c>
      <c r="AP110">
        <v>2000</v>
      </c>
      <c r="AQ110" t="s">
        <v>72</v>
      </c>
      <c r="AR110" t="s">
        <v>351</v>
      </c>
      <c r="AS110" t="s">
        <v>306</v>
      </c>
      <c r="AT110" t="s">
        <v>238</v>
      </c>
      <c r="AU110" t="s">
        <v>310</v>
      </c>
      <c r="AV110">
        <v>4.4000000000000004</v>
      </c>
    </row>
    <row r="111" spans="40:48" x14ac:dyDescent="0.25">
      <c r="AN111" t="s">
        <v>127</v>
      </c>
      <c r="AO111" t="s">
        <v>60</v>
      </c>
      <c r="AP111">
        <v>2000</v>
      </c>
      <c r="AQ111" t="s">
        <v>72</v>
      </c>
      <c r="AR111" t="s">
        <v>351</v>
      </c>
      <c r="AS111" t="s">
        <v>306</v>
      </c>
      <c r="AT111" t="s">
        <v>238</v>
      </c>
      <c r="AU111" t="s">
        <v>311</v>
      </c>
      <c r="AV111">
        <v>7.2</v>
      </c>
    </row>
    <row r="112" spans="40:48" x14ac:dyDescent="0.25">
      <c r="AN112" t="s">
        <v>127</v>
      </c>
      <c r="AO112" t="s">
        <v>60</v>
      </c>
      <c r="AP112">
        <v>2000</v>
      </c>
      <c r="AQ112" t="s">
        <v>72</v>
      </c>
      <c r="AR112" t="s">
        <v>351</v>
      </c>
      <c r="AS112" t="s">
        <v>306</v>
      </c>
      <c r="AT112" t="s">
        <v>238</v>
      </c>
      <c r="AU112" t="s">
        <v>268</v>
      </c>
      <c r="AV112">
        <v>11.6</v>
      </c>
    </row>
    <row r="113" spans="40:48" x14ac:dyDescent="0.25">
      <c r="AN113" t="s">
        <v>127</v>
      </c>
      <c r="AO113" t="s">
        <v>60</v>
      </c>
      <c r="AP113">
        <v>2000</v>
      </c>
      <c r="AQ113" t="s">
        <v>72</v>
      </c>
      <c r="AR113" t="s">
        <v>351</v>
      </c>
      <c r="AS113" t="s">
        <v>306</v>
      </c>
      <c r="AT113" t="s">
        <v>239</v>
      </c>
      <c r="AU113" t="s">
        <v>310</v>
      </c>
      <c r="AV113">
        <v>3.8</v>
      </c>
    </row>
    <row r="114" spans="40:48" x14ac:dyDescent="0.25">
      <c r="AN114" t="s">
        <v>127</v>
      </c>
      <c r="AO114" t="s">
        <v>60</v>
      </c>
      <c r="AP114">
        <v>2000</v>
      </c>
      <c r="AQ114" t="s">
        <v>72</v>
      </c>
      <c r="AR114" t="s">
        <v>351</v>
      </c>
      <c r="AS114" t="s">
        <v>306</v>
      </c>
      <c r="AT114" t="s">
        <v>239</v>
      </c>
      <c r="AU114" t="s">
        <v>311</v>
      </c>
      <c r="AV114">
        <v>8.35</v>
      </c>
    </row>
    <row r="115" spans="40:48" x14ac:dyDescent="0.25">
      <c r="AN115" t="s">
        <v>127</v>
      </c>
      <c r="AO115" t="s">
        <v>60</v>
      </c>
      <c r="AP115">
        <v>2000</v>
      </c>
      <c r="AQ115" t="s">
        <v>72</v>
      </c>
      <c r="AR115" t="s">
        <v>351</v>
      </c>
      <c r="AS115" t="s">
        <v>306</v>
      </c>
      <c r="AT115" t="s">
        <v>239</v>
      </c>
      <c r="AU115" t="s">
        <v>268</v>
      </c>
      <c r="AV115">
        <v>12.15</v>
      </c>
    </row>
    <row r="116" spans="40:48" x14ac:dyDescent="0.25">
      <c r="AN116" t="s">
        <v>127</v>
      </c>
      <c r="AO116" t="s">
        <v>60</v>
      </c>
      <c r="AP116">
        <v>2000</v>
      </c>
      <c r="AQ116" t="s">
        <v>72</v>
      </c>
      <c r="AR116" t="s">
        <v>351</v>
      </c>
      <c r="AS116" t="s">
        <v>306</v>
      </c>
      <c r="AT116" t="s">
        <v>240</v>
      </c>
      <c r="AU116" t="s">
        <v>310</v>
      </c>
      <c r="AV116">
        <v>4</v>
      </c>
    </row>
    <row r="117" spans="40:48" x14ac:dyDescent="0.25">
      <c r="AN117" t="s">
        <v>127</v>
      </c>
      <c r="AO117" t="s">
        <v>60</v>
      </c>
      <c r="AP117">
        <v>2000</v>
      </c>
      <c r="AQ117" t="s">
        <v>72</v>
      </c>
      <c r="AR117" t="s">
        <v>351</v>
      </c>
      <c r="AS117" t="s">
        <v>306</v>
      </c>
      <c r="AT117" t="s">
        <v>240</v>
      </c>
      <c r="AU117" t="s">
        <v>311</v>
      </c>
      <c r="AV117">
        <v>9.15</v>
      </c>
    </row>
    <row r="118" spans="40:48" x14ac:dyDescent="0.25">
      <c r="AN118" t="s">
        <v>127</v>
      </c>
      <c r="AO118" t="s">
        <v>60</v>
      </c>
      <c r="AP118">
        <v>2000</v>
      </c>
      <c r="AQ118" t="s">
        <v>72</v>
      </c>
      <c r="AR118" t="s">
        <v>351</v>
      </c>
      <c r="AS118" t="s">
        <v>306</v>
      </c>
      <c r="AT118" t="s">
        <v>240</v>
      </c>
      <c r="AU118" t="s">
        <v>268</v>
      </c>
      <c r="AV118">
        <v>13.15</v>
      </c>
    </row>
    <row r="119" spans="40:48" x14ac:dyDescent="0.25">
      <c r="AN119" t="s">
        <v>127</v>
      </c>
      <c r="AO119" t="s">
        <v>60</v>
      </c>
      <c r="AP119">
        <v>2000</v>
      </c>
      <c r="AQ119" t="s">
        <v>72</v>
      </c>
      <c r="AR119" t="s">
        <v>351</v>
      </c>
      <c r="AS119" t="s">
        <v>306</v>
      </c>
      <c r="AT119" t="s">
        <v>316</v>
      </c>
      <c r="AU119" t="s">
        <v>310</v>
      </c>
      <c r="AV119">
        <v>4</v>
      </c>
    </row>
    <row r="120" spans="40:48" x14ac:dyDescent="0.25">
      <c r="AN120" t="s">
        <v>127</v>
      </c>
      <c r="AO120" t="s">
        <v>60</v>
      </c>
      <c r="AP120">
        <v>2000</v>
      </c>
      <c r="AQ120" t="s">
        <v>72</v>
      </c>
      <c r="AR120" t="s">
        <v>351</v>
      </c>
      <c r="AS120" t="s">
        <v>306</v>
      </c>
      <c r="AT120" t="s">
        <v>316</v>
      </c>
      <c r="AU120" t="s">
        <v>311</v>
      </c>
      <c r="AV120">
        <v>8.3000000000000007</v>
      </c>
    </row>
    <row r="121" spans="40:48" x14ac:dyDescent="0.25">
      <c r="AN121" t="s">
        <v>127</v>
      </c>
      <c r="AO121" t="s">
        <v>60</v>
      </c>
      <c r="AP121">
        <v>2000</v>
      </c>
      <c r="AQ121" t="s">
        <v>72</v>
      </c>
      <c r="AR121" t="s">
        <v>351</v>
      </c>
      <c r="AS121" t="s">
        <v>306</v>
      </c>
      <c r="AT121" t="s">
        <v>316</v>
      </c>
      <c r="AU121" t="s">
        <v>268</v>
      </c>
      <c r="AV121">
        <v>12.3</v>
      </c>
    </row>
    <row r="122" spans="40:48" x14ac:dyDescent="0.25">
      <c r="AN122" t="s">
        <v>127</v>
      </c>
      <c r="AO122" t="s">
        <v>60</v>
      </c>
      <c r="AP122">
        <v>2000</v>
      </c>
      <c r="AQ122" t="s">
        <v>72</v>
      </c>
      <c r="AR122" t="s">
        <v>351</v>
      </c>
      <c r="AS122" t="s">
        <v>306</v>
      </c>
      <c r="AT122" t="s">
        <v>242</v>
      </c>
      <c r="AU122" t="s">
        <v>310</v>
      </c>
      <c r="AV122">
        <v>4</v>
      </c>
    </row>
    <row r="123" spans="40:48" x14ac:dyDescent="0.25">
      <c r="AN123" t="s">
        <v>127</v>
      </c>
      <c r="AO123" t="s">
        <v>60</v>
      </c>
      <c r="AP123">
        <v>2000</v>
      </c>
      <c r="AQ123" t="s">
        <v>72</v>
      </c>
      <c r="AR123" t="s">
        <v>351</v>
      </c>
      <c r="AS123" t="s">
        <v>306</v>
      </c>
      <c r="AT123" t="s">
        <v>242</v>
      </c>
      <c r="AU123" t="s">
        <v>311</v>
      </c>
      <c r="AV123">
        <v>8.0500000000000007</v>
      </c>
    </row>
    <row r="124" spans="40:48" x14ac:dyDescent="0.25">
      <c r="AN124" t="s">
        <v>127</v>
      </c>
      <c r="AO124" t="s">
        <v>60</v>
      </c>
      <c r="AP124">
        <v>2000</v>
      </c>
      <c r="AQ124" t="s">
        <v>72</v>
      </c>
      <c r="AR124" t="s">
        <v>351</v>
      </c>
      <c r="AS124" t="s">
        <v>306</v>
      </c>
      <c r="AT124" t="s">
        <v>242</v>
      </c>
      <c r="AU124" t="s">
        <v>268</v>
      </c>
      <c r="AV124">
        <v>12.05</v>
      </c>
    </row>
    <row r="125" spans="40:48" x14ac:dyDescent="0.25">
      <c r="AN125" t="s">
        <v>127</v>
      </c>
      <c r="AO125" t="s">
        <v>60</v>
      </c>
      <c r="AP125">
        <v>2000</v>
      </c>
      <c r="AQ125" t="s">
        <v>72</v>
      </c>
      <c r="AR125" t="s">
        <v>351</v>
      </c>
      <c r="AS125" t="s">
        <v>306</v>
      </c>
      <c r="AT125" t="s">
        <v>243</v>
      </c>
      <c r="AU125" t="s">
        <v>337</v>
      </c>
      <c r="AV125">
        <v>23.900000000000002</v>
      </c>
    </row>
    <row r="126" spans="40:48" x14ac:dyDescent="0.25">
      <c r="AN126" t="s">
        <v>127</v>
      </c>
      <c r="AO126" t="s">
        <v>60</v>
      </c>
      <c r="AP126">
        <v>2000</v>
      </c>
      <c r="AQ126" t="s">
        <v>72</v>
      </c>
      <c r="AR126" t="s">
        <v>351</v>
      </c>
      <c r="AS126" t="s">
        <v>306</v>
      </c>
      <c r="AT126" t="s">
        <v>243</v>
      </c>
      <c r="AU126" t="s">
        <v>338</v>
      </c>
      <c r="AV126">
        <v>48.149999999999991</v>
      </c>
    </row>
    <row r="127" spans="40:48" x14ac:dyDescent="0.25">
      <c r="AN127" t="s">
        <v>127</v>
      </c>
      <c r="AO127" t="s">
        <v>60</v>
      </c>
      <c r="AP127">
        <v>2000</v>
      </c>
      <c r="AQ127" t="s">
        <v>72</v>
      </c>
      <c r="AR127" t="s">
        <v>351</v>
      </c>
      <c r="AS127" t="s">
        <v>306</v>
      </c>
      <c r="AT127" t="s">
        <v>243</v>
      </c>
      <c r="AU127" t="s">
        <v>349</v>
      </c>
      <c r="AV127">
        <v>72.05</v>
      </c>
    </row>
    <row r="128" spans="40:48" x14ac:dyDescent="0.25">
      <c r="AN128" t="s">
        <v>75</v>
      </c>
      <c r="AO128" t="s">
        <v>60</v>
      </c>
      <c r="AP128">
        <v>2003</v>
      </c>
      <c r="AQ128" t="s">
        <v>28</v>
      </c>
      <c r="AR128" t="s">
        <v>351</v>
      </c>
      <c r="AS128" t="s">
        <v>306</v>
      </c>
      <c r="AT128" t="s">
        <v>218</v>
      </c>
      <c r="AU128" t="s">
        <v>310</v>
      </c>
      <c r="AV128">
        <v>3.9</v>
      </c>
    </row>
    <row r="129" spans="40:48" x14ac:dyDescent="0.25">
      <c r="AN129" t="s">
        <v>75</v>
      </c>
      <c r="AO129" t="s">
        <v>60</v>
      </c>
      <c r="AP129">
        <v>2003</v>
      </c>
      <c r="AQ129" t="s">
        <v>28</v>
      </c>
      <c r="AR129" t="s">
        <v>351</v>
      </c>
      <c r="AS129" t="s">
        <v>306</v>
      </c>
      <c r="AT129" t="s">
        <v>218</v>
      </c>
      <c r="AU129" t="s">
        <v>311</v>
      </c>
      <c r="AV129">
        <v>7.9</v>
      </c>
    </row>
    <row r="130" spans="40:48" x14ac:dyDescent="0.25">
      <c r="AN130" t="s">
        <v>75</v>
      </c>
      <c r="AO130" t="s">
        <v>60</v>
      </c>
      <c r="AP130">
        <v>2003</v>
      </c>
      <c r="AQ130" t="s">
        <v>28</v>
      </c>
      <c r="AR130" t="s">
        <v>351</v>
      </c>
      <c r="AS130" t="s">
        <v>306</v>
      </c>
      <c r="AT130" t="s">
        <v>218</v>
      </c>
      <c r="AU130" t="s">
        <v>268</v>
      </c>
      <c r="AV130">
        <v>11.8</v>
      </c>
    </row>
    <row r="131" spans="40:48" x14ac:dyDescent="0.25">
      <c r="AN131" t="s">
        <v>75</v>
      </c>
      <c r="AO131" t="s">
        <v>60</v>
      </c>
      <c r="AP131">
        <v>2003</v>
      </c>
      <c r="AQ131" t="s">
        <v>28</v>
      </c>
      <c r="AR131" t="s">
        <v>351</v>
      </c>
      <c r="AS131" t="s">
        <v>306</v>
      </c>
      <c r="AT131" t="s">
        <v>238</v>
      </c>
      <c r="AU131" t="s">
        <v>310</v>
      </c>
      <c r="AV131">
        <v>4.2</v>
      </c>
    </row>
    <row r="132" spans="40:48" x14ac:dyDescent="0.25">
      <c r="AN132" t="s">
        <v>75</v>
      </c>
      <c r="AO132" t="s">
        <v>60</v>
      </c>
      <c r="AP132">
        <v>2003</v>
      </c>
      <c r="AQ132" t="s">
        <v>28</v>
      </c>
      <c r="AR132" t="s">
        <v>351</v>
      </c>
      <c r="AS132" t="s">
        <v>306</v>
      </c>
      <c r="AT132" t="s">
        <v>238</v>
      </c>
      <c r="AU132" t="s">
        <v>311</v>
      </c>
      <c r="AV132">
        <v>8.5</v>
      </c>
    </row>
    <row r="133" spans="40:48" x14ac:dyDescent="0.25">
      <c r="AN133" t="s">
        <v>75</v>
      </c>
      <c r="AO133" t="s">
        <v>60</v>
      </c>
      <c r="AP133">
        <v>2003</v>
      </c>
      <c r="AQ133" t="s">
        <v>28</v>
      </c>
      <c r="AR133" t="s">
        <v>351</v>
      </c>
      <c r="AS133" t="s">
        <v>306</v>
      </c>
      <c r="AT133" t="s">
        <v>238</v>
      </c>
      <c r="AU133" t="s">
        <v>268</v>
      </c>
      <c r="AV133">
        <v>12.7</v>
      </c>
    </row>
    <row r="134" spans="40:48" x14ac:dyDescent="0.25">
      <c r="AN134" t="s">
        <v>75</v>
      </c>
      <c r="AO134" t="s">
        <v>60</v>
      </c>
      <c r="AP134">
        <v>2003</v>
      </c>
      <c r="AQ134" t="s">
        <v>28</v>
      </c>
      <c r="AR134" t="s">
        <v>351</v>
      </c>
      <c r="AS134" t="s">
        <v>306</v>
      </c>
      <c r="AT134" t="s">
        <v>239</v>
      </c>
      <c r="AU134" t="s">
        <v>310</v>
      </c>
      <c r="AV134">
        <v>3.4</v>
      </c>
    </row>
    <row r="135" spans="40:48" x14ac:dyDescent="0.25">
      <c r="AN135" t="s">
        <v>75</v>
      </c>
      <c r="AO135" t="s">
        <v>60</v>
      </c>
      <c r="AP135">
        <v>2003</v>
      </c>
      <c r="AQ135" t="s">
        <v>28</v>
      </c>
      <c r="AR135" t="s">
        <v>351</v>
      </c>
      <c r="AS135" t="s">
        <v>306</v>
      </c>
      <c r="AT135" t="s">
        <v>239</v>
      </c>
      <c r="AU135" t="s">
        <v>311</v>
      </c>
      <c r="AV135">
        <v>7.7</v>
      </c>
    </row>
    <row r="136" spans="40:48" x14ac:dyDescent="0.25">
      <c r="AN136" t="s">
        <v>75</v>
      </c>
      <c r="AO136" t="s">
        <v>60</v>
      </c>
      <c r="AP136">
        <v>2003</v>
      </c>
      <c r="AQ136" t="s">
        <v>28</v>
      </c>
      <c r="AR136" t="s">
        <v>351</v>
      </c>
      <c r="AS136" t="s">
        <v>306</v>
      </c>
      <c r="AT136" t="s">
        <v>239</v>
      </c>
      <c r="AU136" t="s">
        <v>268</v>
      </c>
      <c r="AV136">
        <v>11.1</v>
      </c>
    </row>
    <row r="137" spans="40:48" x14ac:dyDescent="0.25">
      <c r="AN137" t="s">
        <v>75</v>
      </c>
      <c r="AO137" t="s">
        <v>60</v>
      </c>
      <c r="AP137">
        <v>2003</v>
      </c>
      <c r="AQ137" t="s">
        <v>28</v>
      </c>
      <c r="AR137" t="s">
        <v>351</v>
      </c>
      <c r="AS137" t="s">
        <v>306</v>
      </c>
      <c r="AT137" t="s">
        <v>240</v>
      </c>
      <c r="AU137" t="s">
        <v>310</v>
      </c>
      <c r="AV137">
        <v>3.2</v>
      </c>
    </row>
    <row r="138" spans="40:48" x14ac:dyDescent="0.25">
      <c r="AN138" t="s">
        <v>75</v>
      </c>
      <c r="AO138" t="s">
        <v>60</v>
      </c>
      <c r="AP138">
        <v>2003</v>
      </c>
      <c r="AQ138" t="s">
        <v>28</v>
      </c>
      <c r="AR138" t="s">
        <v>351</v>
      </c>
      <c r="AS138" t="s">
        <v>306</v>
      </c>
      <c r="AT138" t="s">
        <v>240</v>
      </c>
      <c r="AU138" t="s">
        <v>311</v>
      </c>
      <c r="AV138">
        <v>9.0500000000000007</v>
      </c>
    </row>
    <row r="139" spans="40:48" x14ac:dyDescent="0.25">
      <c r="AN139" t="s">
        <v>75</v>
      </c>
      <c r="AO139" t="s">
        <v>60</v>
      </c>
      <c r="AP139">
        <v>2003</v>
      </c>
      <c r="AQ139" t="s">
        <v>28</v>
      </c>
      <c r="AR139" t="s">
        <v>351</v>
      </c>
      <c r="AS139" t="s">
        <v>306</v>
      </c>
      <c r="AT139" t="s">
        <v>240</v>
      </c>
      <c r="AU139" t="s">
        <v>268</v>
      </c>
      <c r="AV139">
        <v>12.25</v>
      </c>
    </row>
    <row r="140" spans="40:48" x14ac:dyDescent="0.25">
      <c r="AN140" t="s">
        <v>75</v>
      </c>
      <c r="AO140" t="s">
        <v>60</v>
      </c>
      <c r="AP140">
        <v>2003</v>
      </c>
      <c r="AQ140" t="s">
        <v>28</v>
      </c>
      <c r="AR140" t="s">
        <v>351</v>
      </c>
      <c r="AS140" t="s">
        <v>306</v>
      </c>
      <c r="AT140" t="s">
        <v>316</v>
      </c>
      <c r="AU140" t="s">
        <v>310</v>
      </c>
      <c r="AV140">
        <v>3.5</v>
      </c>
    </row>
    <row r="141" spans="40:48" x14ac:dyDescent="0.25">
      <c r="AN141" t="s">
        <v>75</v>
      </c>
      <c r="AO141" t="s">
        <v>60</v>
      </c>
      <c r="AP141">
        <v>2003</v>
      </c>
      <c r="AQ141" t="s">
        <v>28</v>
      </c>
      <c r="AR141" t="s">
        <v>351</v>
      </c>
      <c r="AS141" t="s">
        <v>306</v>
      </c>
      <c r="AT141" t="s">
        <v>316</v>
      </c>
      <c r="AU141" t="s">
        <v>311</v>
      </c>
      <c r="AV141">
        <v>9.1</v>
      </c>
    </row>
    <row r="142" spans="40:48" x14ac:dyDescent="0.25">
      <c r="AN142" t="s">
        <v>75</v>
      </c>
      <c r="AO142" t="s">
        <v>60</v>
      </c>
      <c r="AP142">
        <v>2003</v>
      </c>
      <c r="AQ142" t="s">
        <v>28</v>
      </c>
      <c r="AR142" t="s">
        <v>351</v>
      </c>
      <c r="AS142" t="s">
        <v>306</v>
      </c>
      <c r="AT142" t="s">
        <v>316</v>
      </c>
      <c r="AU142" t="s">
        <v>268</v>
      </c>
      <c r="AV142">
        <v>12.6</v>
      </c>
    </row>
    <row r="143" spans="40:48" x14ac:dyDescent="0.25">
      <c r="AN143" t="s">
        <v>75</v>
      </c>
      <c r="AO143" t="s">
        <v>60</v>
      </c>
      <c r="AP143">
        <v>2003</v>
      </c>
      <c r="AQ143" t="s">
        <v>28</v>
      </c>
      <c r="AR143" t="s">
        <v>351</v>
      </c>
      <c r="AS143" t="s">
        <v>306</v>
      </c>
      <c r="AT143" t="s">
        <v>242</v>
      </c>
      <c r="AU143" t="s">
        <v>310</v>
      </c>
      <c r="AV143">
        <v>2.5</v>
      </c>
    </row>
    <row r="144" spans="40:48" x14ac:dyDescent="0.25">
      <c r="AN144" t="s">
        <v>75</v>
      </c>
      <c r="AO144" t="s">
        <v>60</v>
      </c>
      <c r="AP144">
        <v>2003</v>
      </c>
      <c r="AQ144" t="s">
        <v>28</v>
      </c>
      <c r="AR144" t="s">
        <v>351</v>
      </c>
      <c r="AS144" t="s">
        <v>306</v>
      </c>
      <c r="AT144" t="s">
        <v>242</v>
      </c>
      <c r="AU144" t="s">
        <v>311</v>
      </c>
      <c r="AV144">
        <v>8.15</v>
      </c>
    </row>
    <row r="145" spans="40:48" x14ac:dyDescent="0.25">
      <c r="AN145" t="s">
        <v>75</v>
      </c>
      <c r="AO145" t="s">
        <v>60</v>
      </c>
      <c r="AP145">
        <v>2003</v>
      </c>
      <c r="AQ145" t="s">
        <v>28</v>
      </c>
      <c r="AR145" t="s">
        <v>351</v>
      </c>
      <c r="AS145" t="s">
        <v>306</v>
      </c>
      <c r="AT145" t="s">
        <v>242</v>
      </c>
      <c r="AU145" t="s">
        <v>268</v>
      </c>
      <c r="AV145">
        <v>10.65</v>
      </c>
    </row>
    <row r="146" spans="40:48" x14ac:dyDescent="0.25">
      <c r="AN146" t="s">
        <v>75</v>
      </c>
      <c r="AO146" t="s">
        <v>60</v>
      </c>
      <c r="AP146">
        <v>2003</v>
      </c>
      <c r="AQ146" t="s">
        <v>28</v>
      </c>
      <c r="AR146" t="s">
        <v>351</v>
      </c>
      <c r="AS146" t="s">
        <v>306</v>
      </c>
      <c r="AT146" t="s">
        <v>243</v>
      </c>
      <c r="AU146" t="s">
        <v>337</v>
      </c>
      <c r="AV146">
        <v>20.7</v>
      </c>
    </row>
    <row r="147" spans="40:48" x14ac:dyDescent="0.25">
      <c r="AN147" t="s">
        <v>75</v>
      </c>
      <c r="AO147" t="s">
        <v>60</v>
      </c>
      <c r="AP147">
        <v>2003</v>
      </c>
      <c r="AQ147" t="s">
        <v>28</v>
      </c>
      <c r="AR147" t="s">
        <v>351</v>
      </c>
      <c r="AS147" t="s">
        <v>306</v>
      </c>
      <c r="AT147" t="s">
        <v>243</v>
      </c>
      <c r="AU147" t="s">
        <v>338</v>
      </c>
      <c r="AV147">
        <v>50.4</v>
      </c>
    </row>
    <row r="148" spans="40:48" x14ac:dyDescent="0.25">
      <c r="AN148" t="s">
        <v>75</v>
      </c>
      <c r="AO148" t="s">
        <v>60</v>
      </c>
      <c r="AP148">
        <v>2003</v>
      </c>
      <c r="AQ148" t="s">
        <v>28</v>
      </c>
      <c r="AR148" t="s">
        <v>351</v>
      </c>
      <c r="AS148" t="s">
        <v>306</v>
      </c>
      <c r="AT148" t="s">
        <v>243</v>
      </c>
      <c r="AU148" t="s">
        <v>349</v>
      </c>
      <c r="AV148">
        <v>71.099999999999994</v>
      </c>
    </row>
    <row r="149" spans="40:48" x14ac:dyDescent="0.25">
      <c r="AN149" t="s">
        <v>80</v>
      </c>
      <c r="AO149" t="s">
        <v>60</v>
      </c>
      <c r="AP149">
        <v>2004</v>
      </c>
      <c r="AQ149" t="s">
        <v>62</v>
      </c>
      <c r="AR149" t="s">
        <v>351</v>
      </c>
      <c r="AS149" t="s">
        <v>306</v>
      </c>
      <c r="AT149" t="s">
        <v>218</v>
      </c>
      <c r="AU149" t="s">
        <v>310</v>
      </c>
      <c r="AV149">
        <v>3.6</v>
      </c>
    </row>
    <row r="150" spans="40:48" x14ac:dyDescent="0.25">
      <c r="AN150" t="s">
        <v>80</v>
      </c>
      <c r="AO150" t="s">
        <v>60</v>
      </c>
      <c r="AP150">
        <v>2004</v>
      </c>
      <c r="AQ150" t="s">
        <v>62</v>
      </c>
      <c r="AR150" t="s">
        <v>351</v>
      </c>
      <c r="AS150" t="s">
        <v>306</v>
      </c>
      <c r="AT150" t="s">
        <v>218</v>
      </c>
      <c r="AU150" t="s">
        <v>311</v>
      </c>
      <c r="AV150">
        <v>8.4</v>
      </c>
    </row>
    <row r="151" spans="40:48" x14ac:dyDescent="0.25">
      <c r="AN151" t="s">
        <v>80</v>
      </c>
      <c r="AO151" t="s">
        <v>60</v>
      </c>
      <c r="AP151">
        <v>2004</v>
      </c>
      <c r="AQ151" t="s">
        <v>62</v>
      </c>
      <c r="AR151" t="s">
        <v>351</v>
      </c>
      <c r="AS151" t="s">
        <v>306</v>
      </c>
      <c r="AT151" t="s">
        <v>218</v>
      </c>
      <c r="AU151" t="s">
        <v>268</v>
      </c>
      <c r="AV151">
        <v>12</v>
      </c>
    </row>
    <row r="152" spans="40:48" x14ac:dyDescent="0.25">
      <c r="AN152" t="s">
        <v>80</v>
      </c>
      <c r="AO152" t="s">
        <v>60</v>
      </c>
      <c r="AP152">
        <v>2004</v>
      </c>
      <c r="AQ152" t="s">
        <v>62</v>
      </c>
      <c r="AR152" t="s">
        <v>351</v>
      </c>
      <c r="AS152" t="s">
        <v>306</v>
      </c>
      <c r="AT152" t="s">
        <v>238</v>
      </c>
      <c r="AU152" t="s">
        <v>310</v>
      </c>
      <c r="AV152">
        <v>3.6</v>
      </c>
    </row>
    <row r="153" spans="40:48" x14ac:dyDescent="0.25">
      <c r="AN153" t="s">
        <v>80</v>
      </c>
      <c r="AO153" t="s">
        <v>60</v>
      </c>
      <c r="AP153">
        <v>2004</v>
      </c>
      <c r="AQ153" t="s">
        <v>62</v>
      </c>
      <c r="AR153" t="s">
        <v>351</v>
      </c>
      <c r="AS153" t="s">
        <v>306</v>
      </c>
      <c r="AT153" t="s">
        <v>238</v>
      </c>
      <c r="AU153" t="s">
        <v>311</v>
      </c>
      <c r="AV153">
        <v>8</v>
      </c>
    </row>
    <row r="154" spans="40:48" x14ac:dyDescent="0.25">
      <c r="AN154" t="s">
        <v>80</v>
      </c>
      <c r="AO154" t="s">
        <v>60</v>
      </c>
      <c r="AP154">
        <v>2004</v>
      </c>
      <c r="AQ154" t="s">
        <v>62</v>
      </c>
      <c r="AR154" t="s">
        <v>351</v>
      </c>
      <c r="AS154" t="s">
        <v>306</v>
      </c>
      <c r="AT154" t="s">
        <v>238</v>
      </c>
      <c r="AU154" t="s">
        <v>268</v>
      </c>
      <c r="AV154">
        <v>11.6</v>
      </c>
    </row>
    <row r="155" spans="40:48" x14ac:dyDescent="0.25">
      <c r="AN155" t="s">
        <v>80</v>
      </c>
      <c r="AO155" t="s">
        <v>60</v>
      </c>
      <c r="AP155">
        <v>2004</v>
      </c>
      <c r="AQ155" t="s">
        <v>62</v>
      </c>
      <c r="AR155" t="s">
        <v>351</v>
      </c>
      <c r="AS155" t="s">
        <v>306</v>
      </c>
      <c r="AT155" t="s">
        <v>239</v>
      </c>
      <c r="AU155" t="s">
        <v>310</v>
      </c>
      <c r="AV155">
        <v>3.9</v>
      </c>
    </row>
    <row r="156" spans="40:48" x14ac:dyDescent="0.25">
      <c r="AN156" t="s">
        <v>80</v>
      </c>
      <c r="AO156" t="s">
        <v>60</v>
      </c>
      <c r="AP156">
        <v>2004</v>
      </c>
      <c r="AQ156" t="s">
        <v>62</v>
      </c>
      <c r="AR156" t="s">
        <v>351</v>
      </c>
      <c r="AS156" t="s">
        <v>306</v>
      </c>
      <c r="AT156" t="s">
        <v>239</v>
      </c>
      <c r="AU156" t="s">
        <v>311</v>
      </c>
      <c r="AV156">
        <v>8.1999999999999993</v>
      </c>
    </row>
    <row r="157" spans="40:48" x14ac:dyDescent="0.25">
      <c r="AN157" t="s">
        <v>80</v>
      </c>
      <c r="AO157" t="s">
        <v>60</v>
      </c>
      <c r="AP157">
        <v>2004</v>
      </c>
      <c r="AQ157" t="s">
        <v>62</v>
      </c>
      <c r="AR157" t="s">
        <v>351</v>
      </c>
      <c r="AS157" t="s">
        <v>306</v>
      </c>
      <c r="AT157" t="s">
        <v>239</v>
      </c>
      <c r="AU157" t="s">
        <v>268</v>
      </c>
      <c r="AV157">
        <v>12.1</v>
      </c>
    </row>
    <row r="158" spans="40:48" x14ac:dyDescent="0.25">
      <c r="AN158" t="s">
        <v>80</v>
      </c>
      <c r="AO158" t="s">
        <v>60</v>
      </c>
      <c r="AP158">
        <v>2004</v>
      </c>
      <c r="AQ158" t="s">
        <v>62</v>
      </c>
      <c r="AR158" t="s">
        <v>351</v>
      </c>
      <c r="AS158" t="s">
        <v>306</v>
      </c>
      <c r="AT158" t="s">
        <v>240</v>
      </c>
      <c r="AU158" t="s">
        <v>310</v>
      </c>
      <c r="AV158">
        <v>4</v>
      </c>
    </row>
    <row r="159" spans="40:48" x14ac:dyDescent="0.25">
      <c r="AN159" t="s">
        <v>80</v>
      </c>
      <c r="AO159" t="s">
        <v>60</v>
      </c>
      <c r="AP159">
        <v>2004</v>
      </c>
      <c r="AQ159" t="s">
        <v>62</v>
      </c>
      <c r="AR159" t="s">
        <v>351</v>
      </c>
      <c r="AS159" t="s">
        <v>306</v>
      </c>
      <c r="AT159" t="s">
        <v>240</v>
      </c>
      <c r="AU159" t="s">
        <v>311</v>
      </c>
      <c r="AV159">
        <v>8.65</v>
      </c>
    </row>
    <row r="160" spans="40:48" x14ac:dyDescent="0.25">
      <c r="AN160" t="s">
        <v>80</v>
      </c>
      <c r="AO160" t="s">
        <v>60</v>
      </c>
      <c r="AP160">
        <v>2004</v>
      </c>
      <c r="AQ160" t="s">
        <v>62</v>
      </c>
      <c r="AR160" t="s">
        <v>351</v>
      </c>
      <c r="AS160" t="s">
        <v>306</v>
      </c>
      <c r="AT160" t="s">
        <v>240</v>
      </c>
      <c r="AU160" t="s">
        <v>268</v>
      </c>
      <c r="AV160">
        <v>12.65</v>
      </c>
    </row>
    <row r="161" spans="40:48" x14ac:dyDescent="0.25">
      <c r="AN161" t="s">
        <v>80</v>
      </c>
      <c r="AO161" t="s">
        <v>60</v>
      </c>
      <c r="AP161">
        <v>2004</v>
      </c>
      <c r="AQ161" t="s">
        <v>62</v>
      </c>
      <c r="AR161" t="s">
        <v>351</v>
      </c>
      <c r="AS161" t="s">
        <v>306</v>
      </c>
      <c r="AT161" t="s">
        <v>316</v>
      </c>
      <c r="AU161" t="s">
        <v>310</v>
      </c>
      <c r="AV161">
        <v>4</v>
      </c>
    </row>
    <row r="162" spans="40:48" x14ac:dyDescent="0.25">
      <c r="AN162" t="s">
        <v>80</v>
      </c>
      <c r="AO162" t="s">
        <v>60</v>
      </c>
      <c r="AP162">
        <v>2004</v>
      </c>
      <c r="AQ162" t="s">
        <v>62</v>
      </c>
      <c r="AR162" t="s">
        <v>351</v>
      </c>
      <c r="AS162" t="s">
        <v>306</v>
      </c>
      <c r="AT162" t="s">
        <v>316</v>
      </c>
      <c r="AU162" t="s">
        <v>311</v>
      </c>
      <c r="AV162">
        <v>8.85</v>
      </c>
    </row>
    <row r="163" spans="40:48" x14ac:dyDescent="0.25">
      <c r="AN163" t="s">
        <v>80</v>
      </c>
      <c r="AO163" t="s">
        <v>60</v>
      </c>
      <c r="AP163">
        <v>2004</v>
      </c>
      <c r="AQ163" t="s">
        <v>62</v>
      </c>
      <c r="AR163" t="s">
        <v>351</v>
      </c>
      <c r="AS163" t="s">
        <v>306</v>
      </c>
      <c r="AT163" t="s">
        <v>316</v>
      </c>
      <c r="AU163" t="s">
        <v>268</v>
      </c>
      <c r="AV163">
        <v>12.85</v>
      </c>
    </row>
    <row r="164" spans="40:48" x14ac:dyDescent="0.25">
      <c r="AN164" t="s">
        <v>80</v>
      </c>
      <c r="AO164" t="s">
        <v>60</v>
      </c>
      <c r="AP164">
        <v>2004</v>
      </c>
      <c r="AQ164" t="s">
        <v>62</v>
      </c>
      <c r="AR164" t="s">
        <v>351</v>
      </c>
      <c r="AS164" t="s">
        <v>306</v>
      </c>
      <c r="AT164" t="s">
        <v>242</v>
      </c>
      <c r="AU164" t="s">
        <v>310</v>
      </c>
      <c r="AV164">
        <v>2.5</v>
      </c>
    </row>
    <row r="165" spans="40:48" x14ac:dyDescent="0.25">
      <c r="AN165" t="s">
        <v>80</v>
      </c>
      <c r="AO165" t="s">
        <v>60</v>
      </c>
      <c r="AP165">
        <v>2004</v>
      </c>
      <c r="AQ165" t="s">
        <v>62</v>
      </c>
      <c r="AR165" t="s">
        <v>351</v>
      </c>
      <c r="AS165" t="s">
        <v>306</v>
      </c>
      <c r="AT165" t="s">
        <v>242</v>
      </c>
      <c r="AU165" t="s">
        <v>311</v>
      </c>
      <c r="AV165">
        <v>7.2</v>
      </c>
    </row>
    <row r="166" spans="40:48" x14ac:dyDescent="0.25">
      <c r="AN166" t="s">
        <v>80</v>
      </c>
      <c r="AO166" t="s">
        <v>60</v>
      </c>
      <c r="AP166">
        <v>2004</v>
      </c>
      <c r="AQ166" t="s">
        <v>62</v>
      </c>
      <c r="AR166" t="s">
        <v>351</v>
      </c>
      <c r="AS166" t="s">
        <v>306</v>
      </c>
      <c r="AT166" t="s">
        <v>242</v>
      </c>
      <c r="AU166" t="s">
        <v>268</v>
      </c>
      <c r="AV166">
        <v>9.6999999999999993</v>
      </c>
    </row>
    <row r="167" spans="40:48" x14ac:dyDescent="0.25">
      <c r="AN167" t="s">
        <v>80</v>
      </c>
      <c r="AO167" t="s">
        <v>60</v>
      </c>
      <c r="AP167">
        <v>2004</v>
      </c>
      <c r="AQ167" t="s">
        <v>62</v>
      </c>
      <c r="AR167" t="s">
        <v>351</v>
      </c>
      <c r="AS167" t="s">
        <v>306</v>
      </c>
      <c r="AT167" t="s">
        <v>243</v>
      </c>
      <c r="AU167" t="s">
        <v>337</v>
      </c>
      <c r="AV167">
        <v>21.6</v>
      </c>
    </row>
    <row r="168" spans="40:48" x14ac:dyDescent="0.25">
      <c r="AN168" t="s">
        <v>80</v>
      </c>
      <c r="AO168" t="s">
        <v>60</v>
      </c>
      <c r="AP168">
        <v>2004</v>
      </c>
      <c r="AQ168" t="s">
        <v>62</v>
      </c>
      <c r="AR168" t="s">
        <v>351</v>
      </c>
      <c r="AS168" t="s">
        <v>306</v>
      </c>
      <c r="AT168" t="s">
        <v>243</v>
      </c>
      <c r="AU168" t="s">
        <v>338</v>
      </c>
      <c r="AV168">
        <v>49.300000000000004</v>
      </c>
    </row>
    <row r="169" spans="40:48" x14ac:dyDescent="0.25">
      <c r="AN169" t="s">
        <v>80</v>
      </c>
      <c r="AO169" t="s">
        <v>60</v>
      </c>
      <c r="AP169">
        <v>2004</v>
      </c>
      <c r="AQ169" t="s">
        <v>62</v>
      </c>
      <c r="AR169" t="s">
        <v>351</v>
      </c>
      <c r="AS169" t="s">
        <v>306</v>
      </c>
      <c r="AT169" t="s">
        <v>243</v>
      </c>
      <c r="AU169" t="s">
        <v>349</v>
      </c>
      <c r="AV169">
        <v>70.900000000000006</v>
      </c>
    </row>
    <row r="170" spans="40:48" x14ac:dyDescent="0.25">
      <c r="AN170" t="s">
        <v>77</v>
      </c>
      <c r="AO170" t="s">
        <v>60</v>
      </c>
      <c r="AP170">
        <v>2002</v>
      </c>
      <c r="AQ170" t="s">
        <v>79</v>
      </c>
      <c r="AR170" t="s">
        <v>351</v>
      </c>
      <c r="AS170" t="s">
        <v>306</v>
      </c>
      <c r="AT170" t="s">
        <v>218</v>
      </c>
      <c r="AU170" t="s">
        <v>310</v>
      </c>
      <c r="AV170">
        <v>3.9</v>
      </c>
    </row>
    <row r="171" spans="40:48" x14ac:dyDescent="0.25">
      <c r="AN171" t="s">
        <v>77</v>
      </c>
      <c r="AO171" t="s">
        <v>60</v>
      </c>
      <c r="AP171">
        <v>2002</v>
      </c>
      <c r="AQ171" t="s">
        <v>79</v>
      </c>
      <c r="AR171" t="s">
        <v>351</v>
      </c>
      <c r="AS171" t="s">
        <v>306</v>
      </c>
      <c r="AT171" t="s">
        <v>218</v>
      </c>
      <c r="AU171" t="s">
        <v>311</v>
      </c>
      <c r="AV171">
        <v>8</v>
      </c>
    </row>
    <row r="172" spans="40:48" x14ac:dyDescent="0.25">
      <c r="AN172" t="s">
        <v>77</v>
      </c>
      <c r="AO172" t="s">
        <v>60</v>
      </c>
      <c r="AP172">
        <v>2002</v>
      </c>
      <c r="AQ172" t="s">
        <v>79</v>
      </c>
      <c r="AR172" t="s">
        <v>351</v>
      </c>
      <c r="AS172" t="s">
        <v>306</v>
      </c>
      <c r="AT172" t="s">
        <v>218</v>
      </c>
      <c r="AU172" t="s">
        <v>268</v>
      </c>
      <c r="AV172">
        <v>11.9</v>
      </c>
    </row>
    <row r="173" spans="40:48" x14ac:dyDescent="0.25">
      <c r="AN173" t="s">
        <v>77</v>
      </c>
      <c r="AO173" t="s">
        <v>60</v>
      </c>
      <c r="AP173">
        <v>2002</v>
      </c>
      <c r="AQ173" t="s">
        <v>79</v>
      </c>
      <c r="AR173" t="s">
        <v>351</v>
      </c>
      <c r="AS173" t="s">
        <v>306</v>
      </c>
      <c r="AT173" t="s">
        <v>238</v>
      </c>
      <c r="AU173" t="s">
        <v>310</v>
      </c>
      <c r="AV173">
        <v>3.7</v>
      </c>
    </row>
    <row r="174" spans="40:48" x14ac:dyDescent="0.25">
      <c r="AN174" t="s">
        <v>77</v>
      </c>
      <c r="AO174" t="s">
        <v>60</v>
      </c>
      <c r="AP174">
        <v>2002</v>
      </c>
      <c r="AQ174" t="s">
        <v>79</v>
      </c>
      <c r="AR174" t="s">
        <v>351</v>
      </c>
      <c r="AS174" t="s">
        <v>306</v>
      </c>
      <c r="AT174" t="s">
        <v>238</v>
      </c>
      <c r="AU174" t="s">
        <v>311</v>
      </c>
      <c r="AV174">
        <v>7</v>
      </c>
    </row>
    <row r="175" spans="40:48" x14ac:dyDescent="0.25">
      <c r="AN175" t="s">
        <v>77</v>
      </c>
      <c r="AO175" t="s">
        <v>60</v>
      </c>
      <c r="AP175">
        <v>2002</v>
      </c>
      <c r="AQ175" t="s">
        <v>79</v>
      </c>
      <c r="AR175" t="s">
        <v>351</v>
      </c>
      <c r="AS175" t="s">
        <v>306</v>
      </c>
      <c r="AT175" t="s">
        <v>238</v>
      </c>
      <c r="AU175" t="s">
        <v>268</v>
      </c>
      <c r="AV175">
        <v>10.7</v>
      </c>
    </row>
    <row r="176" spans="40:48" x14ac:dyDescent="0.25">
      <c r="AN176" t="s">
        <v>77</v>
      </c>
      <c r="AO176" t="s">
        <v>60</v>
      </c>
      <c r="AP176">
        <v>2002</v>
      </c>
      <c r="AQ176" t="s">
        <v>79</v>
      </c>
      <c r="AR176" t="s">
        <v>351</v>
      </c>
      <c r="AS176" t="s">
        <v>306</v>
      </c>
      <c r="AT176" t="s">
        <v>239</v>
      </c>
      <c r="AU176" t="s">
        <v>310</v>
      </c>
      <c r="AV176">
        <v>3.8</v>
      </c>
    </row>
    <row r="177" spans="40:48" x14ac:dyDescent="0.25">
      <c r="AN177" t="s">
        <v>77</v>
      </c>
      <c r="AO177" t="s">
        <v>60</v>
      </c>
      <c r="AP177">
        <v>2002</v>
      </c>
      <c r="AQ177" t="s">
        <v>79</v>
      </c>
      <c r="AR177" t="s">
        <v>351</v>
      </c>
      <c r="AS177" t="s">
        <v>306</v>
      </c>
      <c r="AT177" t="s">
        <v>239</v>
      </c>
      <c r="AU177" t="s">
        <v>311</v>
      </c>
      <c r="AV177">
        <v>8.0500000000000007</v>
      </c>
    </row>
    <row r="178" spans="40:48" x14ac:dyDescent="0.25">
      <c r="AN178" t="s">
        <v>77</v>
      </c>
      <c r="AO178" t="s">
        <v>60</v>
      </c>
      <c r="AP178">
        <v>2002</v>
      </c>
      <c r="AQ178" t="s">
        <v>79</v>
      </c>
      <c r="AR178" t="s">
        <v>351</v>
      </c>
      <c r="AS178" t="s">
        <v>306</v>
      </c>
      <c r="AT178" t="s">
        <v>239</v>
      </c>
      <c r="AU178" t="s">
        <v>268</v>
      </c>
      <c r="AV178">
        <v>11.85</v>
      </c>
    </row>
    <row r="179" spans="40:48" x14ac:dyDescent="0.25">
      <c r="AN179" t="s">
        <v>77</v>
      </c>
      <c r="AO179" t="s">
        <v>60</v>
      </c>
      <c r="AP179">
        <v>2002</v>
      </c>
      <c r="AQ179" t="s">
        <v>79</v>
      </c>
      <c r="AR179" t="s">
        <v>351</v>
      </c>
      <c r="AS179" t="s">
        <v>306</v>
      </c>
      <c r="AT179" t="s">
        <v>240</v>
      </c>
      <c r="AU179" t="s">
        <v>310</v>
      </c>
      <c r="AV179">
        <v>3.2</v>
      </c>
    </row>
    <row r="180" spans="40:48" x14ac:dyDescent="0.25">
      <c r="AN180" t="s">
        <v>77</v>
      </c>
      <c r="AO180" t="s">
        <v>60</v>
      </c>
      <c r="AP180">
        <v>2002</v>
      </c>
      <c r="AQ180" t="s">
        <v>79</v>
      </c>
      <c r="AR180" t="s">
        <v>351</v>
      </c>
      <c r="AS180" t="s">
        <v>306</v>
      </c>
      <c r="AT180" t="s">
        <v>240</v>
      </c>
      <c r="AU180" t="s">
        <v>311</v>
      </c>
      <c r="AV180">
        <v>9.0500000000000007</v>
      </c>
    </row>
    <row r="181" spans="40:48" x14ac:dyDescent="0.25">
      <c r="AN181" t="s">
        <v>77</v>
      </c>
      <c r="AO181" t="s">
        <v>60</v>
      </c>
      <c r="AP181">
        <v>2002</v>
      </c>
      <c r="AQ181" t="s">
        <v>79</v>
      </c>
      <c r="AR181" t="s">
        <v>351</v>
      </c>
      <c r="AS181" t="s">
        <v>306</v>
      </c>
      <c r="AT181" t="s">
        <v>240</v>
      </c>
      <c r="AU181" t="s">
        <v>268</v>
      </c>
      <c r="AV181">
        <v>12.25</v>
      </c>
    </row>
    <row r="182" spans="40:48" x14ac:dyDescent="0.25">
      <c r="AN182" t="s">
        <v>77</v>
      </c>
      <c r="AO182" t="s">
        <v>60</v>
      </c>
      <c r="AP182">
        <v>2002</v>
      </c>
      <c r="AQ182" t="s">
        <v>79</v>
      </c>
      <c r="AR182" t="s">
        <v>351</v>
      </c>
      <c r="AS182" t="s">
        <v>306</v>
      </c>
      <c r="AT182" t="s">
        <v>316</v>
      </c>
      <c r="AU182" t="s">
        <v>310</v>
      </c>
      <c r="AV182">
        <v>3.8</v>
      </c>
    </row>
    <row r="183" spans="40:48" x14ac:dyDescent="0.25">
      <c r="AN183" t="s">
        <v>77</v>
      </c>
      <c r="AO183" t="s">
        <v>60</v>
      </c>
      <c r="AP183">
        <v>2002</v>
      </c>
      <c r="AQ183" t="s">
        <v>79</v>
      </c>
      <c r="AR183" t="s">
        <v>351</v>
      </c>
      <c r="AS183" t="s">
        <v>306</v>
      </c>
      <c r="AT183" t="s">
        <v>316</v>
      </c>
      <c r="AU183" t="s">
        <v>311</v>
      </c>
      <c r="AV183">
        <v>8.5</v>
      </c>
    </row>
    <row r="184" spans="40:48" x14ac:dyDescent="0.25">
      <c r="AN184" t="s">
        <v>77</v>
      </c>
      <c r="AO184" t="s">
        <v>60</v>
      </c>
      <c r="AP184">
        <v>2002</v>
      </c>
      <c r="AQ184" t="s">
        <v>79</v>
      </c>
      <c r="AR184" t="s">
        <v>351</v>
      </c>
      <c r="AS184" t="s">
        <v>306</v>
      </c>
      <c r="AT184" t="s">
        <v>316</v>
      </c>
      <c r="AU184" t="s">
        <v>268</v>
      </c>
      <c r="AV184">
        <v>12.3</v>
      </c>
    </row>
    <row r="185" spans="40:48" x14ac:dyDescent="0.25">
      <c r="AN185" t="s">
        <v>77</v>
      </c>
      <c r="AO185" t="s">
        <v>60</v>
      </c>
      <c r="AP185">
        <v>2002</v>
      </c>
      <c r="AQ185" t="s">
        <v>79</v>
      </c>
      <c r="AR185" t="s">
        <v>351</v>
      </c>
      <c r="AS185" t="s">
        <v>306</v>
      </c>
      <c r="AT185" t="s">
        <v>242</v>
      </c>
      <c r="AU185" t="s">
        <v>310</v>
      </c>
      <c r="AV185">
        <v>3</v>
      </c>
    </row>
    <row r="186" spans="40:48" x14ac:dyDescent="0.25">
      <c r="AN186" t="s">
        <v>77</v>
      </c>
      <c r="AO186" t="s">
        <v>60</v>
      </c>
      <c r="AP186">
        <v>2002</v>
      </c>
      <c r="AQ186" t="s">
        <v>79</v>
      </c>
      <c r="AR186" t="s">
        <v>351</v>
      </c>
      <c r="AS186" t="s">
        <v>306</v>
      </c>
      <c r="AT186" t="s">
        <v>242</v>
      </c>
      <c r="AU186" t="s">
        <v>311</v>
      </c>
      <c r="AV186">
        <v>8.1</v>
      </c>
    </row>
    <row r="187" spans="40:48" x14ac:dyDescent="0.25">
      <c r="AN187" t="s">
        <v>77</v>
      </c>
      <c r="AO187" t="s">
        <v>60</v>
      </c>
      <c r="AP187">
        <v>2002</v>
      </c>
      <c r="AQ187" t="s">
        <v>79</v>
      </c>
      <c r="AR187" t="s">
        <v>351</v>
      </c>
      <c r="AS187" t="s">
        <v>306</v>
      </c>
      <c r="AT187" t="s">
        <v>242</v>
      </c>
      <c r="AU187" t="s">
        <v>268</v>
      </c>
      <c r="AV187">
        <v>11.1</v>
      </c>
    </row>
    <row r="188" spans="40:48" x14ac:dyDescent="0.25">
      <c r="AN188" t="s">
        <v>77</v>
      </c>
      <c r="AO188" t="s">
        <v>60</v>
      </c>
      <c r="AP188">
        <v>2002</v>
      </c>
      <c r="AQ188" t="s">
        <v>79</v>
      </c>
      <c r="AR188" t="s">
        <v>351</v>
      </c>
      <c r="AS188" t="s">
        <v>306</v>
      </c>
      <c r="AT188" t="s">
        <v>243</v>
      </c>
      <c r="AU188" t="s">
        <v>337</v>
      </c>
      <c r="AV188">
        <v>21.4</v>
      </c>
    </row>
    <row r="189" spans="40:48" x14ac:dyDescent="0.25">
      <c r="AN189" t="s">
        <v>77</v>
      </c>
      <c r="AO189" t="s">
        <v>60</v>
      </c>
      <c r="AP189">
        <v>2002</v>
      </c>
      <c r="AQ189" t="s">
        <v>79</v>
      </c>
      <c r="AR189" t="s">
        <v>351</v>
      </c>
      <c r="AS189" t="s">
        <v>306</v>
      </c>
      <c r="AT189" t="s">
        <v>243</v>
      </c>
      <c r="AU189" t="s">
        <v>338</v>
      </c>
      <c r="AV189">
        <v>48.7</v>
      </c>
    </row>
    <row r="190" spans="40:48" x14ac:dyDescent="0.25">
      <c r="AN190" t="s">
        <v>77</v>
      </c>
      <c r="AO190" t="s">
        <v>60</v>
      </c>
      <c r="AP190">
        <v>2002</v>
      </c>
      <c r="AQ190" t="s">
        <v>79</v>
      </c>
      <c r="AR190" t="s">
        <v>351</v>
      </c>
      <c r="AS190" t="s">
        <v>306</v>
      </c>
      <c r="AT190" t="s">
        <v>243</v>
      </c>
      <c r="AU190" t="s">
        <v>349</v>
      </c>
      <c r="AV190">
        <v>70.099999999999994</v>
      </c>
    </row>
    <row r="191" spans="40:48" x14ac:dyDescent="0.25">
      <c r="AN191" t="s">
        <v>73</v>
      </c>
      <c r="AO191" t="s">
        <v>60</v>
      </c>
      <c r="AP191">
        <v>2001</v>
      </c>
      <c r="AQ191" t="s">
        <v>62</v>
      </c>
      <c r="AR191" t="s">
        <v>351</v>
      </c>
      <c r="AS191" t="s">
        <v>306</v>
      </c>
      <c r="AT191" t="s">
        <v>218</v>
      </c>
      <c r="AU191" t="s">
        <v>310</v>
      </c>
      <c r="AV191">
        <v>4.5</v>
      </c>
    </row>
    <row r="192" spans="40:48" x14ac:dyDescent="0.25">
      <c r="AN192" t="s">
        <v>73</v>
      </c>
      <c r="AO192" t="s">
        <v>60</v>
      </c>
      <c r="AP192">
        <v>2001</v>
      </c>
      <c r="AQ192" t="s">
        <v>62</v>
      </c>
      <c r="AR192" t="s">
        <v>351</v>
      </c>
      <c r="AS192" t="s">
        <v>306</v>
      </c>
      <c r="AT192" t="s">
        <v>218</v>
      </c>
      <c r="AU192" t="s">
        <v>311</v>
      </c>
      <c r="AV192">
        <v>8.15</v>
      </c>
    </row>
    <row r="193" spans="40:48" x14ac:dyDescent="0.25">
      <c r="AN193" t="s">
        <v>73</v>
      </c>
      <c r="AO193" t="s">
        <v>60</v>
      </c>
      <c r="AP193">
        <v>2001</v>
      </c>
      <c r="AQ193" t="s">
        <v>62</v>
      </c>
      <c r="AR193" t="s">
        <v>351</v>
      </c>
      <c r="AS193" t="s">
        <v>306</v>
      </c>
      <c r="AT193" t="s">
        <v>218</v>
      </c>
      <c r="AU193" t="s">
        <v>268</v>
      </c>
      <c r="AV193">
        <v>12.65</v>
      </c>
    </row>
    <row r="194" spans="40:48" x14ac:dyDescent="0.25">
      <c r="AN194" t="s">
        <v>73</v>
      </c>
      <c r="AO194" t="s">
        <v>60</v>
      </c>
      <c r="AP194">
        <v>2001</v>
      </c>
      <c r="AQ194" t="s">
        <v>62</v>
      </c>
      <c r="AR194" t="s">
        <v>351</v>
      </c>
      <c r="AS194" t="s">
        <v>306</v>
      </c>
      <c r="AT194" t="s">
        <v>238</v>
      </c>
      <c r="AU194" t="s">
        <v>310</v>
      </c>
      <c r="AV194">
        <v>3.1</v>
      </c>
    </row>
    <row r="195" spans="40:48" x14ac:dyDescent="0.25">
      <c r="AN195" t="s">
        <v>73</v>
      </c>
      <c r="AO195" t="s">
        <v>60</v>
      </c>
      <c r="AP195">
        <v>2001</v>
      </c>
      <c r="AQ195" t="s">
        <v>62</v>
      </c>
      <c r="AR195" t="s">
        <v>351</v>
      </c>
      <c r="AS195" t="s">
        <v>306</v>
      </c>
      <c r="AT195" t="s">
        <v>238</v>
      </c>
      <c r="AU195" t="s">
        <v>311</v>
      </c>
      <c r="AV195">
        <v>3.05</v>
      </c>
    </row>
    <row r="196" spans="40:48" x14ac:dyDescent="0.25">
      <c r="AN196" t="s">
        <v>73</v>
      </c>
      <c r="AO196" t="s">
        <v>60</v>
      </c>
      <c r="AP196">
        <v>2001</v>
      </c>
      <c r="AQ196" t="s">
        <v>62</v>
      </c>
      <c r="AR196" t="s">
        <v>351</v>
      </c>
      <c r="AS196" t="s">
        <v>306</v>
      </c>
      <c r="AT196" t="s">
        <v>238</v>
      </c>
      <c r="AU196" t="s">
        <v>268</v>
      </c>
      <c r="AV196">
        <v>6.15</v>
      </c>
    </row>
    <row r="197" spans="40:48" x14ac:dyDescent="0.25">
      <c r="AN197" t="s">
        <v>73</v>
      </c>
      <c r="AO197" t="s">
        <v>60</v>
      </c>
      <c r="AP197">
        <v>2001</v>
      </c>
      <c r="AQ197" t="s">
        <v>62</v>
      </c>
      <c r="AR197" t="s">
        <v>351</v>
      </c>
      <c r="AS197" t="s">
        <v>306</v>
      </c>
      <c r="AT197" t="s">
        <v>239</v>
      </c>
      <c r="AU197" t="s">
        <v>310</v>
      </c>
      <c r="AV197">
        <v>2.8</v>
      </c>
    </row>
    <row r="198" spans="40:48" x14ac:dyDescent="0.25">
      <c r="AN198" t="s">
        <v>73</v>
      </c>
      <c r="AO198" t="s">
        <v>60</v>
      </c>
      <c r="AP198">
        <v>2001</v>
      </c>
      <c r="AQ198" t="s">
        <v>62</v>
      </c>
      <c r="AR198" t="s">
        <v>351</v>
      </c>
      <c r="AS198" t="s">
        <v>306</v>
      </c>
      <c r="AT198" t="s">
        <v>239</v>
      </c>
      <c r="AU198" t="s">
        <v>311</v>
      </c>
      <c r="AV198">
        <v>7.1</v>
      </c>
    </row>
    <row r="199" spans="40:48" x14ac:dyDescent="0.25">
      <c r="AN199" t="s">
        <v>73</v>
      </c>
      <c r="AO199" t="s">
        <v>60</v>
      </c>
      <c r="AP199">
        <v>2001</v>
      </c>
      <c r="AQ199" t="s">
        <v>62</v>
      </c>
      <c r="AR199" t="s">
        <v>351</v>
      </c>
      <c r="AS199" t="s">
        <v>306</v>
      </c>
      <c r="AT199" t="s">
        <v>239</v>
      </c>
      <c r="AU199" t="s">
        <v>268</v>
      </c>
      <c r="AV199">
        <v>9.9</v>
      </c>
    </row>
    <row r="200" spans="40:48" x14ac:dyDescent="0.25">
      <c r="AN200" t="s">
        <v>73</v>
      </c>
      <c r="AO200" t="s">
        <v>60</v>
      </c>
      <c r="AP200">
        <v>2001</v>
      </c>
      <c r="AQ200" t="s">
        <v>62</v>
      </c>
      <c r="AR200" t="s">
        <v>351</v>
      </c>
      <c r="AS200" t="s">
        <v>306</v>
      </c>
      <c r="AT200" t="s">
        <v>240</v>
      </c>
      <c r="AU200" t="s">
        <v>310</v>
      </c>
      <c r="AV200">
        <v>4</v>
      </c>
    </row>
    <row r="201" spans="40:48" x14ac:dyDescent="0.25">
      <c r="AN201" t="s">
        <v>73</v>
      </c>
      <c r="AO201" t="s">
        <v>60</v>
      </c>
      <c r="AP201">
        <v>2001</v>
      </c>
      <c r="AQ201" t="s">
        <v>62</v>
      </c>
      <c r="AR201" t="s">
        <v>351</v>
      </c>
      <c r="AS201" t="s">
        <v>306</v>
      </c>
      <c r="AT201" t="s">
        <v>240</v>
      </c>
      <c r="AU201" t="s">
        <v>311</v>
      </c>
      <c r="AV201">
        <v>9.35</v>
      </c>
    </row>
    <row r="202" spans="40:48" x14ac:dyDescent="0.25">
      <c r="AN202" t="s">
        <v>73</v>
      </c>
      <c r="AO202" t="s">
        <v>60</v>
      </c>
      <c r="AP202">
        <v>2001</v>
      </c>
      <c r="AQ202" t="s">
        <v>62</v>
      </c>
      <c r="AR202" t="s">
        <v>351</v>
      </c>
      <c r="AS202" t="s">
        <v>306</v>
      </c>
      <c r="AT202" t="s">
        <v>240</v>
      </c>
      <c r="AU202" t="s">
        <v>268</v>
      </c>
      <c r="AV202">
        <v>13.35</v>
      </c>
    </row>
    <row r="203" spans="40:48" x14ac:dyDescent="0.25">
      <c r="AN203" t="s">
        <v>73</v>
      </c>
      <c r="AO203" t="s">
        <v>60</v>
      </c>
      <c r="AP203">
        <v>2001</v>
      </c>
      <c r="AQ203" t="s">
        <v>62</v>
      </c>
      <c r="AR203" t="s">
        <v>351</v>
      </c>
      <c r="AS203" t="s">
        <v>306</v>
      </c>
      <c r="AT203" t="s">
        <v>316</v>
      </c>
      <c r="AU203" t="s">
        <v>310</v>
      </c>
      <c r="AV203">
        <v>3.7</v>
      </c>
    </row>
    <row r="204" spans="40:48" x14ac:dyDescent="0.25">
      <c r="AN204" t="s">
        <v>73</v>
      </c>
      <c r="AO204" t="s">
        <v>60</v>
      </c>
      <c r="AP204">
        <v>2001</v>
      </c>
      <c r="AQ204" t="s">
        <v>62</v>
      </c>
      <c r="AR204" t="s">
        <v>351</v>
      </c>
      <c r="AS204" t="s">
        <v>306</v>
      </c>
      <c r="AT204" t="s">
        <v>316</v>
      </c>
      <c r="AU204" t="s">
        <v>311</v>
      </c>
      <c r="AV204">
        <v>6.85</v>
      </c>
    </row>
    <row r="205" spans="40:48" x14ac:dyDescent="0.25">
      <c r="AN205" t="s">
        <v>73</v>
      </c>
      <c r="AO205" t="s">
        <v>60</v>
      </c>
      <c r="AP205">
        <v>2001</v>
      </c>
      <c r="AQ205" t="s">
        <v>62</v>
      </c>
      <c r="AR205" t="s">
        <v>351</v>
      </c>
      <c r="AS205" t="s">
        <v>306</v>
      </c>
      <c r="AT205" t="s">
        <v>316</v>
      </c>
      <c r="AU205" t="s">
        <v>268</v>
      </c>
      <c r="AV205">
        <v>10.55</v>
      </c>
    </row>
    <row r="206" spans="40:48" x14ac:dyDescent="0.25">
      <c r="AN206" t="s">
        <v>73</v>
      </c>
      <c r="AO206" t="s">
        <v>60</v>
      </c>
      <c r="AP206">
        <v>2001</v>
      </c>
      <c r="AQ206" t="s">
        <v>62</v>
      </c>
      <c r="AR206" t="s">
        <v>351</v>
      </c>
      <c r="AS206" t="s">
        <v>306</v>
      </c>
      <c r="AT206" t="s">
        <v>242</v>
      </c>
      <c r="AU206" t="s">
        <v>310</v>
      </c>
      <c r="AV206">
        <v>2.7</v>
      </c>
    </row>
    <row r="207" spans="40:48" x14ac:dyDescent="0.25">
      <c r="AN207" t="s">
        <v>73</v>
      </c>
      <c r="AO207" t="s">
        <v>60</v>
      </c>
      <c r="AP207">
        <v>2001</v>
      </c>
      <c r="AQ207" t="s">
        <v>62</v>
      </c>
      <c r="AR207" t="s">
        <v>351</v>
      </c>
      <c r="AS207" t="s">
        <v>306</v>
      </c>
      <c r="AT207" t="s">
        <v>242</v>
      </c>
      <c r="AU207" t="s">
        <v>311</v>
      </c>
      <c r="AV207">
        <v>8.1999999999999993</v>
      </c>
    </row>
    <row r="208" spans="40:48" x14ac:dyDescent="0.25">
      <c r="AN208" t="s">
        <v>73</v>
      </c>
      <c r="AO208" t="s">
        <v>60</v>
      </c>
      <c r="AP208">
        <v>2001</v>
      </c>
      <c r="AQ208" t="s">
        <v>62</v>
      </c>
      <c r="AR208" t="s">
        <v>351</v>
      </c>
      <c r="AS208" t="s">
        <v>306</v>
      </c>
      <c r="AT208" t="s">
        <v>242</v>
      </c>
      <c r="AU208" t="s">
        <v>268</v>
      </c>
      <c r="AV208">
        <v>10.9</v>
      </c>
    </row>
    <row r="209" spans="40:48" x14ac:dyDescent="0.25">
      <c r="AN209" t="s">
        <v>73</v>
      </c>
      <c r="AO209" t="s">
        <v>60</v>
      </c>
      <c r="AP209">
        <v>2001</v>
      </c>
      <c r="AQ209" t="s">
        <v>62</v>
      </c>
      <c r="AR209" t="s">
        <v>351</v>
      </c>
      <c r="AS209" t="s">
        <v>306</v>
      </c>
      <c r="AT209" t="s">
        <v>243</v>
      </c>
      <c r="AU209" t="s">
        <v>337</v>
      </c>
      <c r="AV209">
        <v>20.799999999999997</v>
      </c>
    </row>
    <row r="210" spans="40:48" x14ac:dyDescent="0.25">
      <c r="AN210" t="s">
        <v>73</v>
      </c>
      <c r="AO210" t="s">
        <v>60</v>
      </c>
      <c r="AP210">
        <v>2001</v>
      </c>
      <c r="AQ210" t="s">
        <v>62</v>
      </c>
      <c r="AR210" t="s">
        <v>351</v>
      </c>
      <c r="AS210" t="s">
        <v>306</v>
      </c>
      <c r="AT210" t="s">
        <v>243</v>
      </c>
      <c r="AU210" t="s">
        <v>338</v>
      </c>
      <c r="AV210">
        <v>42.7</v>
      </c>
    </row>
    <row r="211" spans="40:48" x14ac:dyDescent="0.25">
      <c r="AN211" t="s">
        <v>73</v>
      </c>
      <c r="AO211" t="s">
        <v>60</v>
      </c>
      <c r="AP211">
        <v>2001</v>
      </c>
      <c r="AQ211" t="s">
        <v>62</v>
      </c>
      <c r="AR211" t="s">
        <v>351</v>
      </c>
      <c r="AS211" t="s">
        <v>306</v>
      </c>
      <c r="AT211" t="s">
        <v>243</v>
      </c>
      <c r="AU211" t="s">
        <v>349</v>
      </c>
      <c r="AV211">
        <v>63.5</v>
      </c>
    </row>
    <row r="212" spans="40:48" x14ac:dyDescent="0.25">
      <c r="AN212" t="s">
        <v>84</v>
      </c>
      <c r="AO212" t="s">
        <v>60</v>
      </c>
      <c r="AP212">
        <v>2004</v>
      </c>
      <c r="AQ212" t="s">
        <v>39</v>
      </c>
      <c r="AR212" t="s">
        <v>351</v>
      </c>
      <c r="AS212" t="s">
        <v>306</v>
      </c>
      <c r="AT212" t="s">
        <v>218</v>
      </c>
      <c r="AU212" t="s">
        <v>310</v>
      </c>
      <c r="AV212">
        <v>4.0999999999999996</v>
      </c>
    </row>
    <row r="213" spans="40:48" x14ac:dyDescent="0.25">
      <c r="AN213" t="s">
        <v>84</v>
      </c>
      <c r="AO213" t="s">
        <v>60</v>
      </c>
      <c r="AP213">
        <v>2004</v>
      </c>
      <c r="AQ213" t="s">
        <v>39</v>
      </c>
      <c r="AR213" t="s">
        <v>351</v>
      </c>
      <c r="AS213" t="s">
        <v>306</v>
      </c>
      <c r="AT213" t="s">
        <v>218</v>
      </c>
      <c r="AU213" t="s">
        <v>311</v>
      </c>
      <c r="AV213">
        <v>8.4</v>
      </c>
    </row>
    <row r="214" spans="40:48" x14ac:dyDescent="0.25">
      <c r="AN214" t="s">
        <v>84</v>
      </c>
      <c r="AO214" t="s">
        <v>60</v>
      </c>
      <c r="AP214">
        <v>2004</v>
      </c>
      <c r="AQ214" t="s">
        <v>39</v>
      </c>
      <c r="AR214" t="s">
        <v>351</v>
      </c>
      <c r="AS214" t="s">
        <v>306</v>
      </c>
      <c r="AT214" t="s">
        <v>218</v>
      </c>
      <c r="AU214" t="s">
        <v>268</v>
      </c>
      <c r="AV214">
        <v>12.5</v>
      </c>
    </row>
    <row r="215" spans="40:48" x14ac:dyDescent="0.25">
      <c r="AN215" t="s">
        <v>84</v>
      </c>
      <c r="AO215" t="s">
        <v>60</v>
      </c>
      <c r="AP215">
        <v>2004</v>
      </c>
      <c r="AQ215" t="s">
        <v>39</v>
      </c>
      <c r="AR215" t="s">
        <v>351</v>
      </c>
      <c r="AS215" t="s">
        <v>306</v>
      </c>
      <c r="AT215" t="s">
        <v>238</v>
      </c>
      <c r="AU215" t="s">
        <v>310</v>
      </c>
      <c r="AV215">
        <v>3.2</v>
      </c>
    </row>
    <row r="216" spans="40:48" x14ac:dyDescent="0.25">
      <c r="AN216" t="s">
        <v>84</v>
      </c>
      <c r="AO216" t="s">
        <v>60</v>
      </c>
      <c r="AP216">
        <v>2004</v>
      </c>
      <c r="AQ216" t="s">
        <v>39</v>
      </c>
      <c r="AR216" t="s">
        <v>351</v>
      </c>
      <c r="AS216" t="s">
        <v>306</v>
      </c>
      <c r="AT216" t="s">
        <v>238</v>
      </c>
      <c r="AU216" t="s">
        <v>311</v>
      </c>
      <c r="AV216">
        <v>4.5999999999999996</v>
      </c>
    </row>
    <row r="217" spans="40:48" x14ac:dyDescent="0.25">
      <c r="AN217" t="s">
        <v>84</v>
      </c>
      <c r="AO217" t="s">
        <v>60</v>
      </c>
      <c r="AP217">
        <v>2004</v>
      </c>
      <c r="AQ217" t="s">
        <v>39</v>
      </c>
      <c r="AR217" t="s">
        <v>351</v>
      </c>
      <c r="AS217" t="s">
        <v>306</v>
      </c>
      <c r="AT217" t="s">
        <v>238</v>
      </c>
      <c r="AU217" t="s">
        <v>268</v>
      </c>
      <c r="AV217">
        <v>7.8</v>
      </c>
    </row>
    <row r="218" spans="40:48" x14ac:dyDescent="0.25">
      <c r="AN218" t="s">
        <v>84</v>
      </c>
      <c r="AO218" t="s">
        <v>60</v>
      </c>
      <c r="AP218">
        <v>2004</v>
      </c>
      <c r="AQ218" t="s">
        <v>39</v>
      </c>
      <c r="AR218" t="s">
        <v>351</v>
      </c>
      <c r="AS218" t="s">
        <v>306</v>
      </c>
      <c r="AT218" t="s">
        <v>239</v>
      </c>
      <c r="AU218" t="s">
        <v>310</v>
      </c>
      <c r="AV218">
        <v>2.9</v>
      </c>
    </row>
    <row r="219" spans="40:48" x14ac:dyDescent="0.25">
      <c r="AN219" t="s">
        <v>84</v>
      </c>
      <c r="AO219" t="s">
        <v>60</v>
      </c>
      <c r="AP219">
        <v>2004</v>
      </c>
      <c r="AQ219" t="s">
        <v>39</v>
      </c>
      <c r="AR219" t="s">
        <v>351</v>
      </c>
      <c r="AS219" t="s">
        <v>306</v>
      </c>
      <c r="AT219" t="s">
        <v>239</v>
      </c>
      <c r="AU219" t="s">
        <v>311</v>
      </c>
      <c r="AV219">
        <v>6.15</v>
      </c>
    </row>
    <row r="220" spans="40:48" x14ac:dyDescent="0.25">
      <c r="AN220" t="s">
        <v>84</v>
      </c>
      <c r="AO220" t="s">
        <v>60</v>
      </c>
      <c r="AP220">
        <v>2004</v>
      </c>
      <c r="AQ220" t="s">
        <v>39</v>
      </c>
      <c r="AR220" t="s">
        <v>351</v>
      </c>
      <c r="AS220" t="s">
        <v>306</v>
      </c>
      <c r="AT220" t="s">
        <v>239</v>
      </c>
      <c r="AU220" t="s">
        <v>268</v>
      </c>
      <c r="AV220">
        <v>9.0500000000000007</v>
      </c>
    </row>
    <row r="221" spans="40:48" x14ac:dyDescent="0.25">
      <c r="AN221" t="s">
        <v>84</v>
      </c>
      <c r="AO221" t="s">
        <v>60</v>
      </c>
      <c r="AP221">
        <v>2004</v>
      </c>
      <c r="AQ221" t="s">
        <v>39</v>
      </c>
      <c r="AR221" t="s">
        <v>351</v>
      </c>
      <c r="AS221" t="s">
        <v>306</v>
      </c>
      <c r="AT221" t="s">
        <v>240</v>
      </c>
      <c r="AU221" t="s">
        <v>310</v>
      </c>
      <c r="AV221">
        <v>3.2</v>
      </c>
    </row>
    <row r="222" spans="40:48" x14ac:dyDescent="0.25">
      <c r="AN222" t="s">
        <v>84</v>
      </c>
      <c r="AO222" t="s">
        <v>60</v>
      </c>
      <c r="AP222">
        <v>2004</v>
      </c>
      <c r="AQ222" t="s">
        <v>39</v>
      </c>
      <c r="AR222" t="s">
        <v>351</v>
      </c>
      <c r="AS222" t="s">
        <v>306</v>
      </c>
      <c r="AT222" t="s">
        <v>240</v>
      </c>
      <c r="AU222" t="s">
        <v>311</v>
      </c>
      <c r="AV222">
        <v>9.3000000000000007</v>
      </c>
    </row>
    <row r="223" spans="40:48" x14ac:dyDescent="0.25">
      <c r="AN223" t="s">
        <v>84</v>
      </c>
      <c r="AO223" t="s">
        <v>60</v>
      </c>
      <c r="AP223">
        <v>2004</v>
      </c>
      <c r="AQ223" t="s">
        <v>39</v>
      </c>
      <c r="AR223" t="s">
        <v>351</v>
      </c>
      <c r="AS223" t="s">
        <v>306</v>
      </c>
      <c r="AT223" t="s">
        <v>240</v>
      </c>
      <c r="AU223" t="s">
        <v>268</v>
      </c>
      <c r="AV223">
        <v>12.5</v>
      </c>
    </row>
    <row r="224" spans="40:48" x14ac:dyDescent="0.25">
      <c r="AN224" t="s">
        <v>84</v>
      </c>
      <c r="AO224" t="s">
        <v>60</v>
      </c>
      <c r="AP224">
        <v>2004</v>
      </c>
      <c r="AQ224" t="s">
        <v>39</v>
      </c>
      <c r="AR224" t="s">
        <v>351</v>
      </c>
      <c r="AS224" t="s">
        <v>306</v>
      </c>
      <c r="AT224" t="s">
        <v>316</v>
      </c>
      <c r="AU224" t="s">
        <v>310</v>
      </c>
      <c r="AV224">
        <v>3.6</v>
      </c>
    </row>
    <row r="225" spans="40:48" x14ac:dyDescent="0.25">
      <c r="AN225" t="s">
        <v>84</v>
      </c>
      <c r="AO225" t="s">
        <v>60</v>
      </c>
      <c r="AP225">
        <v>2004</v>
      </c>
      <c r="AQ225" t="s">
        <v>39</v>
      </c>
      <c r="AR225" t="s">
        <v>351</v>
      </c>
      <c r="AS225" t="s">
        <v>306</v>
      </c>
      <c r="AT225" t="s">
        <v>316</v>
      </c>
      <c r="AU225" t="s">
        <v>311</v>
      </c>
      <c r="AV225">
        <v>7.9</v>
      </c>
    </row>
    <row r="226" spans="40:48" x14ac:dyDescent="0.25">
      <c r="AN226" t="s">
        <v>84</v>
      </c>
      <c r="AO226" t="s">
        <v>60</v>
      </c>
      <c r="AP226">
        <v>2004</v>
      </c>
      <c r="AQ226" t="s">
        <v>39</v>
      </c>
      <c r="AR226" t="s">
        <v>351</v>
      </c>
      <c r="AS226" t="s">
        <v>306</v>
      </c>
      <c r="AT226" t="s">
        <v>316</v>
      </c>
      <c r="AU226" t="s">
        <v>268</v>
      </c>
      <c r="AV226">
        <v>11.5</v>
      </c>
    </row>
    <row r="227" spans="40:48" x14ac:dyDescent="0.25">
      <c r="AN227" t="s">
        <v>84</v>
      </c>
      <c r="AO227" t="s">
        <v>60</v>
      </c>
      <c r="AP227">
        <v>2004</v>
      </c>
      <c r="AQ227" t="s">
        <v>39</v>
      </c>
      <c r="AR227" t="s">
        <v>351</v>
      </c>
      <c r="AS227" t="s">
        <v>306</v>
      </c>
      <c r="AT227" t="s">
        <v>242</v>
      </c>
      <c r="AU227" t="s">
        <v>310</v>
      </c>
      <c r="AV227">
        <v>2.9</v>
      </c>
    </row>
    <row r="228" spans="40:48" x14ac:dyDescent="0.25">
      <c r="AN228" t="s">
        <v>84</v>
      </c>
      <c r="AO228" t="s">
        <v>60</v>
      </c>
      <c r="AP228">
        <v>2004</v>
      </c>
      <c r="AQ228" t="s">
        <v>39</v>
      </c>
      <c r="AR228" t="s">
        <v>351</v>
      </c>
      <c r="AS228" t="s">
        <v>306</v>
      </c>
      <c r="AT228" t="s">
        <v>242</v>
      </c>
      <c r="AU228" t="s">
        <v>311</v>
      </c>
      <c r="AV228">
        <v>7.25</v>
      </c>
    </row>
    <row r="229" spans="40:48" x14ac:dyDescent="0.25">
      <c r="AN229" t="s">
        <v>84</v>
      </c>
      <c r="AO229" t="s">
        <v>60</v>
      </c>
      <c r="AP229">
        <v>2004</v>
      </c>
      <c r="AQ229" t="s">
        <v>39</v>
      </c>
      <c r="AR229" t="s">
        <v>351</v>
      </c>
      <c r="AS229" t="s">
        <v>306</v>
      </c>
      <c r="AT229" t="s">
        <v>242</v>
      </c>
      <c r="AU229" t="s">
        <v>268</v>
      </c>
      <c r="AV229">
        <v>10.15</v>
      </c>
    </row>
    <row r="230" spans="40:48" x14ac:dyDescent="0.25">
      <c r="AN230" t="s">
        <v>84</v>
      </c>
      <c r="AO230" t="s">
        <v>60</v>
      </c>
      <c r="AP230">
        <v>2004</v>
      </c>
      <c r="AQ230" t="s">
        <v>39</v>
      </c>
      <c r="AR230" t="s">
        <v>351</v>
      </c>
      <c r="AS230" t="s">
        <v>306</v>
      </c>
      <c r="AT230" t="s">
        <v>243</v>
      </c>
      <c r="AU230" t="s">
        <v>337</v>
      </c>
      <c r="AV230">
        <v>19.899999999999999</v>
      </c>
    </row>
    <row r="231" spans="40:48" x14ac:dyDescent="0.25">
      <c r="AN231" t="s">
        <v>84</v>
      </c>
      <c r="AO231" t="s">
        <v>60</v>
      </c>
      <c r="AP231">
        <v>2004</v>
      </c>
      <c r="AQ231" t="s">
        <v>39</v>
      </c>
      <c r="AR231" t="s">
        <v>351</v>
      </c>
      <c r="AS231" t="s">
        <v>306</v>
      </c>
      <c r="AT231" t="s">
        <v>243</v>
      </c>
      <c r="AU231" t="s">
        <v>338</v>
      </c>
      <c r="AV231">
        <v>43.6</v>
      </c>
    </row>
    <row r="232" spans="40:48" x14ac:dyDescent="0.25">
      <c r="AN232" t="s">
        <v>84</v>
      </c>
      <c r="AO232" t="s">
        <v>60</v>
      </c>
      <c r="AP232">
        <v>2004</v>
      </c>
      <c r="AQ232" t="s">
        <v>39</v>
      </c>
      <c r="AR232" t="s">
        <v>351</v>
      </c>
      <c r="AS232" t="s">
        <v>306</v>
      </c>
      <c r="AT232" t="s">
        <v>243</v>
      </c>
      <c r="AU232" t="s">
        <v>349</v>
      </c>
      <c r="AV232">
        <v>63.5</v>
      </c>
    </row>
    <row r="233" spans="40:48" x14ac:dyDescent="0.25">
      <c r="AN233" t="s">
        <v>70</v>
      </c>
      <c r="AO233" t="s">
        <v>60</v>
      </c>
      <c r="AP233">
        <v>2001</v>
      </c>
      <c r="AQ233" t="s">
        <v>72</v>
      </c>
      <c r="AR233" t="s">
        <v>351</v>
      </c>
      <c r="AS233" t="s">
        <v>307</v>
      </c>
      <c r="AT233" t="s">
        <v>218</v>
      </c>
      <c r="AU233" t="s">
        <v>310</v>
      </c>
      <c r="AV233">
        <v>4.9000000000000004</v>
      </c>
    </row>
    <row r="234" spans="40:48" x14ac:dyDescent="0.25">
      <c r="AN234" t="s">
        <v>70</v>
      </c>
      <c r="AO234" t="s">
        <v>60</v>
      </c>
      <c r="AP234">
        <v>2001</v>
      </c>
      <c r="AQ234" t="s">
        <v>72</v>
      </c>
      <c r="AR234" t="s">
        <v>351</v>
      </c>
      <c r="AS234" t="s">
        <v>307</v>
      </c>
      <c r="AT234" t="s">
        <v>218</v>
      </c>
      <c r="AU234" t="s">
        <v>311</v>
      </c>
      <c r="AV234">
        <v>7.6</v>
      </c>
    </row>
    <row r="235" spans="40:48" x14ac:dyDescent="0.25">
      <c r="AN235" t="s">
        <v>70</v>
      </c>
      <c r="AO235" t="s">
        <v>60</v>
      </c>
      <c r="AP235">
        <v>2001</v>
      </c>
      <c r="AQ235" t="s">
        <v>72</v>
      </c>
      <c r="AR235" t="s">
        <v>351</v>
      </c>
      <c r="AS235" t="s">
        <v>307</v>
      </c>
      <c r="AT235" t="s">
        <v>218</v>
      </c>
      <c r="AU235" t="s">
        <v>268</v>
      </c>
      <c r="AV235">
        <v>12.5</v>
      </c>
    </row>
    <row r="236" spans="40:48" x14ac:dyDescent="0.25">
      <c r="AN236" t="s">
        <v>70</v>
      </c>
      <c r="AO236" t="s">
        <v>60</v>
      </c>
      <c r="AP236">
        <v>2001</v>
      </c>
      <c r="AQ236" t="s">
        <v>72</v>
      </c>
      <c r="AR236" t="s">
        <v>351</v>
      </c>
      <c r="AS236" t="s">
        <v>307</v>
      </c>
      <c r="AT236" t="s">
        <v>238</v>
      </c>
      <c r="AU236" t="s">
        <v>310</v>
      </c>
      <c r="AV236">
        <v>3.6</v>
      </c>
    </row>
    <row r="237" spans="40:48" x14ac:dyDescent="0.25">
      <c r="AN237" t="s">
        <v>70</v>
      </c>
      <c r="AO237" t="s">
        <v>60</v>
      </c>
      <c r="AP237">
        <v>2001</v>
      </c>
      <c r="AQ237" t="s">
        <v>72</v>
      </c>
      <c r="AR237" t="s">
        <v>351</v>
      </c>
      <c r="AS237" t="s">
        <v>307</v>
      </c>
      <c r="AT237" t="s">
        <v>238</v>
      </c>
      <c r="AU237" t="s">
        <v>311</v>
      </c>
      <c r="AV237">
        <v>6.7</v>
      </c>
    </row>
    <row r="238" spans="40:48" x14ac:dyDescent="0.25">
      <c r="AN238" t="s">
        <v>70</v>
      </c>
      <c r="AO238" t="s">
        <v>60</v>
      </c>
      <c r="AP238">
        <v>2001</v>
      </c>
      <c r="AQ238" t="s">
        <v>72</v>
      </c>
      <c r="AR238" t="s">
        <v>351</v>
      </c>
      <c r="AS238" t="s">
        <v>307</v>
      </c>
      <c r="AT238" t="s">
        <v>238</v>
      </c>
      <c r="AU238" t="s">
        <v>268</v>
      </c>
      <c r="AV238">
        <v>10.3</v>
      </c>
    </row>
    <row r="239" spans="40:48" x14ac:dyDescent="0.25">
      <c r="AN239" t="s">
        <v>70</v>
      </c>
      <c r="AO239" t="s">
        <v>60</v>
      </c>
      <c r="AP239">
        <v>2001</v>
      </c>
      <c r="AQ239" t="s">
        <v>72</v>
      </c>
      <c r="AR239" t="s">
        <v>351</v>
      </c>
      <c r="AS239" t="s">
        <v>307</v>
      </c>
      <c r="AT239" t="s">
        <v>239</v>
      </c>
      <c r="AU239" t="s">
        <v>310</v>
      </c>
      <c r="AV239">
        <v>4.0999999999999996</v>
      </c>
    </row>
    <row r="240" spans="40:48" x14ac:dyDescent="0.25">
      <c r="AN240" t="s">
        <v>70</v>
      </c>
      <c r="AO240" t="s">
        <v>60</v>
      </c>
      <c r="AP240">
        <v>2001</v>
      </c>
      <c r="AQ240" t="s">
        <v>72</v>
      </c>
      <c r="AR240" t="s">
        <v>351</v>
      </c>
      <c r="AS240" t="s">
        <v>307</v>
      </c>
      <c r="AT240" t="s">
        <v>239</v>
      </c>
      <c r="AU240" t="s">
        <v>311</v>
      </c>
      <c r="AV240">
        <v>7.8</v>
      </c>
    </row>
    <row r="241" spans="40:48" x14ac:dyDescent="0.25">
      <c r="AN241" t="s">
        <v>70</v>
      </c>
      <c r="AO241" t="s">
        <v>60</v>
      </c>
      <c r="AP241">
        <v>2001</v>
      </c>
      <c r="AQ241" t="s">
        <v>72</v>
      </c>
      <c r="AR241" t="s">
        <v>351</v>
      </c>
      <c r="AS241" t="s">
        <v>307</v>
      </c>
      <c r="AT241" t="s">
        <v>239</v>
      </c>
      <c r="AU241" t="s">
        <v>268</v>
      </c>
      <c r="AV241">
        <v>11.9</v>
      </c>
    </row>
    <row r="242" spans="40:48" x14ac:dyDescent="0.25">
      <c r="AN242" t="s">
        <v>70</v>
      </c>
      <c r="AO242" t="s">
        <v>60</v>
      </c>
      <c r="AP242">
        <v>2001</v>
      </c>
      <c r="AQ242" t="s">
        <v>72</v>
      </c>
      <c r="AR242" t="s">
        <v>351</v>
      </c>
      <c r="AS242" t="s">
        <v>307</v>
      </c>
      <c r="AT242" t="s">
        <v>240</v>
      </c>
      <c r="AU242" t="s">
        <v>310</v>
      </c>
      <c r="AV242">
        <v>5.2</v>
      </c>
    </row>
    <row r="243" spans="40:48" x14ac:dyDescent="0.25">
      <c r="AN243" t="s">
        <v>70</v>
      </c>
      <c r="AO243" t="s">
        <v>60</v>
      </c>
      <c r="AP243">
        <v>2001</v>
      </c>
      <c r="AQ243" t="s">
        <v>72</v>
      </c>
      <c r="AR243" t="s">
        <v>351</v>
      </c>
      <c r="AS243" t="s">
        <v>307</v>
      </c>
      <c r="AT243" t="s">
        <v>240</v>
      </c>
      <c r="AU243" t="s">
        <v>311</v>
      </c>
      <c r="AV243">
        <v>7.65</v>
      </c>
    </row>
    <row r="244" spans="40:48" x14ac:dyDescent="0.25">
      <c r="AN244" t="s">
        <v>70</v>
      </c>
      <c r="AO244" t="s">
        <v>60</v>
      </c>
      <c r="AP244">
        <v>2001</v>
      </c>
      <c r="AQ244" t="s">
        <v>72</v>
      </c>
      <c r="AR244" t="s">
        <v>351</v>
      </c>
      <c r="AS244" t="s">
        <v>307</v>
      </c>
      <c r="AT244" t="s">
        <v>240</v>
      </c>
      <c r="AU244" t="s">
        <v>268</v>
      </c>
      <c r="AV244">
        <v>12.85</v>
      </c>
    </row>
    <row r="245" spans="40:48" x14ac:dyDescent="0.25">
      <c r="AN245" t="s">
        <v>70</v>
      </c>
      <c r="AO245" t="s">
        <v>60</v>
      </c>
      <c r="AP245">
        <v>2001</v>
      </c>
      <c r="AQ245" t="s">
        <v>72</v>
      </c>
      <c r="AR245" t="s">
        <v>351</v>
      </c>
      <c r="AS245" t="s">
        <v>307</v>
      </c>
      <c r="AT245" t="s">
        <v>316</v>
      </c>
      <c r="AU245" t="s">
        <v>310</v>
      </c>
      <c r="AV245">
        <v>0</v>
      </c>
    </row>
    <row r="246" spans="40:48" x14ac:dyDescent="0.25">
      <c r="AN246" t="s">
        <v>70</v>
      </c>
      <c r="AO246" t="s">
        <v>60</v>
      </c>
      <c r="AP246">
        <v>2001</v>
      </c>
      <c r="AQ246" t="s">
        <v>72</v>
      </c>
      <c r="AR246" t="s">
        <v>351</v>
      </c>
      <c r="AS246" t="s">
        <v>307</v>
      </c>
      <c r="AT246" t="s">
        <v>316</v>
      </c>
      <c r="AU246" t="s">
        <v>311</v>
      </c>
      <c r="AV246">
        <v>0</v>
      </c>
    </row>
    <row r="247" spans="40:48" x14ac:dyDescent="0.25">
      <c r="AN247" t="s">
        <v>70</v>
      </c>
      <c r="AO247" t="s">
        <v>60</v>
      </c>
      <c r="AP247">
        <v>2001</v>
      </c>
      <c r="AQ247" t="s">
        <v>72</v>
      </c>
      <c r="AR247" t="s">
        <v>351</v>
      </c>
      <c r="AS247" t="s">
        <v>307</v>
      </c>
      <c r="AT247" t="s">
        <v>316</v>
      </c>
      <c r="AU247" t="s">
        <v>268</v>
      </c>
      <c r="AV247">
        <v>0</v>
      </c>
    </row>
    <row r="248" spans="40:48" x14ac:dyDescent="0.25">
      <c r="AN248" t="s">
        <v>70</v>
      </c>
      <c r="AO248" t="s">
        <v>60</v>
      </c>
      <c r="AP248">
        <v>2001</v>
      </c>
      <c r="AQ248" t="s">
        <v>72</v>
      </c>
      <c r="AR248" t="s">
        <v>351</v>
      </c>
      <c r="AS248" t="s">
        <v>307</v>
      </c>
      <c r="AT248" t="s">
        <v>242</v>
      </c>
      <c r="AU248" t="s">
        <v>310</v>
      </c>
      <c r="AV248">
        <v>3.7</v>
      </c>
    </row>
    <row r="249" spans="40:48" x14ac:dyDescent="0.25">
      <c r="AN249" t="s">
        <v>70</v>
      </c>
      <c r="AO249" t="s">
        <v>60</v>
      </c>
      <c r="AP249">
        <v>2001</v>
      </c>
      <c r="AQ249" t="s">
        <v>72</v>
      </c>
      <c r="AR249" t="s">
        <v>351</v>
      </c>
      <c r="AS249" t="s">
        <v>307</v>
      </c>
      <c r="AT249" t="s">
        <v>242</v>
      </c>
      <c r="AU249" t="s">
        <v>311</v>
      </c>
      <c r="AV249">
        <v>7.4</v>
      </c>
    </row>
    <row r="250" spans="40:48" x14ac:dyDescent="0.25">
      <c r="AN250" t="s">
        <v>70</v>
      </c>
      <c r="AO250" t="s">
        <v>60</v>
      </c>
      <c r="AP250">
        <v>2001</v>
      </c>
      <c r="AQ250" t="s">
        <v>72</v>
      </c>
      <c r="AR250" t="s">
        <v>351</v>
      </c>
      <c r="AS250" t="s">
        <v>307</v>
      </c>
      <c r="AT250" t="s">
        <v>242</v>
      </c>
      <c r="AU250" t="s">
        <v>268</v>
      </c>
      <c r="AV250">
        <v>11.1</v>
      </c>
    </row>
    <row r="251" spans="40:48" x14ac:dyDescent="0.25">
      <c r="AN251" t="s">
        <v>70</v>
      </c>
      <c r="AO251" t="s">
        <v>60</v>
      </c>
      <c r="AP251">
        <v>2001</v>
      </c>
      <c r="AQ251" t="s">
        <v>72</v>
      </c>
      <c r="AR251" t="s">
        <v>351</v>
      </c>
      <c r="AS251" t="s">
        <v>307</v>
      </c>
      <c r="AT251" t="s">
        <v>243</v>
      </c>
      <c r="AU251" t="s">
        <v>337</v>
      </c>
      <c r="AV251">
        <v>0</v>
      </c>
    </row>
    <row r="252" spans="40:48" x14ac:dyDescent="0.25">
      <c r="AN252" t="s">
        <v>70</v>
      </c>
      <c r="AO252" t="s">
        <v>60</v>
      </c>
      <c r="AP252">
        <v>2001</v>
      </c>
      <c r="AQ252" t="s">
        <v>72</v>
      </c>
      <c r="AR252" t="s">
        <v>351</v>
      </c>
      <c r="AS252" t="s">
        <v>307</v>
      </c>
      <c r="AT252" t="s">
        <v>243</v>
      </c>
      <c r="AU252" t="s">
        <v>338</v>
      </c>
      <c r="AV252">
        <v>0</v>
      </c>
    </row>
    <row r="253" spans="40:48" x14ac:dyDescent="0.25">
      <c r="AN253" t="s">
        <v>70</v>
      </c>
      <c r="AO253" t="s">
        <v>60</v>
      </c>
      <c r="AP253">
        <v>2001</v>
      </c>
      <c r="AQ253" t="s">
        <v>72</v>
      </c>
      <c r="AR253" t="s">
        <v>351</v>
      </c>
      <c r="AS253" t="s">
        <v>307</v>
      </c>
      <c r="AT253" t="s">
        <v>243</v>
      </c>
      <c r="AU253" t="s">
        <v>349</v>
      </c>
      <c r="AV253">
        <v>58.65</v>
      </c>
    </row>
    <row r="254" spans="40:48" x14ac:dyDescent="0.25">
      <c r="AN254" t="s">
        <v>82</v>
      </c>
      <c r="AO254" t="s">
        <v>60</v>
      </c>
      <c r="AP254">
        <v>2003</v>
      </c>
      <c r="AQ254" t="s">
        <v>36</v>
      </c>
      <c r="AR254" t="s">
        <v>351</v>
      </c>
      <c r="AS254" t="s">
        <v>307</v>
      </c>
      <c r="AT254" t="s">
        <v>218</v>
      </c>
      <c r="AU254" t="s">
        <v>310</v>
      </c>
      <c r="AV254">
        <v>4.0999999999999996</v>
      </c>
    </row>
    <row r="255" spans="40:48" x14ac:dyDescent="0.25">
      <c r="AN255" t="s">
        <v>82</v>
      </c>
      <c r="AO255" t="s">
        <v>60</v>
      </c>
      <c r="AP255">
        <v>2003</v>
      </c>
      <c r="AQ255" t="s">
        <v>36</v>
      </c>
      <c r="AR255" t="s">
        <v>351</v>
      </c>
      <c r="AS255" t="s">
        <v>307</v>
      </c>
      <c r="AT255" t="s">
        <v>218</v>
      </c>
      <c r="AU255" t="s">
        <v>311</v>
      </c>
      <c r="AV255">
        <v>6.7</v>
      </c>
    </row>
    <row r="256" spans="40:48" x14ac:dyDescent="0.25">
      <c r="AN256" t="s">
        <v>82</v>
      </c>
      <c r="AO256" t="s">
        <v>60</v>
      </c>
      <c r="AP256">
        <v>2003</v>
      </c>
      <c r="AQ256" t="s">
        <v>36</v>
      </c>
      <c r="AR256" t="s">
        <v>351</v>
      </c>
      <c r="AS256" t="s">
        <v>307</v>
      </c>
      <c r="AT256" t="s">
        <v>218</v>
      </c>
      <c r="AU256" t="s">
        <v>268</v>
      </c>
      <c r="AV256">
        <v>10.8</v>
      </c>
    </row>
    <row r="257" spans="40:48" x14ac:dyDescent="0.25">
      <c r="AN257" t="s">
        <v>82</v>
      </c>
      <c r="AO257" t="s">
        <v>60</v>
      </c>
      <c r="AP257">
        <v>2003</v>
      </c>
      <c r="AQ257" t="s">
        <v>36</v>
      </c>
      <c r="AR257" t="s">
        <v>351</v>
      </c>
      <c r="AS257" t="s">
        <v>307</v>
      </c>
      <c r="AT257" t="s">
        <v>238</v>
      </c>
      <c r="AU257" t="s">
        <v>310</v>
      </c>
      <c r="AV257">
        <v>0</v>
      </c>
    </row>
    <row r="258" spans="40:48" x14ac:dyDescent="0.25">
      <c r="AN258" t="s">
        <v>82</v>
      </c>
      <c r="AO258" t="s">
        <v>60</v>
      </c>
      <c r="AP258">
        <v>2003</v>
      </c>
      <c r="AQ258" t="s">
        <v>36</v>
      </c>
      <c r="AR258" t="s">
        <v>351</v>
      </c>
      <c r="AS258" t="s">
        <v>307</v>
      </c>
      <c r="AT258" t="s">
        <v>238</v>
      </c>
      <c r="AU258" t="s">
        <v>311</v>
      </c>
      <c r="AV258">
        <v>0</v>
      </c>
    </row>
    <row r="259" spans="40:48" x14ac:dyDescent="0.25">
      <c r="AN259" t="s">
        <v>82</v>
      </c>
      <c r="AO259" t="s">
        <v>60</v>
      </c>
      <c r="AP259">
        <v>2003</v>
      </c>
      <c r="AQ259" t="s">
        <v>36</v>
      </c>
      <c r="AR259" t="s">
        <v>351</v>
      </c>
      <c r="AS259" t="s">
        <v>307</v>
      </c>
      <c r="AT259" t="s">
        <v>238</v>
      </c>
      <c r="AU259" t="s">
        <v>268</v>
      </c>
      <c r="AV259">
        <v>0</v>
      </c>
    </row>
    <row r="260" spans="40:48" x14ac:dyDescent="0.25">
      <c r="AN260" t="s">
        <v>82</v>
      </c>
      <c r="AO260" t="s">
        <v>60</v>
      </c>
      <c r="AP260">
        <v>2003</v>
      </c>
      <c r="AQ260" t="s">
        <v>36</v>
      </c>
      <c r="AR260" t="s">
        <v>351</v>
      </c>
      <c r="AS260" t="s">
        <v>307</v>
      </c>
      <c r="AT260" t="s">
        <v>239</v>
      </c>
      <c r="AU260" t="s">
        <v>310</v>
      </c>
      <c r="AV260">
        <v>3.8</v>
      </c>
    </row>
    <row r="261" spans="40:48" x14ac:dyDescent="0.25">
      <c r="AN261" t="s">
        <v>82</v>
      </c>
      <c r="AO261" t="s">
        <v>60</v>
      </c>
      <c r="AP261">
        <v>2003</v>
      </c>
      <c r="AQ261" t="s">
        <v>36</v>
      </c>
      <c r="AR261" t="s">
        <v>351</v>
      </c>
      <c r="AS261" t="s">
        <v>307</v>
      </c>
      <c r="AT261" t="s">
        <v>239</v>
      </c>
      <c r="AU261" t="s">
        <v>311</v>
      </c>
      <c r="AV261">
        <v>7.7</v>
      </c>
    </row>
    <row r="262" spans="40:48" x14ac:dyDescent="0.25">
      <c r="AN262" t="s">
        <v>82</v>
      </c>
      <c r="AO262" t="s">
        <v>60</v>
      </c>
      <c r="AP262">
        <v>2003</v>
      </c>
      <c r="AQ262" t="s">
        <v>36</v>
      </c>
      <c r="AR262" t="s">
        <v>351</v>
      </c>
      <c r="AS262" t="s">
        <v>307</v>
      </c>
      <c r="AT262" t="s">
        <v>239</v>
      </c>
      <c r="AU262" t="s">
        <v>268</v>
      </c>
      <c r="AV262">
        <v>11.5</v>
      </c>
    </row>
    <row r="263" spans="40:48" x14ac:dyDescent="0.25">
      <c r="AN263" t="s">
        <v>82</v>
      </c>
      <c r="AO263" t="s">
        <v>60</v>
      </c>
      <c r="AP263">
        <v>2003</v>
      </c>
      <c r="AQ263" t="s">
        <v>36</v>
      </c>
      <c r="AR263" t="s">
        <v>351</v>
      </c>
      <c r="AS263" t="s">
        <v>307</v>
      </c>
      <c r="AT263" t="s">
        <v>240</v>
      </c>
      <c r="AU263" t="s">
        <v>310</v>
      </c>
      <c r="AV263">
        <v>4</v>
      </c>
    </row>
    <row r="264" spans="40:48" x14ac:dyDescent="0.25">
      <c r="AN264" t="s">
        <v>82</v>
      </c>
      <c r="AO264" t="s">
        <v>60</v>
      </c>
      <c r="AP264">
        <v>2003</v>
      </c>
      <c r="AQ264" t="s">
        <v>36</v>
      </c>
      <c r="AR264" t="s">
        <v>351</v>
      </c>
      <c r="AS264" t="s">
        <v>307</v>
      </c>
      <c r="AT264" t="s">
        <v>240</v>
      </c>
      <c r="AU264" t="s">
        <v>311</v>
      </c>
      <c r="AV264">
        <v>9.1</v>
      </c>
    </row>
    <row r="265" spans="40:48" x14ac:dyDescent="0.25">
      <c r="AN265" t="s">
        <v>82</v>
      </c>
      <c r="AO265" t="s">
        <v>60</v>
      </c>
      <c r="AP265">
        <v>2003</v>
      </c>
      <c r="AQ265" t="s">
        <v>36</v>
      </c>
      <c r="AR265" t="s">
        <v>351</v>
      </c>
      <c r="AS265" t="s">
        <v>307</v>
      </c>
      <c r="AT265" t="s">
        <v>240</v>
      </c>
      <c r="AU265" t="s">
        <v>268</v>
      </c>
      <c r="AV265">
        <v>13.1</v>
      </c>
    </row>
    <row r="266" spans="40:48" x14ac:dyDescent="0.25">
      <c r="AN266" t="s">
        <v>82</v>
      </c>
      <c r="AO266" t="s">
        <v>60</v>
      </c>
      <c r="AP266">
        <v>2003</v>
      </c>
      <c r="AQ266" t="s">
        <v>36</v>
      </c>
      <c r="AR266" t="s">
        <v>351</v>
      </c>
      <c r="AS266" t="s">
        <v>307</v>
      </c>
      <c r="AT266" t="s">
        <v>316</v>
      </c>
      <c r="AU266" t="s">
        <v>310</v>
      </c>
      <c r="AV266">
        <v>2.5</v>
      </c>
    </row>
    <row r="267" spans="40:48" x14ac:dyDescent="0.25">
      <c r="AN267" t="s">
        <v>82</v>
      </c>
      <c r="AO267" t="s">
        <v>60</v>
      </c>
      <c r="AP267">
        <v>2003</v>
      </c>
      <c r="AQ267" t="s">
        <v>36</v>
      </c>
      <c r="AR267" t="s">
        <v>351</v>
      </c>
      <c r="AS267" t="s">
        <v>307</v>
      </c>
      <c r="AT267" t="s">
        <v>316</v>
      </c>
      <c r="AU267" t="s">
        <v>311</v>
      </c>
      <c r="AV267">
        <v>7.15</v>
      </c>
    </row>
    <row r="268" spans="40:48" x14ac:dyDescent="0.25">
      <c r="AN268" t="s">
        <v>82</v>
      </c>
      <c r="AO268" t="s">
        <v>60</v>
      </c>
      <c r="AP268">
        <v>2003</v>
      </c>
      <c r="AQ268" t="s">
        <v>36</v>
      </c>
      <c r="AR268" t="s">
        <v>351</v>
      </c>
      <c r="AS268" t="s">
        <v>307</v>
      </c>
      <c r="AT268" t="s">
        <v>316</v>
      </c>
      <c r="AU268" t="s">
        <v>268</v>
      </c>
      <c r="AV268">
        <v>9.65</v>
      </c>
    </row>
    <row r="269" spans="40:48" x14ac:dyDescent="0.25">
      <c r="AN269" t="s">
        <v>82</v>
      </c>
      <c r="AO269" t="s">
        <v>60</v>
      </c>
      <c r="AP269">
        <v>2003</v>
      </c>
      <c r="AQ269" t="s">
        <v>36</v>
      </c>
      <c r="AR269" t="s">
        <v>351</v>
      </c>
      <c r="AS269" t="s">
        <v>307</v>
      </c>
      <c r="AT269" t="s">
        <v>242</v>
      </c>
      <c r="AU269" t="s">
        <v>310</v>
      </c>
      <c r="AV269">
        <v>4</v>
      </c>
    </row>
    <row r="270" spans="40:48" x14ac:dyDescent="0.25">
      <c r="AN270" t="s">
        <v>82</v>
      </c>
      <c r="AO270" t="s">
        <v>60</v>
      </c>
      <c r="AP270">
        <v>2003</v>
      </c>
      <c r="AQ270" t="s">
        <v>36</v>
      </c>
      <c r="AR270" t="s">
        <v>351</v>
      </c>
      <c r="AS270" t="s">
        <v>307</v>
      </c>
      <c r="AT270" t="s">
        <v>242</v>
      </c>
      <c r="AU270" t="s">
        <v>311</v>
      </c>
      <c r="AV270">
        <v>8.25</v>
      </c>
    </row>
    <row r="271" spans="40:48" x14ac:dyDescent="0.25">
      <c r="AN271" t="s">
        <v>82</v>
      </c>
      <c r="AO271" t="s">
        <v>60</v>
      </c>
      <c r="AP271">
        <v>2003</v>
      </c>
      <c r="AQ271" t="s">
        <v>36</v>
      </c>
      <c r="AR271" t="s">
        <v>351</v>
      </c>
      <c r="AS271" t="s">
        <v>307</v>
      </c>
      <c r="AT271" t="s">
        <v>242</v>
      </c>
      <c r="AU271" t="s">
        <v>268</v>
      </c>
      <c r="AV271">
        <v>12.25</v>
      </c>
    </row>
    <row r="272" spans="40:48" x14ac:dyDescent="0.25">
      <c r="AN272" t="s">
        <v>82</v>
      </c>
      <c r="AO272" t="s">
        <v>60</v>
      </c>
      <c r="AP272">
        <v>2003</v>
      </c>
      <c r="AQ272" t="s">
        <v>36</v>
      </c>
      <c r="AR272" t="s">
        <v>351</v>
      </c>
      <c r="AS272" t="s">
        <v>307</v>
      </c>
      <c r="AT272" t="s">
        <v>243</v>
      </c>
      <c r="AU272" t="s">
        <v>337</v>
      </c>
      <c r="AV272">
        <v>0</v>
      </c>
    </row>
    <row r="273" spans="40:48" x14ac:dyDescent="0.25">
      <c r="AN273" t="s">
        <v>82</v>
      </c>
      <c r="AO273" t="s">
        <v>60</v>
      </c>
      <c r="AP273">
        <v>2003</v>
      </c>
      <c r="AQ273" t="s">
        <v>36</v>
      </c>
      <c r="AR273" t="s">
        <v>351</v>
      </c>
      <c r="AS273" t="s">
        <v>307</v>
      </c>
      <c r="AT273" t="s">
        <v>243</v>
      </c>
      <c r="AU273" t="s">
        <v>338</v>
      </c>
      <c r="AV273">
        <v>0</v>
      </c>
    </row>
    <row r="274" spans="40:48" x14ac:dyDescent="0.25">
      <c r="AN274" t="s">
        <v>82</v>
      </c>
      <c r="AO274" t="s">
        <v>60</v>
      </c>
      <c r="AP274">
        <v>2003</v>
      </c>
      <c r="AQ274" t="s">
        <v>36</v>
      </c>
      <c r="AR274" t="s">
        <v>351</v>
      </c>
      <c r="AS274" t="s">
        <v>307</v>
      </c>
      <c r="AT274" t="s">
        <v>243</v>
      </c>
      <c r="AU274" t="s">
        <v>349</v>
      </c>
      <c r="AV274">
        <v>57.3</v>
      </c>
    </row>
    <row r="275" spans="40:48" x14ac:dyDescent="0.25">
      <c r="AN275" t="s">
        <v>90</v>
      </c>
      <c r="AO275" t="s">
        <v>60</v>
      </c>
      <c r="AP275">
        <v>2004</v>
      </c>
      <c r="AQ275" t="s">
        <v>36</v>
      </c>
      <c r="AR275" t="s">
        <v>351</v>
      </c>
      <c r="AS275" t="s">
        <v>307</v>
      </c>
      <c r="AT275" t="s">
        <v>218</v>
      </c>
      <c r="AU275" t="s">
        <v>310</v>
      </c>
      <c r="AV275">
        <v>4</v>
      </c>
    </row>
    <row r="276" spans="40:48" x14ac:dyDescent="0.25">
      <c r="AN276" t="s">
        <v>90</v>
      </c>
      <c r="AO276" t="s">
        <v>60</v>
      </c>
      <c r="AP276">
        <v>2004</v>
      </c>
      <c r="AQ276" t="s">
        <v>36</v>
      </c>
      <c r="AR276" t="s">
        <v>351</v>
      </c>
      <c r="AS276" t="s">
        <v>307</v>
      </c>
      <c r="AT276" t="s">
        <v>218</v>
      </c>
      <c r="AU276" t="s">
        <v>311</v>
      </c>
      <c r="AV276">
        <v>7.9</v>
      </c>
    </row>
    <row r="277" spans="40:48" x14ac:dyDescent="0.25">
      <c r="AN277" t="s">
        <v>90</v>
      </c>
      <c r="AO277" t="s">
        <v>60</v>
      </c>
      <c r="AP277">
        <v>2004</v>
      </c>
      <c r="AQ277" t="s">
        <v>36</v>
      </c>
      <c r="AR277" t="s">
        <v>351</v>
      </c>
      <c r="AS277" t="s">
        <v>307</v>
      </c>
      <c r="AT277" t="s">
        <v>218</v>
      </c>
      <c r="AU277" t="s">
        <v>268</v>
      </c>
      <c r="AV277">
        <v>11.9</v>
      </c>
    </row>
    <row r="278" spans="40:48" x14ac:dyDescent="0.25">
      <c r="AN278" t="s">
        <v>90</v>
      </c>
      <c r="AO278" t="s">
        <v>60</v>
      </c>
      <c r="AP278">
        <v>2004</v>
      </c>
      <c r="AQ278" t="s">
        <v>36</v>
      </c>
      <c r="AR278" t="s">
        <v>351</v>
      </c>
      <c r="AS278" t="s">
        <v>307</v>
      </c>
      <c r="AT278" t="s">
        <v>238</v>
      </c>
      <c r="AU278" t="s">
        <v>310</v>
      </c>
      <c r="AV278">
        <v>2.9</v>
      </c>
    </row>
    <row r="279" spans="40:48" x14ac:dyDescent="0.25">
      <c r="AN279" t="s">
        <v>90</v>
      </c>
      <c r="AO279" t="s">
        <v>60</v>
      </c>
      <c r="AP279">
        <v>2004</v>
      </c>
      <c r="AQ279" t="s">
        <v>36</v>
      </c>
      <c r="AR279" t="s">
        <v>351</v>
      </c>
      <c r="AS279" t="s">
        <v>307</v>
      </c>
      <c r="AT279" t="s">
        <v>238</v>
      </c>
      <c r="AU279" t="s">
        <v>311</v>
      </c>
      <c r="AV279">
        <v>5</v>
      </c>
    </row>
    <row r="280" spans="40:48" x14ac:dyDescent="0.25">
      <c r="AN280" t="s">
        <v>90</v>
      </c>
      <c r="AO280" t="s">
        <v>60</v>
      </c>
      <c r="AP280">
        <v>2004</v>
      </c>
      <c r="AQ280" t="s">
        <v>36</v>
      </c>
      <c r="AR280" t="s">
        <v>351</v>
      </c>
      <c r="AS280" t="s">
        <v>307</v>
      </c>
      <c r="AT280" t="s">
        <v>238</v>
      </c>
      <c r="AU280" t="s">
        <v>268</v>
      </c>
      <c r="AV280">
        <v>7.9</v>
      </c>
    </row>
    <row r="281" spans="40:48" x14ac:dyDescent="0.25">
      <c r="AN281" t="s">
        <v>90</v>
      </c>
      <c r="AO281" t="s">
        <v>60</v>
      </c>
      <c r="AP281">
        <v>2004</v>
      </c>
      <c r="AQ281" t="s">
        <v>36</v>
      </c>
      <c r="AR281" t="s">
        <v>351</v>
      </c>
      <c r="AS281" t="s">
        <v>307</v>
      </c>
      <c r="AT281" t="s">
        <v>239</v>
      </c>
      <c r="AU281" t="s">
        <v>310</v>
      </c>
      <c r="AV281">
        <v>3</v>
      </c>
    </row>
    <row r="282" spans="40:48" x14ac:dyDescent="0.25">
      <c r="AN282" t="s">
        <v>90</v>
      </c>
      <c r="AO282" t="s">
        <v>60</v>
      </c>
      <c r="AP282">
        <v>2004</v>
      </c>
      <c r="AQ282" t="s">
        <v>36</v>
      </c>
      <c r="AR282" t="s">
        <v>351</v>
      </c>
      <c r="AS282" t="s">
        <v>307</v>
      </c>
      <c r="AT282" t="s">
        <v>239</v>
      </c>
      <c r="AU282" t="s">
        <v>311</v>
      </c>
      <c r="AV282">
        <v>6.35</v>
      </c>
    </row>
    <row r="283" spans="40:48" x14ac:dyDescent="0.25">
      <c r="AN283" t="s">
        <v>90</v>
      </c>
      <c r="AO283" t="s">
        <v>60</v>
      </c>
      <c r="AP283">
        <v>2004</v>
      </c>
      <c r="AQ283" t="s">
        <v>36</v>
      </c>
      <c r="AR283" t="s">
        <v>351</v>
      </c>
      <c r="AS283" t="s">
        <v>307</v>
      </c>
      <c r="AT283" t="s">
        <v>239</v>
      </c>
      <c r="AU283" t="s">
        <v>268</v>
      </c>
      <c r="AV283">
        <v>9.35</v>
      </c>
    </row>
    <row r="284" spans="40:48" x14ac:dyDescent="0.25">
      <c r="AN284" t="s">
        <v>90</v>
      </c>
      <c r="AO284" t="s">
        <v>60</v>
      </c>
      <c r="AP284">
        <v>2004</v>
      </c>
      <c r="AQ284" t="s">
        <v>36</v>
      </c>
      <c r="AR284" t="s">
        <v>351</v>
      </c>
      <c r="AS284" t="s">
        <v>307</v>
      </c>
      <c r="AT284" t="s">
        <v>240</v>
      </c>
      <c r="AU284" t="s">
        <v>310</v>
      </c>
      <c r="AV284">
        <v>4</v>
      </c>
    </row>
    <row r="285" spans="40:48" x14ac:dyDescent="0.25">
      <c r="AN285" t="s">
        <v>90</v>
      </c>
      <c r="AO285" t="s">
        <v>60</v>
      </c>
      <c r="AP285">
        <v>2004</v>
      </c>
      <c r="AQ285" t="s">
        <v>36</v>
      </c>
      <c r="AR285" t="s">
        <v>351</v>
      </c>
      <c r="AS285" t="s">
        <v>307</v>
      </c>
      <c r="AT285" t="s">
        <v>240</v>
      </c>
      <c r="AU285" t="s">
        <v>311</v>
      </c>
      <c r="AV285">
        <v>9.25</v>
      </c>
    </row>
    <row r="286" spans="40:48" x14ac:dyDescent="0.25">
      <c r="AN286" t="s">
        <v>90</v>
      </c>
      <c r="AO286" t="s">
        <v>60</v>
      </c>
      <c r="AP286">
        <v>2004</v>
      </c>
      <c r="AQ286" t="s">
        <v>36</v>
      </c>
      <c r="AR286" t="s">
        <v>351</v>
      </c>
      <c r="AS286" t="s">
        <v>307</v>
      </c>
      <c r="AT286" t="s">
        <v>240</v>
      </c>
      <c r="AU286" t="s">
        <v>268</v>
      </c>
      <c r="AV286">
        <v>13.25</v>
      </c>
    </row>
    <row r="287" spans="40:48" x14ac:dyDescent="0.25">
      <c r="AN287" t="s">
        <v>90</v>
      </c>
      <c r="AO287" t="s">
        <v>60</v>
      </c>
      <c r="AP287">
        <v>2004</v>
      </c>
      <c r="AQ287" t="s">
        <v>36</v>
      </c>
      <c r="AR287" t="s">
        <v>351</v>
      </c>
      <c r="AS287" t="s">
        <v>307</v>
      </c>
      <c r="AT287" t="s">
        <v>316</v>
      </c>
      <c r="AU287" t="s">
        <v>310</v>
      </c>
      <c r="AV287">
        <v>2.9</v>
      </c>
    </row>
    <row r="288" spans="40:48" x14ac:dyDescent="0.25">
      <c r="AN288" t="s">
        <v>90</v>
      </c>
      <c r="AO288" t="s">
        <v>60</v>
      </c>
      <c r="AP288">
        <v>2004</v>
      </c>
      <c r="AQ288" t="s">
        <v>36</v>
      </c>
      <c r="AR288" t="s">
        <v>351</v>
      </c>
      <c r="AS288" t="s">
        <v>307</v>
      </c>
      <c r="AT288" t="s">
        <v>316</v>
      </c>
      <c r="AU288" t="s">
        <v>311</v>
      </c>
      <c r="AV288">
        <v>8.5</v>
      </c>
    </row>
    <row r="289" spans="40:48" x14ac:dyDescent="0.25">
      <c r="AN289" t="s">
        <v>90</v>
      </c>
      <c r="AO289" t="s">
        <v>60</v>
      </c>
      <c r="AP289">
        <v>2004</v>
      </c>
      <c r="AQ289" t="s">
        <v>36</v>
      </c>
      <c r="AR289" t="s">
        <v>351</v>
      </c>
      <c r="AS289" t="s">
        <v>307</v>
      </c>
      <c r="AT289" t="s">
        <v>316</v>
      </c>
      <c r="AU289" t="s">
        <v>268</v>
      </c>
      <c r="AV289">
        <v>11.4</v>
      </c>
    </row>
    <row r="290" spans="40:48" x14ac:dyDescent="0.25">
      <c r="AN290" t="s">
        <v>90</v>
      </c>
      <c r="AO290" t="s">
        <v>60</v>
      </c>
      <c r="AP290">
        <v>2004</v>
      </c>
      <c r="AQ290" t="s">
        <v>36</v>
      </c>
      <c r="AR290" t="s">
        <v>351</v>
      </c>
      <c r="AS290" t="s">
        <v>307</v>
      </c>
      <c r="AT290" t="s">
        <v>242</v>
      </c>
      <c r="AU290" t="s">
        <v>310</v>
      </c>
      <c r="AV290">
        <v>0</v>
      </c>
    </row>
    <row r="291" spans="40:48" x14ac:dyDescent="0.25">
      <c r="AN291" t="s">
        <v>90</v>
      </c>
      <c r="AO291" t="s">
        <v>60</v>
      </c>
      <c r="AP291">
        <v>2004</v>
      </c>
      <c r="AQ291" t="s">
        <v>36</v>
      </c>
      <c r="AR291" t="s">
        <v>351</v>
      </c>
      <c r="AS291" t="s">
        <v>307</v>
      </c>
      <c r="AT291" t="s">
        <v>242</v>
      </c>
      <c r="AU291" t="s">
        <v>311</v>
      </c>
      <c r="AV291">
        <v>0</v>
      </c>
    </row>
    <row r="292" spans="40:48" x14ac:dyDescent="0.25">
      <c r="AN292" t="s">
        <v>90</v>
      </c>
      <c r="AO292" t="s">
        <v>60</v>
      </c>
      <c r="AP292">
        <v>2004</v>
      </c>
      <c r="AQ292" t="s">
        <v>36</v>
      </c>
      <c r="AR292" t="s">
        <v>351</v>
      </c>
      <c r="AS292" t="s">
        <v>307</v>
      </c>
      <c r="AT292" t="s">
        <v>242</v>
      </c>
      <c r="AU292" t="s">
        <v>268</v>
      </c>
      <c r="AV292">
        <v>0</v>
      </c>
    </row>
    <row r="293" spans="40:48" x14ac:dyDescent="0.25">
      <c r="AN293" t="s">
        <v>90</v>
      </c>
      <c r="AO293" t="s">
        <v>60</v>
      </c>
      <c r="AP293">
        <v>2004</v>
      </c>
      <c r="AQ293" t="s">
        <v>36</v>
      </c>
      <c r="AR293" t="s">
        <v>351</v>
      </c>
      <c r="AS293" t="s">
        <v>307</v>
      </c>
      <c r="AT293" t="s">
        <v>243</v>
      </c>
      <c r="AU293" t="s">
        <v>337</v>
      </c>
      <c r="AV293">
        <v>0</v>
      </c>
    </row>
    <row r="294" spans="40:48" x14ac:dyDescent="0.25">
      <c r="AN294" t="s">
        <v>90</v>
      </c>
      <c r="AO294" t="s">
        <v>60</v>
      </c>
      <c r="AP294">
        <v>2004</v>
      </c>
      <c r="AQ294" t="s">
        <v>36</v>
      </c>
      <c r="AR294" t="s">
        <v>351</v>
      </c>
      <c r="AS294" t="s">
        <v>307</v>
      </c>
      <c r="AT294" t="s">
        <v>243</v>
      </c>
      <c r="AU294" t="s">
        <v>338</v>
      </c>
      <c r="AV294">
        <v>0</v>
      </c>
    </row>
    <row r="295" spans="40:48" x14ac:dyDescent="0.25">
      <c r="AN295" t="s">
        <v>90</v>
      </c>
      <c r="AO295" t="s">
        <v>60</v>
      </c>
      <c r="AP295">
        <v>2004</v>
      </c>
      <c r="AQ295" t="s">
        <v>36</v>
      </c>
      <c r="AR295" t="s">
        <v>351</v>
      </c>
      <c r="AS295" t="s">
        <v>307</v>
      </c>
      <c r="AT295" t="s">
        <v>243</v>
      </c>
      <c r="AU295" t="s">
        <v>349</v>
      </c>
      <c r="AV295">
        <v>53.8</v>
      </c>
    </row>
    <row r="296" spans="40:48" x14ac:dyDescent="0.25">
      <c r="AN296" t="s">
        <v>92</v>
      </c>
      <c r="AO296" t="s">
        <v>60</v>
      </c>
      <c r="AP296">
        <v>2004</v>
      </c>
      <c r="AQ296" t="s">
        <v>39</v>
      </c>
      <c r="AR296" t="s">
        <v>351</v>
      </c>
      <c r="AS296" t="s">
        <v>307</v>
      </c>
      <c r="AT296" t="s">
        <v>218</v>
      </c>
      <c r="AU296" t="s">
        <v>310</v>
      </c>
      <c r="AV296">
        <v>4.0999999999999996</v>
      </c>
    </row>
    <row r="297" spans="40:48" x14ac:dyDescent="0.25">
      <c r="AN297" t="s">
        <v>92</v>
      </c>
      <c r="AO297" t="s">
        <v>60</v>
      </c>
      <c r="AP297">
        <v>2004</v>
      </c>
      <c r="AQ297" t="s">
        <v>39</v>
      </c>
      <c r="AR297" t="s">
        <v>351</v>
      </c>
      <c r="AS297" t="s">
        <v>307</v>
      </c>
      <c r="AT297" t="s">
        <v>218</v>
      </c>
      <c r="AU297" t="s">
        <v>311</v>
      </c>
      <c r="AV297">
        <v>7.95</v>
      </c>
    </row>
    <row r="298" spans="40:48" x14ac:dyDescent="0.25">
      <c r="AN298" t="s">
        <v>92</v>
      </c>
      <c r="AO298" t="s">
        <v>60</v>
      </c>
      <c r="AP298">
        <v>2004</v>
      </c>
      <c r="AQ298" t="s">
        <v>39</v>
      </c>
      <c r="AR298" t="s">
        <v>351</v>
      </c>
      <c r="AS298" t="s">
        <v>307</v>
      </c>
      <c r="AT298" t="s">
        <v>218</v>
      </c>
      <c r="AU298" t="s">
        <v>268</v>
      </c>
      <c r="AV298">
        <v>12.05</v>
      </c>
    </row>
    <row r="299" spans="40:48" x14ac:dyDescent="0.25">
      <c r="AN299" t="s">
        <v>92</v>
      </c>
      <c r="AO299" t="s">
        <v>60</v>
      </c>
      <c r="AP299">
        <v>2004</v>
      </c>
      <c r="AQ299" t="s">
        <v>39</v>
      </c>
      <c r="AR299" t="s">
        <v>351</v>
      </c>
      <c r="AS299" t="s">
        <v>307</v>
      </c>
      <c r="AT299" t="s">
        <v>238</v>
      </c>
      <c r="AU299" t="s">
        <v>310</v>
      </c>
      <c r="AV299">
        <v>3.7</v>
      </c>
    </row>
    <row r="300" spans="40:48" x14ac:dyDescent="0.25">
      <c r="AN300" t="s">
        <v>92</v>
      </c>
      <c r="AO300" t="s">
        <v>60</v>
      </c>
      <c r="AP300">
        <v>2004</v>
      </c>
      <c r="AQ300" t="s">
        <v>39</v>
      </c>
      <c r="AR300" t="s">
        <v>351</v>
      </c>
      <c r="AS300" t="s">
        <v>307</v>
      </c>
      <c r="AT300" t="s">
        <v>238</v>
      </c>
      <c r="AU300" t="s">
        <v>311</v>
      </c>
      <c r="AV300">
        <v>8.85</v>
      </c>
    </row>
    <row r="301" spans="40:48" x14ac:dyDescent="0.25">
      <c r="AN301" t="s">
        <v>92</v>
      </c>
      <c r="AO301" t="s">
        <v>60</v>
      </c>
      <c r="AP301">
        <v>2004</v>
      </c>
      <c r="AQ301" t="s">
        <v>39</v>
      </c>
      <c r="AR301" t="s">
        <v>351</v>
      </c>
      <c r="AS301" t="s">
        <v>307</v>
      </c>
      <c r="AT301" t="s">
        <v>238</v>
      </c>
      <c r="AU301" t="s">
        <v>268</v>
      </c>
      <c r="AV301">
        <v>12.55</v>
      </c>
    </row>
    <row r="302" spans="40:48" x14ac:dyDescent="0.25">
      <c r="AN302" t="s">
        <v>92</v>
      </c>
      <c r="AO302" t="s">
        <v>60</v>
      </c>
      <c r="AP302">
        <v>2004</v>
      </c>
      <c r="AQ302" t="s">
        <v>39</v>
      </c>
      <c r="AR302" t="s">
        <v>351</v>
      </c>
      <c r="AS302" t="s">
        <v>307</v>
      </c>
      <c r="AT302" t="s">
        <v>239</v>
      </c>
      <c r="AU302" t="s">
        <v>310</v>
      </c>
      <c r="AV302">
        <v>0</v>
      </c>
    </row>
    <row r="303" spans="40:48" x14ac:dyDescent="0.25">
      <c r="AN303" t="s">
        <v>92</v>
      </c>
      <c r="AO303" t="s">
        <v>60</v>
      </c>
      <c r="AP303">
        <v>2004</v>
      </c>
      <c r="AQ303" t="s">
        <v>39</v>
      </c>
      <c r="AR303" t="s">
        <v>351</v>
      </c>
      <c r="AS303" t="s">
        <v>307</v>
      </c>
      <c r="AT303" t="s">
        <v>239</v>
      </c>
      <c r="AU303" t="s">
        <v>311</v>
      </c>
      <c r="AV303">
        <v>0</v>
      </c>
    </row>
    <row r="304" spans="40:48" x14ac:dyDescent="0.25">
      <c r="AN304" t="s">
        <v>92</v>
      </c>
      <c r="AO304" t="s">
        <v>60</v>
      </c>
      <c r="AP304">
        <v>2004</v>
      </c>
      <c r="AQ304" t="s">
        <v>39</v>
      </c>
      <c r="AR304" t="s">
        <v>351</v>
      </c>
      <c r="AS304" t="s">
        <v>307</v>
      </c>
      <c r="AT304" t="s">
        <v>239</v>
      </c>
      <c r="AU304" t="s">
        <v>268</v>
      </c>
      <c r="AV304">
        <v>0</v>
      </c>
    </row>
    <row r="305" spans="40:48" x14ac:dyDescent="0.25">
      <c r="AN305" t="s">
        <v>92</v>
      </c>
      <c r="AO305" t="s">
        <v>60</v>
      </c>
      <c r="AP305">
        <v>2004</v>
      </c>
      <c r="AQ305" t="s">
        <v>39</v>
      </c>
      <c r="AR305" t="s">
        <v>351</v>
      </c>
      <c r="AS305" t="s">
        <v>307</v>
      </c>
      <c r="AT305" t="s">
        <v>240</v>
      </c>
      <c r="AU305" t="s">
        <v>310</v>
      </c>
      <c r="AV305">
        <v>4.4000000000000004</v>
      </c>
    </row>
    <row r="306" spans="40:48" x14ac:dyDescent="0.25">
      <c r="AN306" t="s">
        <v>92</v>
      </c>
      <c r="AO306" t="s">
        <v>60</v>
      </c>
      <c r="AP306">
        <v>2004</v>
      </c>
      <c r="AQ306" t="s">
        <v>39</v>
      </c>
      <c r="AR306" t="s">
        <v>351</v>
      </c>
      <c r="AS306" t="s">
        <v>307</v>
      </c>
      <c r="AT306" t="s">
        <v>240</v>
      </c>
      <c r="AU306" t="s">
        <v>311</v>
      </c>
      <c r="AV306">
        <v>9.35</v>
      </c>
    </row>
    <row r="307" spans="40:48" x14ac:dyDescent="0.25">
      <c r="AN307" t="s">
        <v>92</v>
      </c>
      <c r="AO307" t="s">
        <v>60</v>
      </c>
      <c r="AP307">
        <v>2004</v>
      </c>
      <c r="AQ307" t="s">
        <v>39</v>
      </c>
      <c r="AR307" t="s">
        <v>351</v>
      </c>
      <c r="AS307" t="s">
        <v>307</v>
      </c>
      <c r="AT307" t="s">
        <v>240</v>
      </c>
      <c r="AU307" t="s">
        <v>268</v>
      </c>
      <c r="AV307">
        <v>13.75</v>
      </c>
    </row>
    <row r="308" spans="40:48" x14ac:dyDescent="0.25">
      <c r="AN308" t="s">
        <v>92</v>
      </c>
      <c r="AO308" t="s">
        <v>60</v>
      </c>
      <c r="AP308">
        <v>2004</v>
      </c>
      <c r="AQ308" t="s">
        <v>39</v>
      </c>
      <c r="AR308" t="s">
        <v>351</v>
      </c>
      <c r="AS308" t="s">
        <v>307</v>
      </c>
      <c r="AT308" t="s">
        <v>316</v>
      </c>
      <c r="AU308" t="s">
        <v>310</v>
      </c>
      <c r="AV308">
        <v>0</v>
      </c>
    </row>
    <row r="309" spans="40:48" x14ac:dyDescent="0.25">
      <c r="AN309" t="s">
        <v>92</v>
      </c>
      <c r="AO309" t="s">
        <v>60</v>
      </c>
      <c r="AP309">
        <v>2004</v>
      </c>
      <c r="AQ309" t="s">
        <v>39</v>
      </c>
      <c r="AR309" t="s">
        <v>351</v>
      </c>
      <c r="AS309" t="s">
        <v>307</v>
      </c>
      <c r="AT309" t="s">
        <v>316</v>
      </c>
      <c r="AU309" t="s">
        <v>311</v>
      </c>
      <c r="AV309">
        <v>0</v>
      </c>
    </row>
    <row r="310" spans="40:48" x14ac:dyDescent="0.25">
      <c r="AN310" t="s">
        <v>92</v>
      </c>
      <c r="AO310" t="s">
        <v>60</v>
      </c>
      <c r="AP310">
        <v>2004</v>
      </c>
      <c r="AQ310" t="s">
        <v>39</v>
      </c>
      <c r="AR310" t="s">
        <v>351</v>
      </c>
      <c r="AS310" t="s">
        <v>307</v>
      </c>
      <c r="AT310" t="s">
        <v>316</v>
      </c>
      <c r="AU310" t="s">
        <v>268</v>
      </c>
      <c r="AV310">
        <v>0</v>
      </c>
    </row>
    <row r="311" spans="40:48" x14ac:dyDescent="0.25">
      <c r="AN311" t="s">
        <v>92</v>
      </c>
      <c r="AO311" t="s">
        <v>60</v>
      </c>
      <c r="AP311">
        <v>2004</v>
      </c>
      <c r="AQ311" t="s">
        <v>39</v>
      </c>
      <c r="AR311" t="s">
        <v>351</v>
      </c>
      <c r="AS311" t="s">
        <v>307</v>
      </c>
      <c r="AT311" t="s">
        <v>242</v>
      </c>
      <c r="AU311" t="s">
        <v>310</v>
      </c>
      <c r="AV311">
        <v>0</v>
      </c>
    </row>
    <row r="312" spans="40:48" x14ac:dyDescent="0.25">
      <c r="AN312" t="s">
        <v>92</v>
      </c>
      <c r="AO312" t="s">
        <v>60</v>
      </c>
      <c r="AP312">
        <v>2004</v>
      </c>
      <c r="AQ312" t="s">
        <v>39</v>
      </c>
      <c r="AR312" t="s">
        <v>351</v>
      </c>
      <c r="AS312" t="s">
        <v>307</v>
      </c>
      <c r="AT312" t="s">
        <v>242</v>
      </c>
      <c r="AU312" t="s">
        <v>311</v>
      </c>
      <c r="AV312">
        <v>0</v>
      </c>
    </row>
    <row r="313" spans="40:48" x14ac:dyDescent="0.25">
      <c r="AN313" t="s">
        <v>92</v>
      </c>
      <c r="AO313" t="s">
        <v>60</v>
      </c>
      <c r="AP313">
        <v>2004</v>
      </c>
      <c r="AQ313" t="s">
        <v>39</v>
      </c>
      <c r="AR313" t="s">
        <v>351</v>
      </c>
      <c r="AS313" t="s">
        <v>307</v>
      </c>
      <c r="AT313" t="s">
        <v>242</v>
      </c>
      <c r="AU313" t="s">
        <v>268</v>
      </c>
      <c r="AV313">
        <v>0</v>
      </c>
    </row>
    <row r="314" spans="40:48" x14ac:dyDescent="0.25">
      <c r="AN314" t="s">
        <v>92</v>
      </c>
      <c r="AO314" t="s">
        <v>60</v>
      </c>
      <c r="AP314">
        <v>2004</v>
      </c>
      <c r="AQ314" t="s">
        <v>39</v>
      </c>
      <c r="AR314" t="s">
        <v>351</v>
      </c>
      <c r="AS314" t="s">
        <v>307</v>
      </c>
      <c r="AT314" t="s">
        <v>243</v>
      </c>
      <c r="AU314" t="s">
        <v>337</v>
      </c>
      <c r="AV314">
        <v>0</v>
      </c>
    </row>
    <row r="315" spans="40:48" x14ac:dyDescent="0.25">
      <c r="AN315" t="s">
        <v>92</v>
      </c>
      <c r="AO315" t="s">
        <v>60</v>
      </c>
      <c r="AP315">
        <v>2004</v>
      </c>
      <c r="AQ315" t="s">
        <v>39</v>
      </c>
      <c r="AR315" t="s">
        <v>351</v>
      </c>
      <c r="AS315" t="s">
        <v>307</v>
      </c>
      <c r="AT315" t="s">
        <v>243</v>
      </c>
      <c r="AU315" t="s">
        <v>338</v>
      </c>
      <c r="AV315">
        <v>0</v>
      </c>
    </row>
    <row r="316" spans="40:48" x14ac:dyDescent="0.25">
      <c r="AN316" t="s">
        <v>92</v>
      </c>
      <c r="AO316" t="s">
        <v>60</v>
      </c>
      <c r="AP316">
        <v>2004</v>
      </c>
      <c r="AQ316" t="s">
        <v>39</v>
      </c>
      <c r="AR316" t="s">
        <v>351</v>
      </c>
      <c r="AS316" t="s">
        <v>307</v>
      </c>
      <c r="AT316" t="s">
        <v>243</v>
      </c>
      <c r="AU316" t="s">
        <v>349</v>
      </c>
      <c r="AV316">
        <v>38.35</v>
      </c>
    </row>
    <row r="317" spans="40:48" x14ac:dyDescent="0.25">
      <c r="AN317" t="s">
        <v>98</v>
      </c>
      <c r="AO317" t="s">
        <v>60</v>
      </c>
      <c r="AP317">
        <v>2003</v>
      </c>
      <c r="AQ317" t="s">
        <v>72</v>
      </c>
      <c r="AR317" t="s">
        <v>351</v>
      </c>
      <c r="AS317" t="s">
        <v>307</v>
      </c>
      <c r="AT317" t="s">
        <v>218</v>
      </c>
      <c r="AU317" t="s">
        <v>310</v>
      </c>
      <c r="AV317">
        <v>0</v>
      </c>
    </row>
    <row r="318" spans="40:48" x14ac:dyDescent="0.25">
      <c r="AN318" t="s">
        <v>98</v>
      </c>
      <c r="AO318" t="s">
        <v>60</v>
      </c>
      <c r="AP318">
        <v>2003</v>
      </c>
      <c r="AQ318" t="s">
        <v>72</v>
      </c>
      <c r="AR318" t="s">
        <v>351</v>
      </c>
      <c r="AS318" t="s">
        <v>307</v>
      </c>
      <c r="AT318" t="s">
        <v>218</v>
      </c>
      <c r="AU318" t="s">
        <v>311</v>
      </c>
      <c r="AV318">
        <v>0</v>
      </c>
    </row>
    <row r="319" spans="40:48" x14ac:dyDescent="0.25">
      <c r="AN319" t="s">
        <v>98</v>
      </c>
      <c r="AO319" t="s">
        <v>60</v>
      </c>
      <c r="AP319">
        <v>2003</v>
      </c>
      <c r="AQ319" t="s">
        <v>72</v>
      </c>
      <c r="AR319" t="s">
        <v>351</v>
      </c>
      <c r="AS319" t="s">
        <v>307</v>
      </c>
      <c r="AT319" t="s">
        <v>218</v>
      </c>
      <c r="AU319" t="s">
        <v>268</v>
      </c>
      <c r="AV319">
        <v>0</v>
      </c>
    </row>
    <row r="320" spans="40:48" x14ac:dyDescent="0.25">
      <c r="AN320" t="s">
        <v>98</v>
      </c>
      <c r="AO320" t="s">
        <v>60</v>
      </c>
      <c r="AP320">
        <v>2003</v>
      </c>
      <c r="AQ320" t="s">
        <v>72</v>
      </c>
      <c r="AR320" t="s">
        <v>351</v>
      </c>
      <c r="AS320" t="s">
        <v>307</v>
      </c>
      <c r="AT320" t="s">
        <v>238</v>
      </c>
      <c r="AU320" t="s">
        <v>310</v>
      </c>
      <c r="AV320">
        <v>3.3</v>
      </c>
    </row>
    <row r="321" spans="40:48" x14ac:dyDescent="0.25">
      <c r="AN321" t="s">
        <v>98</v>
      </c>
      <c r="AO321" t="s">
        <v>60</v>
      </c>
      <c r="AP321">
        <v>2003</v>
      </c>
      <c r="AQ321" t="s">
        <v>72</v>
      </c>
      <c r="AR321" t="s">
        <v>351</v>
      </c>
      <c r="AS321" t="s">
        <v>307</v>
      </c>
      <c r="AT321" t="s">
        <v>238</v>
      </c>
      <c r="AU321" t="s">
        <v>311</v>
      </c>
      <c r="AV321">
        <v>4.1500000000000004</v>
      </c>
    </row>
    <row r="322" spans="40:48" x14ac:dyDescent="0.25">
      <c r="AN322" t="s">
        <v>98</v>
      </c>
      <c r="AO322" t="s">
        <v>60</v>
      </c>
      <c r="AP322">
        <v>2003</v>
      </c>
      <c r="AQ322" t="s">
        <v>72</v>
      </c>
      <c r="AR322" t="s">
        <v>351</v>
      </c>
      <c r="AS322" t="s">
        <v>307</v>
      </c>
      <c r="AT322" t="s">
        <v>238</v>
      </c>
      <c r="AU322" t="s">
        <v>268</v>
      </c>
      <c r="AV322">
        <v>7.45</v>
      </c>
    </row>
    <row r="323" spans="40:48" x14ac:dyDescent="0.25">
      <c r="AN323" t="s">
        <v>98</v>
      </c>
      <c r="AO323" t="s">
        <v>60</v>
      </c>
      <c r="AP323">
        <v>2003</v>
      </c>
      <c r="AQ323" t="s">
        <v>72</v>
      </c>
      <c r="AR323" t="s">
        <v>351</v>
      </c>
      <c r="AS323" t="s">
        <v>307</v>
      </c>
      <c r="AT323" t="s">
        <v>239</v>
      </c>
      <c r="AU323" t="s">
        <v>310</v>
      </c>
      <c r="AV323">
        <v>2.5</v>
      </c>
    </row>
    <row r="324" spans="40:48" x14ac:dyDescent="0.25">
      <c r="AN324" t="s">
        <v>98</v>
      </c>
      <c r="AO324" t="s">
        <v>60</v>
      </c>
      <c r="AP324">
        <v>2003</v>
      </c>
      <c r="AQ324" t="s">
        <v>72</v>
      </c>
      <c r="AR324" t="s">
        <v>351</v>
      </c>
      <c r="AS324" t="s">
        <v>307</v>
      </c>
      <c r="AT324" t="s">
        <v>239</v>
      </c>
      <c r="AU324" t="s">
        <v>311</v>
      </c>
      <c r="AV324">
        <v>6.55</v>
      </c>
    </row>
    <row r="325" spans="40:48" x14ac:dyDescent="0.25">
      <c r="AN325" t="s">
        <v>98</v>
      </c>
      <c r="AO325" t="s">
        <v>60</v>
      </c>
      <c r="AP325">
        <v>2003</v>
      </c>
      <c r="AQ325" t="s">
        <v>72</v>
      </c>
      <c r="AR325" t="s">
        <v>351</v>
      </c>
      <c r="AS325" t="s">
        <v>307</v>
      </c>
      <c r="AT325" t="s">
        <v>239</v>
      </c>
      <c r="AU325" t="s">
        <v>268</v>
      </c>
      <c r="AV325">
        <v>9.0500000000000007</v>
      </c>
    </row>
    <row r="326" spans="40:48" x14ac:dyDescent="0.25">
      <c r="AN326" t="s">
        <v>98</v>
      </c>
      <c r="AO326" t="s">
        <v>60</v>
      </c>
      <c r="AP326">
        <v>2003</v>
      </c>
      <c r="AQ326" t="s">
        <v>72</v>
      </c>
      <c r="AR326" t="s">
        <v>351</v>
      </c>
      <c r="AS326" t="s">
        <v>307</v>
      </c>
      <c r="AT326" t="s">
        <v>240</v>
      </c>
      <c r="AU326" t="s">
        <v>310</v>
      </c>
      <c r="AV326">
        <v>0</v>
      </c>
    </row>
    <row r="327" spans="40:48" x14ac:dyDescent="0.25">
      <c r="AN327" t="s">
        <v>98</v>
      </c>
      <c r="AO327" t="s">
        <v>60</v>
      </c>
      <c r="AP327">
        <v>2003</v>
      </c>
      <c r="AQ327" t="s">
        <v>72</v>
      </c>
      <c r="AR327" t="s">
        <v>351</v>
      </c>
      <c r="AS327" t="s">
        <v>307</v>
      </c>
      <c r="AT327" t="s">
        <v>240</v>
      </c>
      <c r="AU327" t="s">
        <v>311</v>
      </c>
      <c r="AV327">
        <v>0</v>
      </c>
    </row>
    <row r="328" spans="40:48" x14ac:dyDescent="0.25">
      <c r="AN328" t="s">
        <v>98</v>
      </c>
      <c r="AO328" t="s">
        <v>60</v>
      </c>
      <c r="AP328">
        <v>2003</v>
      </c>
      <c r="AQ328" t="s">
        <v>72</v>
      </c>
      <c r="AR328" t="s">
        <v>351</v>
      </c>
      <c r="AS328" t="s">
        <v>307</v>
      </c>
      <c r="AT328" t="s">
        <v>240</v>
      </c>
      <c r="AU328" t="s">
        <v>268</v>
      </c>
      <c r="AV328">
        <v>0</v>
      </c>
    </row>
    <row r="329" spans="40:48" x14ac:dyDescent="0.25">
      <c r="AN329" t="s">
        <v>98</v>
      </c>
      <c r="AO329" t="s">
        <v>60</v>
      </c>
      <c r="AP329">
        <v>2003</v>
      </c>
      <c r="AQ329" t="s">
        <v>72</v>
      </c>
      <c r="AR329" t="s">
        <v>351</v>
      </c>
      <c r="AS329" t="s">
        <v>307</v>
      </c>
      <c r="AT329" t="s">
        <v>316</v>
      </c>
      <c r="AU329" t="s">
        <v>310</v>
      </c>
      <c r="AV329">
        <v>2.5</v>
      </c>
    </row>
    <row r="330" spans="40:48" x14ac:dyDescent="0.25">
      <c r="AN330" t="s">
        <v>98</v>
      </c>
      <c r="AO330" t="s">
        <v>60</v>
      </c>
      <c r="AP330">
        <v>2003</v>
      </c>
      <c r="AQ330" t="s">
        <v>72</v>
      </c>
      <c r="AR330" t="s">
        <v>351</v>
      </c>
      <c r="AS330" t="s">
        <v>307</v>
      </c>
      <c r="AT330" t="s">
        <v>316</v>
      </c>
      <c r="AU330" t="s">
        <v>311</v>
      </c>
      <c r="AV330">
        <v>8.6999999999999993</v>
      </c>
    </row>
    <row r="331" spans="40:48" x14ac:dyDescent="0.25">
      <c r="AN331" t="s">
        <v>98</v>
      </c>
      <c r="AO331" t="s">
        <v>60</v>
      </c>
      <c r="AP331">
        <v>2003</v>
      </c>
      <c r="AQ331" t="s">
        <v>72</v>
      </c>
      <c r="AR331" t="s">
        <v>351</v>
      </c>
      <c r="AS331" t="s">
        <v>307</v>
      </c>
      <c r="AT331" t="s">
        <v>316</v>
      </c>
      <c r="AU331" t="s">
        <v>268</v>
      </c>
      <c r="AV331">
        <v>11.2</v>
      </c>
    </row>
    <row r="332" spans="40:48" x14ac:dyDescent="0.25">
      <c r="AN332" t="s">
        <v>98</v>
      </c>
      <c r="AO332" t="s">
        <v>60</v>
      </c>
      <c r="AP332">
        <v>2003</v>
      </c>
      <c r="AQ332" t="s">
        <v>72</v>
      </c>
      <c r="AR332" t="s">
        <v>351</v>
      </c>
      <c r="AS332" t="s">
        <v>307</v>
      </c>
      <c r="AT332" t="s">
        <v>242</v>
      </c>
      <c r="AU332" t="s">
        <v>310</v>
      </c>
      <c r="AV332">
        <v>2.6</v>
      </c>
    </row>
    <row r="333" spans="40:48" x14ac:dyDescent="0.25">
      <c r="AN333" t="s">
        <v>98</v>
      </c>
      <c r="AO333" t="s">
        <v>60</v>
      </c>
      <c r="AP333">
        <v>2003</v>
      </c>
      <c r="AQ333" t="s">
        <v>72</v>
      </c>
      <c r="AR333" t="s">
        <v>351</v>
      </c>
      <c r="AS333" t="s">
        <v>307</v>
      </c>
      <c r="AT333" t="s">
        <v>242</v>
      </c>
      <c r="AU333" t="s">
        <v>311</v>
      </c>
      <c r="AV333">
        <v>6.95</v>
      </c>
    </row>
    <row r="334" spans="40:48" x14ac:dyDescent="0.25">
      <c r="AN334" t="s">
        <v>98</v>
      </c>
      <c r="AO334" t="s">
        <v>60</v>
      </c>
      <c r="AP334">
        <v>2003</v>
      </c>
      <c r="AQ334" t="s">
        <v>72</v>
      </c>
      <c r="AR334" t="s">
        <v>351</v>
      </c>
      <c r="AS334" t="s">
        <v>307</v>
      </c>
      <c r="AT334" t="s">
        <v>242</v>
      </c>
      <c r="AU334" t="s">
        <v>268</v>
      </c>
      <c r="AV334">
        <v>9.5500000000000007</v>
      </c>
    </row>
    <row r="335" spans="40:48" x14ac:dyDescent="0.25">
      <c r="AN335" t="s">
        <v>98</v>
      </c>
      <c r="AO335" t="s">
        <v>60</v>
      </c>
      <c r="AP335">
        <v>2003</v>
      </c>
      <c r="AQ335" t="s">
        <v>72</v>
      </c>
      <c r="AR335" t="s">
        <v>351</v>
      </c>
      <c r="AS335" t="s">
        <v>307</v>
      </c>
      <c r="AT335" t="s">
        <v>243</v>
      </c>
      <c r="AU335" t="s">
        <v>337</v>
      </c>
      <c r="AV335">
        <v>0</v>
      </c>
    </row>
    <row r="336" spans="40:48" x14ac:dyDescent="0.25">
      <c r="AN336" t="s">
        <v>98</v>
      </c>
      <c r="AO336" t="s">
        <v>60</v>
      </c>
      <c r="AP336">
        <v>2003</v>
      </c>
      <c r="AQ336" t="s">
        <v>72</v>
      </c>
      <c r="AR336" t="s">
        <v>351</v>
      </c>
      <c r="AS336" t="s">
        <v>307</v>
      </c>
      <c r="AT336" t="s">
        <v>243</v>
      </c>
      <c r="AU336" t="s">
        <v>338</v>
      </c>
      <c r="AV336">
        <v>0</v>
      </c>
    </row>
    <row r="337" spans="40:48" x14ac:dyDescent="0.25">
      <c r="AN337" t="s">
        <v>98</v>
      </c>
      <c r="AO337" t="s">
        <v>60</v>
      </c>
      <c r="AP337">
        <v>2003</v>
      </c>
      <c r="AQ337" t="s">
        <v>72</v>
      </c>
      <c r="AR337" t="s">
        <v>351</v>
      </c>
      <c r="AS337" t="s">
        <v>307</v>
      </c>
      <c r="AT337" t="s">
        <v>243</v>
      </c>
      <c r="AU337" t="s">
        <v>349</v>
      </c>
      <c r="AV337">
        <v>37.25</v>
      </c>
    </row>
    <row r="338" spans="40:48" x14ac:dyDescent="0.25">
      <c r="AN338" t="s">
        <v>96</v>
      </c>
      <c r="AO338" t="s">
        <v>60</v>
      </c>
      <c r="AP338">
        <v>2002</v>
      </c>
      <c r="AQ338" t="s">
        <v>62</v>
      </c>
      <c r="AR338" t="s">
        <v>351</v>
      </c>
      <c r="AS338" t="s">
        <v>307</v>
      </c>
      <c r="AT338" t="s">
        <v>218</v>
      </c>
      <c r="AU338" t="s">
        <v>310</v>
      </c>
      <c r="AV338">
        <v>0</v>
      </c>
    </row>
    <row r="339" spans="40:48" x14ac:dyDescent="0.25">
      <c r="AN339" t="s">
        <v>96</v>
      </c>
      <c r="AO339" t="s">
        <v>60</v>
      </c>
      <c r="AP339">
        <v>2002</v>
      </c>
      <c r="AQ339" t="s">
        <v>62</v>
      </c>
      <c r="AR339" t="s">
        <v>351</v>
      </c>
      <c r="AS339" t="s">
        <v>307</v>
      </c>
      <c r="AT339" t="s">
        <v>218</v>
      </c>
      <c r="AU339" t="s">
        <v>311</v>
      </c>
      <c r="AV339">
        <v>0</v>
      </c>
    </row>
    <row r="340" spans="40:48" x14ac:dyDescent="0.25">
      <c r="AN340" t="s">
        <v>96</v>
      </c>
      <c r="AO340" t="s">
        <v>60</v>
      </c>
      <c r="AP340">
        <v>2002</v>
      </c>
      <c r="AQ340" t="s">
        <v>62</v>
      </c>
      <c r="AR340" t="s">
        <v>351</v>
      </c>
      <c r="AS340" t="s">
        <v>307</v>
      </c>
      <c r="AT340" t="s">
        <v>218</v>
      </c>
      <c r="AU340" t="s">
        <v>268</v>
      </c>
      <c r="AV340">
        <v>0</v>
      </c>
    </row>
    <row r="341" spans="40:48" x14ac:dyDescent="0.25">
      <c r="AN341" t="s">
        <v>96</v>
      </c>
      <c r="AO341" t="s">
        <v>60</v>
      </c>
      <c r="AP341">
        <v>2002</v>
      </c>
      <c r="AQ341" t="s">
        <v>62</v>
      </c>
      <c r="AR341" t="s">
        <v>351</v>
      </c>
      <c r="AS341" t="s">
        <v>307</v>
      </c>
      <c r="AT341" t="s">
        <v>238</v>
      </c>
      <c r="AU341" t="s">
        <v>310</v>
      </c>
      <c r="AV341">
        <v>4.7</v>
      </c>
    </row>
    <row r="342" spans="40:48" x14ac:dyDescent="0.25">
      <c r="AN342" t="s">
        <v>96</v>
      </c>
      <c r="AO342" t="s">
        <v>60</v>
      </c>
      <c r="AP342">
        <v>2002</v>
      </c>
      <c r="AQ342" t="s">
        <v>62</v>
      </c>
      <c r="AR342" t="s">
        <v>351</v>
      </c>
      <c r="AS342" t="s">
        <v>307</v>
      </c>
      <c r="AT342" t="s">
        <v>238</v>
      </c>
      <c r="AU342" t="s">
        <v>311</v>
      </c>
      <c r="AV342">
        <v>6.8</v>
      </c>
    </row>
    <row r="343" spans="40:48" x14ac:dyDescent="0.25">
      <c r="AN343" t="s">
        <v>96</v>
      </c>
      <c r="AO343" t="s">
        <v>60</v>
      </c>
      <c r="AP343">
        <v>2002</v>
      </c>
      <c r="AQ343" t="s">
        <v>62</v>
      </c>
      <c r="AR343" t="s">
        <v>351</v>
      </c>
      <c r="AS343" t="s">
        <v>307</v>
      </c>
      <c r="AT343" t="s">
        <v>238</v>
      </c>
      <c r="AU343" t="s">
        <v>268</v>
      </c>
      <c r="AV343">
        <v>11.5</v>
      </c>
    </row>
    <row r="344" spans="40:48" x14ac:dyDescent="0.25">
      <c r="AN344" t="s">
        <v>96</v>
      </c>
      <c r="AO344" t="s">
        <v>60</v>
      </c>
      <c r="AP344">
        <v>2002</v>
      </c>
      <c r="AQ344" t="s">
        <v>62</v>
      </c>
      <c r="AR344" t="s">
        <v>351</v>
      </c>
      <c r="AS344" t="s">
        <v>307</v>
      </c>
      <c r="AT344" t="s">
        <v>239</v>
      </c>
      <c r="AU344" t="s">
        <v>310</v>
      </c>
      <c r="AV344">
        <v>4.2</v>
      </c>
    </row>
    <row r="345" spans="40:48" x14ac:dyDescent="0.25">
      <c r="AN345" t="s">
        <v>96</v>
      </c>
      <c r="AO345" t="s">
        <v>60</v>
      </c>
      <c r="AP345">
        <v>2002</v>
      </c>
      <c r="AQ345" t="s">
        <v>62</v>
      </c>
      <c r="AR345" t="s">
        <v>351</v>
      </c>
      <c r="AS345" t="s">
        <v>307</v>
      </c>
      <c r="AT345" t="s">
        <v>239</v>
      </c>
      <c r="AU345" t="s">
        <v>311</v>
      </c>
      <c r="AV345">
        <v>8.5</v>
      </c>
    </row>
    <row r="346" spans="40:48" x14ac:dyDescent="0.25">
      <c r="AN346" t="s">
        <v>96</v>
      </c>
      <c r="AO346" t="s">
        <v>60</v>
      </c>
      <c r="AP346">
        <v>2002</v>
      </c>
      <c r="AQ346" t="s">
        <v>62</v>
      </c>
      <c r="AR346" t="s">
        <v>351</v>
      </c>
      <c r="AS346" t="s">
        <v>307</v>
      </c>
      <c r="AT346" t="s">
        <v>239</v>
      </c>
      <c r="AU346" t="s">
        <v>268</v>
      </c>
      <c r="AV346">
        <v>12.7</v>
      </c>
    </row>
    <row r="347" spans="40:48" x14ac:dyDescent="0.25">
      <c r="AN347" t="s">
        <v>96</v>
      </c>
      <c r="AO347" t="s">
        <v>60</v>
      </c>
      <c r="AP347">
        <v>2002</v>
      </c>
      <c r="AQ347" t="s">
        <v>62</v>
      </c>
      <c r="AR347" t="s">
        <v>351</v>
      </c>
      <c r="AS347" t="s">
        <v>307</v>
      </c>
      <c r="AT347" t="s">
        <v>240</v>
      </c>
      <c r="AU347" t="s">
        <v>310</v>
      </c>
      <c r="AV347">
        <v>0</v>
      </c>
    </row>
    <row r="348" spans="40:48" x14ac:dyDescent="0.25">
      <c r="AN348" t="s">
        <v>96</v>
      </c>
      <c r="AO348" t="s">
        <v>60</v>
      </c>
      <c r="AP348">
        <v>2002</v>
      </c>
      <c r="AQ348" t="s">
        <v>62</v>
      </c>
      <c r="AR348" t="s">
        <v>351</v>
      </c>
      <c r="AS348" t="s">
        <v>307</v>
      </c>
      <c r="AT348" t="s">
        <v>240</v>
      </c>
      <c r="AU348" t="s">
        <v>311</v>
      </c>
      <c r="AV348">
        <v>0</v>
      </c>
    </row>
    <row r="349" spans="40:48" x14ac:dyDescent="0.25">
      <c r="AN349" t="s">
        <v>96</v>
      </c>
      <c r="AO349" t="s">
        <v>60</v>
      </c>
      <c r="AP349">
        <v>2002</v>
      </c>
      <c r="AQ349" t="s">
        <v>62</v>
      </c>
      <c r="AR349" t="s">
        <v>351</v>
      </c>
      <c r="AS349" t="s">
        <v>307</v>
      </c>
      <c r="AT349" t="s">
        <v>240</v>
      </c>
      <c r="AU349" t="s">
        <v>268</v>
      </c>
      <c r="AV349">
        <v>0</v>
      </c>
    </row>
    <row r="350" spans="40:48" x14ac:dyDescent="0.25">
      <c r="AN350" t="s">
        <v>96</v>
      </c>
      <c r="AO350" t="s">
        <v>60</v>
      </c>
      <c r="AP350">
        <v>2002</v>
      </c>
      <c r="AQ350" t="s">
        <v>62</v>
      </c>
      <c r="AR350" t="s">
        <v>351</v>
      </c>
      <c r="AS350" t="s">
        <v>307</v>
      </c>
      <c r="AT350" t="s">
        <v>316</v>
      </c>
      <c r="AU350" t="s">
        <v>310</v>
      </c>
      <c r="AV350">
        <v>3.8</v>
      </c>
    </row>
    <row r="351" spans="40:48" x14ac:dyDescent="0.25">
      <c r="AN351" t="s">
        <v>96</v>
      </c>
      <c r="AO351" t="s">
        <v>60</v>
      </c>
      <c r="AP351">
        <v>2002</v>
      </c>
      <c r="AQ351" t="s">
        <v>62</v>
      </c>
      <c r="AR351" t="s">
        <v>351</v>
      </c>
      <c r="AS351" t="s">
        <v>307</v>
      </c>
      <c r="AT351" t="s">
        <v>316</v>
      </c>
      <c r="AU351" t="s">
        <v>311</v>
      </c>
      <c r="AV351">
        <v>7.2</v>
      </c>
    </row>
    <row r="352" spans="40:48" x14ac:dyDescent="0.25">
      <c r="AN352" t="s">
        <v>96</v>
      </c>
      <c r="AO352" t="s">
        <v>60</v>
      </c>
      <c r="AP352">
        <v>2002</v>
      </c>
      <c r="AQ352" t="s">
        <v>62</v>
      </c>
      <c r="AR352" t="s">
        <v>351</v>
      </c>
      <c r="AS352" t="s">
        <v>307</v>
      </c>
      <c r="AT352" t="s">
        <v>316</v>
      </c>
      <c r="AU352" t="s">
        <v>268</v>
      </c>
      <c r="AV352">
        <v>11</v>
      </c>
    </row>
    <row r="353" spans="40:48" x14ac:dyDescent="0.25">
      <c r="AN353" t="s">
        <v>96</v>
      </c>
      <c r="AO353" t="s">
        <v>60</v>
      </c>
      <c r="AP353">
        <v>2002</v>
      </c>
      <c r="AQ353" t="s">
        <v>62</v>
      </c>
      <c r="AR353" t="s">
        <v>351</v>
      </c>
      <c r="AS353" t="s">
        <v>307</v>
      </c>
      <c r="AT353" t="s">
        <v>242</v>
      </c>
      <c r="AU353" t="s">
        <v>310</v>
      </c>
      <c r="AV353">
        <v>0</v>
      </c>
    </row>
    <row r="354" spans="40:48" x14ac:dyDescent="0.25">
      <c r="AN354" t="s">
        <v>96</v>
      </c>
      <c r="AO354" t="s">
        <v>60</v>
      </c>
      <c r="AP354">
        <v>2002</v>
      </c>
      <c r="AQ354" t="s">
        <v>62</v>
      </c>
      <c r="AR354" t="s">
        <v>351</v>
      </c>
      <c r="AS354" t="s">
        <v>307</v>
      </c>
      <c r="AT354" t="s">
        <v>242</v>
      </c>
      <c r="AU354" t="s">
        <v>311</v>
      </c>
      <c r="AV354">
        <v>0</v>
      </c>
    </row>
    <row r="355" spans="40:48" x14ac:dyDescent="0.25">
      <c r="AN355" t="s">
        <v>96</v>
      </c>
      <c r="AO355" t="s">
        <v>60</v>
      </c>
      <c r="AP355">
        <v>2002</v>
      </c>
      <c r="AQ355" t="s">
        <v>62</v>
      </c>
      <c r="AR355" t="s">
        <v>351</v>
      </c>
      <c r="AS355" t="s">
        <v>307</v>
      </c>
      <c r="AT355" t="s">
        <v>242</v>
      </c>
      <c r="AU355" t="s">
        <v>268</v>
      </c>
      <c r="AV355">
        <v>0</v>
      </c>
    </row>
    <row r="356" spans="40:48" x14ac:dyDescent="0.25">
      <c r="AN356" t="s">
        <v>96</v>
      </c>
      <c r="AO356" t="s">
        <v>60</v>
      </c>
      <c r="AP356">
        <v>2002</v>
      </c>
      <c r="AQ356" t="s">
        <v>62</v>
      </c>
      <c r="AR356" t="s">
        <v>351</v>
      </c>
      <c r="AS356" t="s">
        <v>307</v>
      </c>
      <c r="AT356" t="s">
        <v>243</v>
      </c>
      <c r="AU356" t="s">
        <v>337</v>
      </c>
      <c r="AV356">
        <v>0</v>
      </c>
    </row>
    <row r="357" spans="40:48" x14ac:dyDescent="0.25">
      <c r="AN357" t="s">
        <v>96</v>
      </c>
      <c r="AO357" t="s">
        <v>60</v>
      </c>
      <c r="AP357">
        <v>2002</v>
      </c>
      <c r="AQ357" t="s">
        <v>62</v>
      </c>
      <c r="AR357" t="s">
        <v>351</v>
      </c>
      <c r="AS357" t="s">
        <v>307</v>
      </c>
      <c r="AT357" t="s">
        <v>243</v>
      </c>
      <c r="AU357" t="s">
        <v>338</v>
      </c>
      <c r="AV357">
        <v>0</v>
      </c>
    </row>
    <row r="358" spans="40:48" x14ac:dyDescent="0.25">
      <c r="AN358" t="s">
        <v>96</v>
      </c>
      <c r="AO358" t="s">
        <v>60</v>
      </c>
      <c r="AP358">
        <v>2002</v>
      </c>
      <c r="AQ358" t="s">
        <v>62</v>
      </c>
      <c r="AR358" t="s">
        <v>351</v>
      </c>
      <c r="AS358" t="s">
        <v>307</v>
      </c>
      <c r="AT358" t="s">
        <v>243</v>
      </c>
      <c r="AU358" t="s">
        <v>349</v>
      </c>
      <c r="AV358">
        <v>35.200000000000003</v>
      </c>
    </row>
    <row r="359" spans="40:48" x14ac:dyDescent="0.25">
      <c r="AN359" t="s">
        <v>94</v>
      </c>
      <c r="AO359" t="s">
        <v>60</v>
      </c>
      <c r="AP359">
        <v>2002</v>
      </c>
      <c r="AQ359" t="s">
        <v>72</v>
      </c>
      <c r="AR359" t="s">
        <v>351</v>
      </c>
      <c r="AS359" t="s">
        <v>307</v>
      </c>
      <c r="AT359" t="s">
        <v>218</v>
      </c>
      <c r="AU359" t="s">
        <v>310</v>
      </c>
      <c r="AV359">
        <v>0</v>
      </c>
    </row>
    <row r="360" spans="40:48" x14ac:dyDescent="0.25">
      <c r="AN360" t="s">
        <v>94</v>
      </c>
      <c r="AO360" t="s">
        <v>60</v>
      </c>
      <c r="AP360">
        <v>2002</v>
      </c>
      <c r="AQ360" t="s">
        <v>72</v>
      </c>
      <c r="AR360" t="s">
        <v>351</v>
      </c>
      <c r="AS360" t="s">
        <v>307</v>
      </c>
      <c r="AT360" t="s">
        <v>218</v>
      </c>
      <c r="AU360" t="s">
        <v>311</v>
      </c>
      <c r="AV360">
        <v>0</v>
      </c>
    </row>
    <row r="361" spans="40:48" x14ac:dyDescent="0.25">
      <c r="AN361" t="s">
        <v>94</v>
      </c>
      <c r="AO361" t="s">
        <v>60</v>
      </c>
      <c r="AP361">
        <v>2002</v>
      </c>
      <c r="AQ361" t="s">
        <v>72</v>
      </c>
      <c r="AR361" t="s">
        <v>351</v>
      </c>
      <c r="AS361" t="s">
        <v>307</v>
      </c>
      <c r="AT361" t="s">
        <v>218</v>
      </c>
      <c r="AU361" t="s">
        <v>268</v>
      </c>
      <c r="AV361">
        <v>0</v>
      </c>
    </row>
    <row r="362" spans="40:48" x14ac:dyDescent="0.25">
      <c r="AN362" t="s">
        <v>94</v>
      </c>
      <c r="AO362" t="s">
        <v>60</v>
      </c>
      <c r="AP362">
        <v>2002</v>
      </c>
      <c r="AQ362" t="s">
        <v>72</v>
      </c>
      <c r="AR362" t="s">
        <v>351</v>
      </c>
      <c r="AS362" t="s">
        <v>307</v>
      </c>
      <c r="AT362" t="s">
        <v>238</v>
      </c>
      <c r="AU362" t="s">
        <v>310</v>
      </c>
      <c r="AV362">
        <v>0</v>
      </c>
    </row>
    <row r="363" spans="40:48" x14ac:dyDescent="0.25">
      <c r="AN363" t="s">
        <v>94</v>
      </c>
      <c r="AO363" t="s">
        <v>60</v>
      </c>
      <c r="AP363">
        <v>2002</v>
      </c>
      <c r="AQ363" t="s">
        <v>72</v>
      </c>
      <c r="AR363" t="s">
        <v>351</v>
      </c>
      <c r="AS363" t="s">
        <v>307</v>
      </c>
      <c r="AT363" t="s">
        <v>238</v>
      </c>
      <c r="AU363" t="s">
        <v>311</v>
      </c>
      <c r="AV363">
        <v>0</v>
      </c>
    </row>
    <row r="364" spans="40:48" x14ac:dyDescent="0.25">
      <c r="AN364" t="s">
        <v>94</v>
      </c>
      <c r="AO364" t="s">
        <v>60</v>
      </c>
      <c r="AP364">
        <v>2002</v>
      </c>
      <c r="AQ364" t="s">
        <v>72</v>
      </c>
      <c r="AR364" t="s">
        <v>351</v>
      </c>
      <c r="AS364" t="s">
        <v>307</v>
      </c>
      <c r="AT364" t="s">
        <v>238</v>
      </c>
      <c r="AU364" t="s">
        <v>268</v>
      </c>
      <c r="AV364">
        <v>0</v>
      </c>
    </row>
    <row r="365" spans="40:48" x14ac:dyDescent="0.25">
      <c r="AN365" t="s">
        <v>94</v>
      </c>
      <c r="AO365" t="s">
        <v>60</v>
      </c>
      <c r="AP365">
        <v>2002</v>
      </c>
      <c r="AQ365" t="s">
        <v>72</v>
      </c>
      <c r="AR365" t="s">
        <v>351</v>
      </c>
      <c r="AS365" t="s">
        <v>307</v>
      </c>
      <c r="AT365" t="s">
        <v>239</v>
      </c>
      <c r="AU365" t="s">
        <v>310</v>
      </c>
      <c r="AV365">
        <v>4</v>
      </c>
    </row>
    <row r="366" spans="40:48" x14ac:dyDescent="0.25">
      <c r="AN366" t="s">
        <v>94</v>
      </c>
      <c r="AO366" t="s">
        <v>60</v>
      </c>
      <c r="AP366">
        <v>2002</v>
      </c>
      <c r="AQ366" t="s">
        <v>72</v>
      </c>
      <c r="AR366" t="s">
        <v>351</v>
      </c>
      <c r="AS366" t="s">
        <v>307</v>
      </c>
      <c r="AT366" t="s">
        <v>239</v>
      </c>
      <c r="AU366" t="s">
        <v>311</v>
      </c>
      <c r="AV366">
        <v>7.65</v>
      </c>
    </row>
    <row r="367" spans="40:48" x14ac:dyDescent="0.25">
      <c r="AN367" t="s">
        <v>94</v>
      </c>
      <c r="AO367" t="s">
        <v>60</v>
      </c>
      <c r="AP367">
        <v>2002</v>
      </c>
      <c r="AQ367" t="s">
        <v>72</v>
      </c>
      <c r="AR367" t="s">
        <v>351</v>
      </c>
      <c r="AS367" t="s">
        <v>307</v>
      </c>
      <c r="AT367" t="s">
        <v>239</v>
      </c>
      <c r="AU367" t="s">
        <v>268</v>
      </c>
      <c r="AV367">
        <v>11.65</v>
      </c>
    </row>
    <row r="368" spans="40:48" x14ac:dyDescent="0.25">
      <c r="AN368" t="s">
        <v>94</v>
      </c>
      <c r="AO368" t="s">
        <v>60</v>
      </c>
      <c r="AP368">
        <v>2002</v>
      </c>
      <c r="AQ368" t="s">
        <v>72</v>
      </c>
      <c r="AR368" t="s">
        <v>351</v>
      </c>
      <c r="AS368" t="s">
        <v>307</v>
      </c>
      <c r="AT368" t="s">
        <v>240</v>
      </c>
      <c r="AU368" t="s">
        <v>310</v>
      </c>
      <c r="AV368">
        <v>2.8</v>
      </c>
    </row>
    <row r="369" spans="40:48" x14ac:dyDescent="0.25">
      <c r="AN369" t="s">
        <v>94</v>
      </c>
      <c r="AO369" t="s">
        <v>60</v>
      </c>
      <c r="AP369">
        <v>2002</v>
      </c>
      <c r="AQ369" t="s">
        <v>72</v>
      </c>
      <c r="AR369" t="s">
        <v>351</v>
      </c>
      <c r="AS369" t="s">
        <v>307</v>
      </c>
      <c r="AT369" t="s">
        <v>240</v>
      </c>
      <c r="AU369" t="s">
        <v>311</v>
      </c>
      <c r="AV369">
        <v>9.1</v>
      </c>
    </row>
    <row r="370" spans="40:48" x14ac:dyDescent="0.25">
      <c r="AN370" t="s">
        <v>94</v>
      </c>
      <c r="AO370" t="s">
        <v>60</v>
      </c>
      <c r="AP370">
        <v>2002</v>
      </c>
      <c r="AQ370" t="s">
        <v>72</v>
      </c>
      <c r="AR370" t="s">
        <v>351</v>
      </c>
      <c r="AS370" t="s">
        <v>307</v>
      </c>
      <c r="AT370" t="s">
        <v>240</v>
      </c>
      <c r="AU370" t="s">
        <v>268</v>
      </c>
      <c r="AV370">
        <v>11.9</v>
      </c>
    </row>
    <row r="371" spans="40:48" x14ac:dyDescent="0.25">
      <c r="AN371" t="s">
        <v>94</v>
      </c>
      <c r="AO371" t="s">
        <v>60</v>
      </c>
      <c r="AP371">
        <v>2002</v>
      </c>
      <c r="AQ371" t="s">
        <v>72</v>
      </c>
      <c r="AR371" t="s">
        <v>351</v>
      </c>
      <c r="AS371" t="s">
        <v>307</v>
      </c>
      <c r="AT371" t="s">
        <v>316</v>
      </c>
      <c r="AU371" t="s">
        <v>310</v>
      </c>
      <c r="AV371">
        <v>3.2</v>
      </c>
    </row>
    <row r="372" spans="40:48" x14ac:dyDescent="0.25">
      <c r="AN372" t="s">
        <v>94</v>
      </c>
      <c r="AO372" t="s">
        <v>60</v>
      </c>
      <c r="AP372">
        <v>2002</v>
      </c>
      <c r="AQ372" t="s">
        <v>72</v>
      </c>
      <c r="AR372" t="s">
        <v>351</v>
      </c>
      <c r="AS372" t="s">
        <v>307</v>
      </c>
      <c r="AT372" t="s">
        <v>316</v>
      </c>
      <c r="AU372" t="s">
        <v>311</v>
      </c>
      <c r="AV372">
        <v>8.35</v>
      </c>
    </row>
    <row r="373" spans="40:48" x14ac:dyDescent="0.25">
      <c r="AN373" t="s">
        <v>94</v>
      </c>
      <c r="AO373" t="s">
        <v>60</v>
      </c>
      <c r="AP373">
        <v>2002</v>
      </c>
      <c r="AQ373" t="s">
        <v>72</v>
      </c>
      <c r="AR373" t="s">
        <v>351</v>
      </c>
      <c r="AS373" t="s">
        <v>307</v>
      </c>
      <c r="AT373" t="s">
        <v>316</v>
      </c>
      <c r="AU373" t="s">
        <v>268</v>
      </c>
      <c r="AV373">
        <v>11.55</v>
      </c>
    </row>
    <row r="374" spans="40:48" x14ac:dyDescent="0.25">
      <c r="AN374" t="s">
        <v>94</v>
      </c>
      <c r="AO374" t="s">
        <v>60</v>
      </c>
      <c r="AP374">
        <v>2002</v>
      </c>
      <c r="AQ374" t="s">
        <v>72</v>
      </c>
      <c r="AR374" t="s">
        <v>351</v>
      </c>
      <c r="AS374" t="s">
        <v>307</v>
      </c>
      <c r="AT374" t="s">
        <v>242</v>
      </c>
      <c r="AU374" t="s">
        <v>310</v>
      </c>
      <c r="AV374">
        <v>0</v>
      </c>
    </row>
    <row r="375" spans="40:48" x14ac:dyDescent="0.25">
      <c r="AN375" t="s">
        <v>94</v>
      </c>
      <c r="AO375" t="s">
        <v>60</v>
      </c>
      <c r="AP375">
        <v>2002</v>
      </c>
      <c r="AQ375" t="s">
        <v>72</v>
      </c>
      <c r="AR375" t="s">
        <v>351</v>
      </c>
      <c r="AS375" t="s">
        <v>307</v>
      </c>
      <c r="AT375" t="s">
        <v>242</v>
      </c>
      <c r="AU375" t="s">
        <v>311</v>
      </c>
      <c r="AV375">
        <v>0</v>
      </c>
    </row>
    <row r="376" spans="40:48" x14ac:dyDescent="0.25">
      <c r="AN376" t="s">
        <v>94</v>
      </c>
      <c r="AO376" t="s">
        <v>60</v>
      </c>
      <c r="AP376">
        <v>2002</v>
      </c>
      <c r="AQ376" t="s">
        <v>72</v>
      </c>
      <c r="AR376" t="s">
        <v>351</v>
      </c>
      <c r="AS376" t="s">
        <v>307</v>
      </c>
      <c r="AT376" t="s">
        <v>242</v>
      </c>
      <c r="AU376" t="s">
        <v>268</v>
      </c>
      <c r="AV376">
        <v>0</v>
      </c>
    </row>
    <row r="377" spans="40:48" x14ac:dyDescent="0.25">
      <c r="AN377" t="s">
        <v>94</v>
      </c>
      <c r="AO377" t="s">
        <v>60</v>
      </c>
      <c r="AP377">
        <v>2002</v>
      </c>
      <c r="AQ377" t="s">
        <v>72</v>
      </c>
      <c r="AR377" t="s">
        <v>351</v>
      </c>
      <c r="AS377" t="s">
        <v>307</v>
      </c>
      <c r="AT377" t="s">
        <v>243</v>
      </c>
      <c r="AU377" t="s">
        <v>337</v>
      </c>
      <c r="AV377">
        <v>0</v>
      </c>
    </row>
    <row r="378" spans="40:48" x14ac:dyDescent="0.25">
      <c r="AN378" t="s">
        <v>94</v>
      </c>
      <c r="AO378" t="s">
        <v>60</v>
      </c>
      <c r="AP378">
        <v>2002</v>
      </c>
      <c r="AQ378" t="s">
        <v>72</v>
      </c>
      <c r="AR378" t="s">
        <v>351</v>
      </c>
      <c r="AS378" t="s">
        <v>307</v>
      </c>
      <c r="AT378" t="s">
        <v>243</v>
      </c>
      <c r="AU378" t="s">
        <v>338</v>
      </c>
      <c r="AV378">
        <v>0</v>
      </c>
    </row>
    <row r="379" spans="40:48" x14ac:dyDescent="0.25">
      <c r="AN379" t="s">
        <v>94</v>
      </c>
      <c r="AO379" t="s">
        <v>60</v>
      </c>
      <c r="AP379">
        <v>2002</v>
      </c>
      <c r="AQ379" t="s">
        <v>72</v>
      </c>
      <c r="AR379" t="s">
        <v>351</v>
      </c>
      <c r="AS379" t="s">
        <v>307</v>
      </c>
      <c r="AT379" t="s">
        <v>243</v>
      </c>
      <c r="AU379" t="s">
        <v>349</v>
      </c>
      <c r="AV379">
        <v>35.1</v>
      </c>
    </row>
    <row r="380" spans="40:48" x14ac:dyDescent="0.25">
      <c r="AN380" t="s">
        <v>129</v>
      </c>
      <c r="AO380" t="s">
        <v>60</v>
      </c>
      <c r="AP380">
        <v>1999</v>
      </c>
      <c r="AQ380" t="s">
        <v>72</v>
      </c>
      <c r="AR380" t="s">
        <v>351</v>
      </c>
      <c r="AS380" t="s">
        <v>307</v>
      </c>
      <c r="AT380" t="s">
        <v>218</v>
      </c>
      <c r="AU380" t="s">
        <v>310</v>
      </c>
      <c r="AV380">
        <v>4.4000000000000004</v>
      </c>
    </row>
    <row r="381" spans="40:48" x14ac:dyDescent="0.25">
      <c r="AN381" t="s">
        <v>129</v>
      </c>
      <c r="AO381" t="s">
        <v>60</v>
      </c>
      <c r="AP381">
        <v>1999</v>
      </c>
      <c r="AQ381" t="s">
        <v>72</v>
      </c>
      <c r="AR381" t="s">
        <v>351</v>
      </c>
      <c r="AS381" t="s">
        <v>307</v>
      </c>
      <c r="AT381" t="s">
        <v>218</v>
      </c>
      <c r="AU381" t="s">
        <v>311</v>
      </c>
      <c r="AV381">
        <v>7.05</v>
      </c>
    </row>
    <row r="382" spans="40:48" x14ac:dyDescent="0.25">
      <c r="AN382" t="s">
        <v>129</v>
      </c>
      <c r="AO382" t="s">
        <v>60</v>
      </c>
      <c r="AP382">
        <v>1999</v>
      </c>
      <c r="AQ382" t="s">
        <v>72</v>
      </c>
      <c r="AR382" t="s">
        <v>351</v>
      </c>
      <c r="AS382" t="s">
        <v>307</v>
      </c>
      <c r="AT382" t="s">
        <v>218</v>
      </c>
      <c r="AU382" t="s">
        <v>268</v>
      </c>
      <c r="AV382">
        <v>11.45</v>
      </c>
    </row>
    <row r="383" spans="40:48" x14ac:dyDescent="0.25">
      <c r="AN383" t="s">
        <v>129</v>
      </c>
      <c r="AO383" t="s">
        <v>60</v>
      </c>
      <c r="AP383">
        <v>1999</v>
      </c>
      <c r="AQ383" t="s">
        <v>72</v>
      </c>
      <c r="AR383" t="s">
        <v>351</v>
      </c>
      <c r="AS383" t="s">
        <v>307</v>
      </c>
      <c r="AT383" t="s">
        <v>238</v>
      </c>
      <c r="AU383" t="s">
        <v>310</v>
      </c>
      <c r="AV383">
        <v>0</v>
      </c>
    </row>
    <row r="384" spans="40:48" x14ac:dyDescent="0.25">
      <c r="AN384" t="s">
        <v>129</v>
      </c>
      <c r="AO384" t="s">
        <v>60</v>
      </c>
      <c r="AP384">
        <v>1999</v>
      </c>
      <c r="AQ384" t="s">
        <v>72</v>
      </c>
      <c r="AR384" t="s">
        <v>351</v>
      </c>
      <c r="AS384" t="s">
        <v>307</v>
      </c>
      <c r="AT384" t="s">
        <v>238</v>
      </c>
      <c r="AU384" t="s">
        <v>311</v>
      </c>
      <c r="AV384">
        <v>0</v>
      </c>
    </row>
    <row r="385" spans="40:48" x14ac:dyDescent="0.25">
      <c r="AN385" t="s">
        <v>129</v>
      </c>
      <c r="AO385" t="s">
        <v>60</v>
      </c>
      <c r="AP385">
        <v>1999</v>
      </c>
      <c r="AQ385" t="s">
        <v>72</v>
      </c>
      <c r="AR385" t="s">
        <v>351</v>
      </c>
      <c r="AS385" t="s">
        <v>307</v>
      </c>
      <c r="AT385" t="s">
        <v>238</v>
      </c>
      <c r="AU385" t="s">
        <v>268</v>
      </c>
      <c r="AV385">
        <v>0</v>
      </c>
    </row>
    <row r="386" spans="40:48" x14ac:dyDescent="0.25">
      <c r="AN386" t="s">
        <v>129</v>
      </c>
      <c r="AO386" t="s">
        <v>60</v>
      </c>
      <c r="AP386">
        <v>1999</v>
      </c>
      <c r="AQ386" t="s">
        <v>72</v>
      </c>
      <c r="AR386" t="s">
        <v>351</v>
      </c>
      <c r="AS386" t="s">
        <v>307</v>
      </c>
      <c r="AT386" t="s">
        <v>239</v>
      </c>
      <c r="AU386" t="s">
        <v>310</v>
      </c>
      <c r="AV386">
        <v>0</v>
      </c>
    </row>
    <row r="387" spans="40:48" x14ac:dyDescent="0.25">
      <c r="AN387" t="s">
        <v>129</v>
      </c>
      <c r="AO387" t="s">
        <v>60</v>
      </c>
      <c r="AP387">
        <v>1999</v>
      </c>
      <c r="AQ387" t="s">
        <v>72</v>
      </c>
      <c r="AR387" t="s">
        <v>351</v>
      </c>
      <c r="AS387" t="s">
        <v>307</v>
      </c>
      <c r="AT387" t="s">
        <v>239</v>
      </c>
      <c r="AU387" t="s">
        <v>311</v>
      </c>
      <c r="AV387">
        <v>0</v>
      </c>
    </row>
    <row r="388" spans="40:48" x14ac:dyDescent="0.25">
      <c r="AN388" t="s">
        <v>129</v>
      </c>
      <c r="AO388" t="s">
        <v>60</v>
      </c>
      <c r="AP388">
        <v>1999</v>
      </c>
      <c r="AQ388" t="s">
        <v>72</v>
      </c>
      <c r="AR388" t="s">
        <v>351</v>
      </c>
      <c r="AS388" t="s">
        <v>307</v>
      </c>
      <c r="AT388" t="s">
        <v>239</v>
      </c>
      <c r="AU388" t="s">
        <v>268</v>
      </c>
      <c r="AV388">
        <v>0</v>
      </c>
    </row>
    <row r="389" spans="40:48" x14ac:dyDescent="0.25">
      <c r="AN389" t="s">
        <v>129</v>
      </c>
      <c r="AO389" t="s">
        <v>60</v>
      </c>
      <c r="AP389">
        <v>1999</v>
      </c>
      <c r="AQ389" t="s">
        <v>72</v>
      </c>
      <c r="AR389" t="s">
        <v>351</v>
      </c>
      <c r="AS389" t="s">
        <v>307</v>
      </c>
      <c r="AT389" t="s">
        <v>240</v>
      </c>
      <c r="AU389" t="s">
        <v>310</v>
      </c>
      <c r="AV389">
        <v>2.8</v>
      </c>
    </row>
    <row r="390" spans="40:48" x14ac:dyDescent="0.25">
      <c r="AN390" t="s">
        <v>129</v>
      </c>
      <c r="AO390" t="s">
        <v>60</v>
      </c>
      <c r="AP390">
        <v>1999</v>
      </c>
      <c r="AQ390" t="s">
        <v>72</v>
      </c>
      <c r="AR390" t="s">
        <v>351</v>
      </c>
      <c r="AS390" t="s">
        <v>307</v>
      </c>
      <c r="AT390" t="s">
        <v>240</v>
      </c>
      <c r="AU390" t="s">
        <v>311</v>
      </c>
      <c r="AV390">
        <v>8.5500000000000007</v>
      </c>
    </row>
    <row r="391" spans="40:48" x14ac:dyDescent="0.25">
      <c r="AN391" t="s">
        <v>129</v>
      </c>
      <c r="AO391" t="s">
        <v>60</v>
      </c>
      <c r="AP391">
        <v>1999</v>
      </c>
      <c r="AQ391" t="s">
        <v>72</v>
      </c>
      <c r="AR391" t="s">
        <v>351</v>
      </c>
      <c r="AS391" t="s">
        <v>307</v>
      </c>
      <c r="AT391" t="s">
        <v>240</v>
      </c>
      <c r="AU391" t="s">
        <v>268</v>
      </c>
      <c r="AV391">
        <v>11.35</v>
      </c>
    </row>
    <row r="392" spans="40:48" x14ac:dyDescent="0.25">
      <c r="AN392" t="s">
        <v>129</v>
      </c>
      <c r="AO392" t="s">
        <v>60</v>
      </c>
      <c r="AP392">
        <v>1999</v>
      </c>
      <c r="AQ392" t="s">
        <v>72</v>
      </c>
      <c r="AR392" t="s">
        <v>351</v>
      </c>
      <c r="AS392" t="s">
        <v>307</v>
      </c>
      <c r="AT392" t="s">
        <v>316</v>
      </c>
      <c r="AU392" t="s">
        <v>310</v>
      </c>
      <c r="AV392">
        <v>2.7</v>
      </c>
    </row>
    <row r="393" spans="40:48" x14ac:dyDescent="0.25">
      <c r="AN393" t="s">
        <v>129</v>
      </c>
      <c r="AO393" t="s">
        <v>60</v>
      </c>
      <c r="AP393">
        <v>1999</v>
      </c>
      <c r="AQ393" t="s">
        <v>72</v>
      </c>
      <c r="AR393" t="s">
        <v>351</v>
      </c>
      <c r="AS393" t="s">
        <v>307</v>
      </c>
      <c r="AT393" t="s">
        <v>316</v>
      </c>
      <c r="AU393" t="s">
        <v>311</v>
      </c>
      <c r="AV393">
        <v>8.5500000000000007</v>
      </c>
    </row>
    <row r="394" spans="40:48" x14ac:dyDescent="0.25">
      <c r="AN394" t="s">
        <v>129</v>
      </c>
      <c r="AO394" t="s">
        <v>60</v>
      </c>
      <c r="AP394">
        <v>1999</v>
      </c>
      <c r="AQ394" t="s">
        <v>72</v>
      </c>
      <c r="AR394" t="s">
        <v>351</v>
      </c>
      <c r="AS394" t="s">
        <v>307</v>
      </c>
      <c r="AT394" t="s">
        <v>316</v>
      </c>
      <c r="AU394" t="s">
        <v>268</v>
      </c>
      <c r="AV394">
        <v>11.25</v>
      </c>
    </row>
    <row r="395" spans="40:48" x14ac:dyDescent="0.25">
      <c r="AN395" t="s">
        <v>129</v>
      </c>
      <c r="AO395" t="s">
        <v>60</v>
      </c>
      <c r="AP395">
        <v>1999</v>
      </c>
      <c r="AQ395" t="s">
        <v>72</v>
      </c>
      <c r="AR395" t="s">
        <v>351</v>
      </c>
      <c r="AS395" t="s">
        <v>307</v>
      </c>
      <c r="AT395" t="s">
        <v>242</v>
      </c>
      <c r="AU395" t="s">
        <v>310</v>
      </c>
      <c r="AV395">
        <v>0</v>
      </c>
    </row>
    <row r="396" spans="40:48" x14ac:dyDescent="0.25">
      <c r="AN396" t="s">
        <v>129</v>
      </c>
      <c r="AO396" t="s">
        <v>60</v>
      </c>
      <c r="AP396">
        <v>1999</v>
      </c>
      <c r="AQ396" t="s">
        <v>72</v>
      </c>
      <c r="AR396" t="s">
        <v>351</v>
      </c>
      <c r="AS396" t="s">
        <v>307</v>
      </c>
      <c r="AT396" t="s">
        <v>242</v>
      </c>
      <c r="AU396" t="s">
        <v>311</v>
      </c>
      <c r="AV396">
        <v>0</v>
      </c>
    </row>
    <row r="397" spans="40:48" x14ac:dyDescent="0.25">
      <c r="AN397" t="s">
        <v>129</v>
      </c>
      <c r="AO397" t="s">
        <v>60</v>
      </c>
      <c r="AP397">
        <v>1999</v>
      </c>
      <c r="AQ397" t="s">
        <v>72</v>
      </c>
      <c r="AR397" t="s">
        <v>351</v>
      </c>
      <c r="AS397" t="s">
        <v>307</v>
      </c>
      <c r="AT397" t="s">
        <v>242</v>
      </c>
      <c r="AU397" t="s">
        <v>268</v>
      </c>
      <c r="AV397">
        <v>0</v>
      </c>
    </row>
    <row r="398" spans="40:48" x14ac:dyDescent="0.25">
      <c r="AN398" t="s">
        <v>129</v>
      </c>
      <c r="AO398" t="s">
        <v>60</v>
      </c>
      <c r="AP398">
        <v>1999</v>
      </c>
      <c r="AQ398" t="s">
        <v>72</v>
      </c>
      <c r="AR398" t="s">
        <v>351</v>
      </c>
      <c r="AS398" t="s">
        <v>307</v>
      </c>
      <c r="AT398" t="s">
        <v>243</v>
      </c>
      <c r="AU398" t="s">
        <v>337</v>
      </c>
      <c r="AV398">
        <v>0</v>
      </c>
    </row>
    <row r="399" spans="40:48" x14ac:dyDescent="0.25">
      <c r="AN399" t="s">
        <v>129</v>
      </c>
      <c r="AO399" t="s">
        <v>60</v>
      </c>
      <c r="AP399">
        <v>1999</v>
      </c>
      <c r="AQ399" t="s">
        <v>72</v>
      </c>
      <c r="AR399" t="s">
        <v>351</v>
      </c>
      <c r="AS399" t="s">
        <v>307</v>
      </c>
      <c r="AT399" t="s">
        <v>243</v>
      </c>
      <c r="AU399" t="s">
        <v>338</v>
      </c>
      <c r="AV399">
        <v>0</v>
      </c>
    </row>
    <row r="400" spans="40:48" x14ac:dyDescent="0.25">
      <c r="AN400" t="s">
        <v>129</v>
      </c>
      <c r="AO400" t="s">
        <v>60</v>
      </c>
      <c r="AP400">
        <v>1999</v>
      </c>
      <c r="AQ400" t="s">
        <v>72</v>
      </c>
      <c r="AR400" t="s">
        <v>351</v>
      </c>
      <c r="AS400" t="s">
        <v>307</v>
      </c>
      <c r="AT400" t="s">
        <v>243</v>
      </c>
      <c r="AU400" t="s">
        <v>349</v>
      </c>
      <c r="AV400">
        <v>34.049999999999997</v>
      </c>
    </row>
    <row r="401" spans="40:48" x14ac:dyDescent="0.25">
      <c r="AN401" t="s">
        <v>86</v>
      </c>
      <c r="AO401" t="s">
        <v>60</v>
      </c>
      <c r="AP401">
        <v>2003</v>
      </c>
      <c r="AQ401" t="s">
        <v>72</v>
      </c>
      <c r="AR401" t="s">
        <v>351</v>
      </c>
      <c r="AS401" t="s">
        <v>307</v>
      </c>
      <c r="AT401" t="s">
        <v>218</v>
      </c>
      <c r="AU401" t="s">
        <v>310</v>
      </c>
      <c r="AV401">
        <v>4.2</v>
      </c>
    </row>
    <row r="402" spans="40:48" x14ac:dyDescent="0.25">
      <c r="AN402" t="s">
        <v>86</v>
      </c>
      <c r="AO402" t="s">
        <v>60</v>
      </c>
      <c r="AP402">
        <v>2003</v>
      </c>
      <c r="AQ402" t="s">
        <v>72</v>
      </c>
      <c r="AR402" t="s">
        <v>351</v>
      </c>
      <c r="AS402" t="s">
        <v>307</v>
      </c>
      <c r="AT402" t="s">
        <v>218</v>
      </c>
      <c r="AU402" t="s">
        <v>311</v>
      </c>
      <c r="AV402">
        <v>7.55</v>
      </c>
    </row>
    <row r="403" spans="40:48" x14ac:dyDescent="0.25">
      <c r="AN403" t="s">
        <v>86</v>
      </c>
      <c r="AO403" t="s">
        <v>60</v>
      </c>
      <c r="AP403">
        <v>2003</v>
      </c>
      <c r="AQ403" t="s">
        <v>72</v>
      </c>
      <c r="AR403" t="s">
        <v>351</v>
      </c>
      <c r="AS403" t="s">
        <v>307</v>
      </c>
      <c r="AT403" t="s">
        <v>218</v>
      </c>
      <c r="AU403" t="s">
        <v>268</v>
      </c>
      <c r="AV403">
        <v>11.75</v>
      </c>
    </row>
    <row r="404" spans="40:48" x14ac:dyDescent="0.25">
      <c r="AN404" t="s">
        <v>86</v>
      </c>
      <c r="AO404" t="s">
        <v>60</v>
      </c>
      <c r="AP404">
        <v>2003</v>
      </c>
      <c r="AQ404" t="s">
        <v>72</v>
      </c>
      <c r="AR404" t="s">
        <v>351</v>
      </c>
      <c r="AS404" t="s">
        <v>307</v>
      </c>
      <c r="AT404" t="s">
        <v>238</v>
      </c>
      <c r="AU404" t="s">
        <v>310</v>
      </c>
      <c r="AV404">
        <v>4.2</v>
      </c>
    </row>
    <row r="405" spans="40:48" x14ac:dyDescent="0.25">
      <c r="AN405" t="s">
        <v>86</v>
      </c>
      <c r="AO405" t="s">
        <v>60</v>
      </c>
      <c r="AP405">
        <v>2003</v>
      </c>
      <c r="AQ405" t="s">
        <v>72</v>
      </c>
      <c r="AR405" t="s">
        <v>351</v>
      </c>
      <c r="AS405" t="s">
        <v>307</v>
      </c>
      <c r="AT405" t="s">
        <v>238</v>
      </c>
      <c r="AU405" t="s">
        <v>311</v>
      </c>
      <c r="AV405">
        <v>8</v>
      </c>
    </row>
    <row r="406" spans="40:48" x14ac:dyDescent="0.25">
      <c r="AN406" t="s">
        <v>86</v>
      </c>
      <c r="AO406" t="s">
        <v>60</v>
      </c>
      <c r="AP406">
        <v>2003</v>
      </c>
      <c r="AQ406" t="s">
        <v>72</v>
      </c>
      <c r="AR406" t="s">
        <v>351</v>
      </c>
      <c r="AS406" t="s">
        <v>307</v>
      </c>
      <c r="AT406" t="s">
        <v>238</v>
      </c>
      <c r="AU406" t="s">
        <v>268</v>
      </c>
      <c r="AV406">
        <v>12.2</v>
      </c>
    </row>
    <row r="407" spans="40:48" x14ac:dyDescent="0.25">
      <c r="AN407" t="s">
        <v>86</v>
      </c>
      <c r="AO407" t="s">
        <v>60</v>
      </c>
      <c r="AP407">
        <v>2003</v>
      </c>
      <c r="AQ407" t="s">
        <v>72</v>
      </c>
      <c r="AR407" t="s">
        <v>351</v>
      </c>
      <c r="AS407" t="s">
        <v>307</v>
      </c>
      <c r="AT407" t="s">
        <v>239</v>
      </c>
      <c r="AU407" t="s">
        <v>310</v>
      </c>
      <c r="AV407">
        <v>0</v>
      </c>
    </row>
    <row r="408" spans="40:48" x14ac:dyDescent="0.25">
      <c r="AN408" t="s">
        <v>86</v>
      </c>
      <c r="AO408" t="s">
        <v>60</v>
      </c>
      <c r="AP408">
        <v>2003</v>
      </c>
      <c r="AQ408" t="s">
        <v>72</v>
      </c>
      <c r="AR408" t="s">
        <v>351</v>
      </c>
      <c r="AS408" t="s">
        <v>307</v>
      </c>
      <c r="AT408" t="s">
        <v>239</v>
      </c>
      <c r="AU408" t="s">
        <v>311</v>
      </c>
      <c r="AV408">
        <v>0</v>
      </c>
    </row>
    <row r="409" spans="40:48" x14ac:dyDescent="0.25">
      <c r="AN409" t="s">
        <v>86</v>
      </c>
      <c r="AO409" t="s">
        <v>60</v>
      </c>
      <c r="AP409">
        <v>2003</v>
      </c>
      <c r="AQ409" t="s">
        <v>72</v>
      </c>
      <c r="AR409" t="s">
        <v>351</v>
      </c>
      <c r="AS409" t="s">
        <v>307</v>
      </c>
      <c r="AT409" t="s">
        <v>239</v>
      </c>
      <c r="AU409" t="s">
        <v>268</v>
      </c>
      <c r="AV409">
        <v>0</v>
      </c>
    </row>
    <row r="410" spans="40:48" x14ac:dyDescent="0.25">
      <c r="AN410" t="s">
        <v>86</v>
      </c>
      <c r="AO410" t="s">
        <v>60</v>
      </c>
      <c r="AP410">
        <v>2003</v>
      </c>
      <c r="AQ410" t="s">
        <v>72</v>
      </c>
      <c r="AR410" t="s">
        <v>351</v>
      </c>
      <c r="AS410" t="s">
        <v>307</v>
      </c>
      <c r="AT410" t="s">
        <v>240</v>
      </c>
      <c r="AU410" t="s">
        <v>310</v>
      </c>
      <c r="AV410">
        <v>0</v>
      </c>
    </row>
    <row r="411" spans="40:48" x14ac:dyDescent="0.25">
      <c r="AN411" t="s">
        <v>86</v>
      </c>
      <c r="AO411" t="s">
        <v>60</v>
      </c>
      <c r="AP411">
        <v>2003</v>
      </c>
      <c r="AQ411" t="s">
        <v>72</v>
      </c>
      <c r="AR411" t="s">
        <v>351</v>
      </c>
      <c r="AS411" t="s">
        <v>307</v>
      </c>
      <c r="AT411" t="s">
        <v>240</v>
      </c>
      <c r="AU411" t="s">
        <v>311</v>
      </c>
      <c r="AV411">
        <v>0</v>
      </c>
    </row>
    <row r="412" spans="40:48" x14ac:dyDescent="0.25">
      <c r="AN412" t="s">
        <v>86</v>
      </c>
      <c r="AO412" t="s">
        <v>60</v>
      </c>
      <c r="AP412">
        <v>2003</v>
      </c>
      <c r="AQ412" t="s">
        <v>72</v>
      </c>
      <c r="AR412" t="s">
        <v>351</v>
      </c>
      <c r="AS412" t="s">
        <v>307</v>
      </c>
      <c r="AT412" t="s">
        <v>240</v>
      </c>
      <c r="AU412" t="s">
        <v>268</v>
      </c>
      <c r="AV412">
        <v>0</v>
      </c>
    </row>
    <row r="413" spans="40:48" x14ac:dyDescent="0.25">
      <c r="AN413" t="s">
        <v>86</v>
      </c>
      <c r="AO413" t="s">
        <v>60</v>
      </c>
      <c r="AP413">
        <v>2003</v>
      </c>
      <c r="AQ413" t="s">
        <v>72</v>
      </c>
      <c r="AR413" t="s">
        <v>351</v>
      </c>
      <c r="AS413" t="s">
        <v>307</v>
      </c>
      <c r="AT413" t="s">
        <v>316</v>
      </c>
      <c r="AU413" t="s">
        <v>310</v>
      </c>
      <c r="AV413">
        <v>2.9</v>
      </c>
    </row>
    <row r="414" spans="40:48" x14ac:dyDescent="0.25">
      <c r="AN414" t="s">
        <v>86</v>
      </c>
      <c r="AO414" t="s">
        <v>60</v>
      </c>
      <c r="AP414">
        <v>2003</v>
      </c>
      <c r="AQ414" t="s">
        <v>72</v>
      </c>
      <c r="AR414" t="s">
        <v>351</v>
      </c>
      <c r="AS414" t="s">
        <v>307</v>
      </c>
      <c r="AT414" t="s">
        <v>316</v>
      </c>
      <c r="AU414" t="s">
        <v>311</v>
      </c>
      <c r="AV414">
        <v>7.2</v>
      </c>
    </row>
    <row r="415" spans="40:48" x14ac:dyDescent="0.25">
      <c r="AN415" t="s">
        <v>86</v>
      </c>
      <c r="AO415" t="s">
        <v>60</v>
      </c>
      <c r="AP415">
        <v>2003</v>
      </c>
      <c r="AQ415" t="s">
        <v>72</v>
      </c>
      <c r="AR415" t="s">
        <v>351</v>
      </c>
      <c r="AS415" t="s">
        <v>307</v>
      </c>
      <c r="AT415" t="s">
        <v>316</v>
      </c>
      <c r="AU415" t="s">
        <v>268</v>
      </c>
      <c r="AV415">
        <v>10.1</v>
      </c>
    </row>
    <row r="416" spans="40:48" x14ac:dyDescent="0.25">
      <c r="AN416" t="s">
        <v>86</v>
      </c>
      <c r="AO416" t="s">
        <v>60</v>
      </c>
      <c r="AP416">
        <v>2003</v>
      </c>
      <c r="AQ416" t="s">
        <v>72</v>
      </c>
      <c r="AR416" t="s">
        <v>351</v>
      </c>
      <c r="AS416" t="s">
        <v>307</v>
      </c>
      <c r="AT416" t="s">
        <v>242</v>
      </c>
      <c r="AU416" t="s">
        <v>310</v>
      </c>
      <c r="AV416">
        <v>0</v>
      </c>
    </row>
    <row r="417" spans="40:48" x14ac:dyDescent="0.25">
      <c r="AN417" t="s">
        <v>86</v>
      </c>
      <c r="AO417" t="s">
        <v>60</v>
      </c>
      <c r="AP417">
        <v>2003</v>
      </c>
      <c r="AQ417" t="s">
        <v>72</v>
      </c>
      <c r="AR417" t="s">
        <v>351</v>
      </c>
      <c r="AS417" t="s">
        <v>307</v>
      </c>
      <c r="AT417" t="s">
        <v>242</v>
      </c>
      <c r="AU417" t="s">
        <v>311</v>
      </c>
      <c r="AV417">
        <v>0</v>
      </c>
    </row>
    <row r="418" spans="40:48" x14ac:dyDescent="0.25">
      <c r="AN418" t="s">
        <v>86</v>
      </c>
      <c r="AO418" t="s">
        <v>60</v>
      </c>
      <c r="AP418">
        <v>2003</v>
      </c>
      <c r="AQ418" t="s">
        <v>72</v>
      </c>
      <c r="AR418" t="s">
        <v>351</v>
      </c>
      <c r="AS418" t="s">
        <v>307</v>
      </c>
      <c r="AT418" t="s">
        <v>242</v>
      </c>
      <c r="AU418" t="s">
        <v>268</v>
      </c>
      <c r="AV418">
        <v>0</v>
      </c>
    </row>
    <row r="419" spans="40:48" x14ac:dyDescent="0.25">
      <c r="AN419" t="s">
        <v>86</v>
      </c>
      <c r="AO419" t="s">
        <v>60</v>
      </c>
      <c r="AP419">
        <v>2003</v>
      </c>
      <c r="AQ419" t="s">
        <v>72</v>
      </c>
      <c r="AR419" t="s">
        <v>351</v>
      </c>
      <c r="AS419" t="s">
        <v>307</v>
      </c>
      <c r="AT419" t="s">
        <v>243</v>
      </c>
      <c r="AU419" t="s">
        <v>337</v>
      </c>
      <c r="AV419">
        <v>0</v>
      </c>
    </row>
    <row r="420" spans="40:48" x14ac:dyDescent="0.25">
      <c r="AN420" t="s">
        <v>86</v>
      </c>
      <c r="AO420" t="s">
        <v>60</v>
      </c>
      <c r="AP420">
        <v>2003</v>
      </c>
      <c r="AQ420" t="s">
        <v>72</v>
      </c>
      <c r="AR420" t="s">
        <v>351</v>
      </c>
      <c r="AS420" t="s">
        <v>307</v>
      </c>
      <c r="AT420" t="s">
        <v>243</v>
      </c>
      <c r="AU420" t="s">
        <v>338</v>
      </c>
      <c r="AV420">
        <v>0</v>
      </c>
    </row>
    <row r="421" spans="40:48" x14ac:dyDescent="0.25">
      <c r="AN421" t="s">
        <v>86</v>
      </c>
      <c r="AO421" t="s">
        <v>60</v>
      </c>
      <c r="AP421">
        <v>2003</v>
      </c>
      <c r="AQ421" t="s">
        <v>72</v>
      </c>
      <c r="AR421" t="s">
        <v>351</v>
      </c>
      <c r="AS421" t="s">
        <v>307</v>
      </c>
      <c r="AT421" t="s">
        <v>243</v>
      </c>
      <c r="AU421" t="s">
        <v>349</v>
      </c>
      <c r="AV421">
        <v>34.049999999999997</v>
      </c>
    </row>
    <row r="422" spans="40:48" x14ac:dyDescent="0.25">
      <c r="AN422" t="s">
        <v>100</v>
      </c>
      <c r="AO422" t="s">
        <v>60</v>
      </c>
      <c r="AP422">
        <v>2004</v>
      </c>
      <c r="AQ422" t="s">
        <v>31</v>
      </c>
      <c r="AR422" t="s">
        <v>351</v>
      </c>
      <c r="AS422" t="s">
        <v>307</v>
      </c>
      <c r="AT422" t="s">
        <v>218</v>
      </c>
      <c r="AU422" t="s">
        <v>310</v>
      </c>
      <c r="AV422">
        <v>4.4000000000000004</v>
      </c>
    </row>
    <row r="423" spans="40:48" x14ac:dyDescent="0.25">
      <c r="AN423" t="s">
        <v>100</v>
      </c>
      <c r="AO423" t="s">
        <v>60</v>
      </c>
      <c r="AP423">
        <v>2004</v>
      </c>
      <c r="AQ423" t="s">
        <v>31</v>
      </c>
      <c r="AR423" t="s">
        <v>351</v>
      </c>
      <c r="AS423" t="s">
        <v>307</v>
      </c>
      <c r="AT423" t="s">
        <v>218</v>
      </c>
      <c r="AU423" t="s">
        <v>311</v>
      </c>
      <c r="AV423">
        <v>7.55</v>
      </c>
    </row>
    <row r="424" spans="40:48" x14ac:dyDescent="0.25">
      <c r="AN424" t="s">
        <v>100</v>
      </c>
      <c r="AO424" t="s">
        <v>60</v>
      </c>
      <c r="AP424">
        <v>2004</v>
      </c>
      <c r="AQ424" t="s">
        <v>31</v>
      </c>
      <c r="AR424" t="s">
        <v>351</v>
      </c>
      <c r="AS424" t="s">
        <v>307</v>
      </c>
      <c r="AT424" t="s">
        <v>218</v>
      </c>
      <c r="AU424" t="s">
        <v>268</v>
      </c>
      <c r="AV424">
        <v>11.95</v>
      </c>
    </row>
    <row r="425" spans="40:48" x14ac:dyDescent="0.25">
      <c r="AN425" t="s">
        <v>100</v>
      </c>
      <c r="AO425" t="s">
        <v>60</v>
      </c>
      <c r="AP425">
        <v>2004</v>
      </c>
      <c r="AQ425" t="s">
        <v>31</v>
      </c>
      <c r="AR425" t="s">
        <v>351</v>
      </c>
      <c r="AS425" t="s">
        <v>307</v>
      </c>
      <c r="AT425" t="s">
        <v>238</v>
      </c>
      <c r="AU425" t="s">
        <v>310</v>
      </c>
      <c r="AV425">
        <v>0</v>
      </c>
    </row>
    <row r="426" spans="40:48" x14ac:dyDescent="0.25">
      <c r="AN426" t="s">
        <v>100</v>
      </c>
      <c r="AO426" t="s">
        <v>60</v>
      </c>
      <c r="AP426">
        <v>2004</v>
      </c>
      <c r="AQ426" t="s">
        <v>31</v>
      </c>
      <c r="AR426" t="s">
        <v>351</v>
      </c>
      <c r="AS426" t="s">
        <v>307</v>
      </c>
      <c r="AT426" t="s">
        <v>238</v>
      </c>
      <c r="AU426" t="s">
        <v>311</v>
      </c>
      <c r="AV426">
        <v>0</v>
      </c>
    </row>
    <row r="427" spans="40:48" x14ac:dyDescent="0.25">
      <c r="AN427" t="s">
        <v>100</v>
      </c>
      <c r="AO427" t="s">
        <v>60</v>
      </c>
      <c r="AP427">
        <v>2004</v>
      </c>
      <c r="AQ427" t="s">
        <v>31</v>
      </c>
      <c r="AR427" t="s">
        <v>351</v>
      </c>
      <c r="AS427" t="s">
        <v>307</v>
      </c>
      <c r="AT427" t="s">
        <v>238</v>
      </c>
      <c r="AU427" t="s">
        <v>268</v>
      </c>
      <c r="AV427">
        <v>0</v>
      </c>
    </row>
    <row r="428" spans="40:48" x14ac:dyDescent="0.25">
      <c r="AN428" t="s">
        <v>100</v>
      </c>
      <c r="AO428" t="s">
        <v>60</v>
      </c>
      <c r="AP428">
        <v>2004</v>
      </c>
      <c r="AQ428" t="s">
        <v>31</v>
      </c>
      <c r="AR428" t="s">
        <v>351</v>
      </c>
      <c r="AS428" t="s">
        <v>307</v>
      </c>
      <c r="AT428" t="s">
        <v>239</v>
      </c>
      <c r="AU428" t="s">
        <v>310</v>
      </c>
      <c r="AV428">
        <v>0</v>
      </c>
    </row>
    <row r="429" spans="40:48" x14ac:dyDescent="0.25">
      <c r="AN429" t="s">
        <v>100</v>
      </c>
      <c r="AO429" t="s">
        <v>60</v>
      </c>
      <c r="AP429">
        <v>2004</v>
      </c>
      <c r="AQ429" t="s">
        <v>31</v>
      </c>
      <c r="AR429" t="s">
        <v>351</v>
      </c>
      <c r="AS429" t="s">
        <v>307</v>
      </c>
      <c r="AT429" t="s">
        <v>239</v>
      </c>
      <c r="AU429" t="s">
        <v>311</v>
      </c>
      <c r="AV429">
        <v>0</v>
      </c>
    </row>
    <row r="430" spans="40:48" x14ac:dyDescent="0.25">
      <c r="AN430" t="s">
        <v>100</v>
      </c>
      <c r="AO430" t="s">
        <v>60</v>
      </c>
      <c r="AP430">
        <v>2004</v>
      </c>
      <c r="AQ430" t="s">
        <v>31</v>
      </c>
      <c r="AR430" t="s">
        <v>351</v>
      </c>
      <c r="AS430" t="s">
        <v>307</v>
      </c>
      <c r="AT430" t="s">
        <v>239</v>
      </c>
      <c r="AU430" t="s">
        <v>268</v>
      </c>
      <c r="AV430">
        <v>0</v>
      </c>
    </row>
    <row r="431" spans="40:48" x14ac:dyDescent="0.25">
      <c r="AN431" t="s">
        <v>100</v>
      </c>
      <c r="AO431" t="s">
        <v>60</v>
      </c>
      <c r="AP431">
        <v>2004</v>
      </c>
      <c r="AQ431" t="s">
        <v>31</v>
      </c>
      <c r="AR431" t="s">
        <v>351</v>
      </c>
      <c r="AS431" t="s">
        <v>307</v>
      </c>
      <c r="AT431" t="s">
        <v>240</v>
      </c>
      <c r="AU431" t="s">
        <v>310</v>
      </c>
      <c r="AV431">
        <v>0</v>
      </c>
    </row>
    <row r="432" spans="40:48" x14ac:dyDescent="0.25">
      <c r="AN432" t="s">
        <v>100</v>
      </c>
      <c r="AO432" t="s">
        <v>60</v>
      </c>
      <c r="AP432">
        <v>2004</v>
      </c>
      <c r="AQ432" t="s">
        <v>31</v>
      </c>
      <c r="AR432" t="s">
        <v>351</v>
      </c>
      <c r="AS432" t="s">
        <v>307</v>
      </c>
      <c r="AT432" t="s">
        <v>240</v>
      </c>
      <c r="AU432" t="s">
        <v>311</v>
      </c>
      <c r="AV432">
        <v>0</v>
      </c>
    </row>
    <row r="433" spans="40:48" x14ac:dyDescent="0.25">
      <c r="AN433" t="s">
        <v>100</v>
      </c>
      <c r="AO433" t="s">
        <v>60</v>
      </c>
      <c r="AP433">
        <v>2004</v>
      </c>
      <c r="AQ433" t="s">
        <v>31</v>
      </c>
      <c r="AR433" t="s">
        <v>351</v>
      </c>
      <c r="AS433" t="s">
        <v>307</v>
      </c>
      <c r="AT433" t="s">
        <v>240</v>
      </c>
      <c r="AU433" t="s">
        <v>268</v>
      </c>
      <c r="AV433">
        <v>0</v>
      </c>
    </row>
    <row r="434" spans="40:48" x14ac:dyDescent="0.25">
      <c r="AN434" t="s">
        <v>100</v>
      </c>
      <c r="AO434" t="s">
        <v>60</v>
      </c>
      <c r="AP434">
        <v>2004</v>
      </c>
      <c r="AQ434" t="s">
        <v>31</v>
      </c>
      <c r="AR434" t="s">
        <v>351</v>
      </c>
      <c r="AS434" t="s">
        <v>307</v>
      </c>
      <c r="AT434" t="s">
        <v>316</v>
      </c>
      <c r="AU434" t="s">
        <v>310</v>
      </c>
      <c r="AV434">
        <v>0</v>
      </c>
    </row>
    <row r="435" spans="40:48" x14ac:dyDescent="0.25">
      <c r="AN435" t="s">
        <v>100</v>
      </c>
      <c r="AO435" t="s">
        <v>60</v>
      </c>
      <c r="AP435">
        <v>2004</v>
      </c>
      <c r="AQ435" t="s">
        <v>31</v>
      </c>
      <c r="AR435" t="s">
        <v>351</v>
      </c>
      <c r="AS435" t="s">
        <v>307</v>
      </c>
      <c r="AT435" t="s">
        <v>316</v>
      </c>
      <c r="AU435" t="s">
        <v>311</v>
      </c>
      <c r="AV435">
        <v>0</v>
      </c>
    </row>
    <row r="436" spans="40:48" x14ac:dyDescent="0.25">
      <c r="AN436" t="s">
        <v>100</v>
      </c>
      <c r="AO436" t="s">
        <v>60</v>
      </c>
      <c r="AP436">
        <v>2004</v>
      </c>
      <c r="AQ436" t="s">
        <v>31</v>
      </c>
      <c r="AR436" t="s">
        <v>351</v>
      </c>
      <c r="AS436" t="s">
        <v>307</v>
      </c>
      <c r="AT436" t="s">
        <v>316</v>
      </c>
      <c r="AU436" t="s">
        <v>268</v>
      </c>
      <c r="AV436">
        <v>0</v>
      </c>
    </row>
    <row r="437" spans="40:48" x14ac:dyDescent="0.25">
      <c r="AN437" t="s">
        <v>100</v>
      </c>
      <c r="AO437" t="s">
        <v>60</v>
      </c>
      <c r="AP437">
        <v>2004</v>
      </c>
      <c r="AQ437" t="s">
        <v>31</v>
      </c>
      <c r="AR437" t="s">
        <v>351</v>
      </c>
      <c r="AS437" t="s">
        <v>307</v>
      </c>
      <c r="AT437" t="s">
        <v>242</v>
      </c>
      <c r="AU437" t="s">
        <v>310</v>
      </c>
      <c r="AV437">
        <v>2.1</v>
      </c>
    </row>
    <row r="438" spans="40:48" x14ac:dyDescent="0.25">
      <c r="AN438" t="s">
        <v>100</v>
      </c>
      <c r="AO438" t="s">
        <v>60</v>
      </c>
      <c r="AP438">
        <v>2004</v>
      </c>
      <c r="AQ438" t="s">
        <v>31</v>
      </c>
      <c r="AR438" t="s">
        <v>351</v>
      </c>
      <c r="AS438" t="s">
        <v>307</v>
      </c>
      <c r="AT438" t="s">
        <v>242</v>
      </c>
      <c r="AU438" t="s">
        <v>311</v>
      </c>
      <c r="AV438">
        <v>8.5</v>
      </c>
    </row>
    <row r="439" spans="40:48" x14ac:dyDescent="0.25">
      <c r="AN439" t="s">
        <v>100</v>
      </c>
      <c r="AO439" t="s">
        <v>60</v>
      </c>
      <c r="AP439">
        <v>2004</v>
      </c>
      <c r="AQ439" t="s">
        <v>31</v>
      </c>
      <c r="AR439" t="s">
        <v>351</v>
      </c>
      <c r="AS439" t="s">
        <v>307</v>
      </c>
      <c r="AT439" t="s">
        <v>242</v>
      </c>
      <c r="AU439" t="s">
        <v>268</v>
      </c>
      <c r="AV439">
        <v>10.6</v>
      </c>
    </row>
    <row r="440" spans="40:48" x14ac:dyDescent="0.25">
      <c r="AN440" t="s">
        <v>100</v>
      </c>
      <c r="AO440" t="s">
        <v>60</v>
      </c>
      <c r="AP440">
        <v>2004</v>
      </c>
      <c r="AQ440" t="s">
        <v>31</v>
      </c>
      <c r="AR440" t="s">
        <v>351</v>
      </c>
      <c r="AS440" t="s">
        <v>307</v>
      </c>
      <c r="AT440" t="s">
        <v>243</v>
      </c>
      <c r="AU440" t="s">
        <v>337</v>
      </c>
      <c r="AV440">
        <v>0</v>
      </c>
    </row>
    <row r="441" spans="40:48" x14ac:dyDescent="0.25">
      <c r="AN441" t="s">
        <v>100</v>
      </c>
      <c r="AO441" t="s">
        <v>60</v>
      </c>
      <c r="AP441">
        <v>2004</v>
      </c>
      <c r="AQ441" t="s">
        <v>31</v>
      </c>
      <c r="AR441" t="s">
        <v>351</v>
      </c>
      <c r="AS441" t="s">
        <v>307</v>
      </c>
      <c r="AT441" t="s">
        <v>243</v>
      </c>
      <c r="AU441" t="s">
        <v>338</v>
      </c>
      <c r="AV441">
        <v>0</v>
      </c>
    </row>
    <row r="442" spans="40:48" x14ac:dyDescent="0.25">
      <c r="AN442" t="s">
        <v>100</v>
      </c>
      <c r="AO442" t="s">
        <v>60</v>
      </c>
      <c r="AP442">
        <v>2004</v>
      </c>
      <c r="AQ442" t="s">
        <v>31</v>
      </c>
      <c r="AR442" t="s">
        <v>351</v>
      </c>
      <c r="AS442" t="s">
        <v>307</v>
      </c>
      <c r="AT442" t="s">
        <v>243</v>
      </c>
      <c r="AU442" t="s">
        <v>349</v>
      </c>
      <c r="AV442">
        <v>22.55</v>
      </c>
    </row>
    <row r="443" spans="40:48" x14ac:dyDescent="0.25">
      <c r="AN443" t="s">
        <v>106</v>
      </c>
      <c r="AO443" t="s">
        <v>60</v>
      </c>
      <c r="AP443">
        <v>2004</v>
      </c>
      <c r="AQ443" t="s">
        <v>31</v>
      </c>
      <c r="AR443" t="s">
        <v>351</v>
      </c>
      <c r="AS443" t="s">
        <v>307</v>
      </c>
      <c r="AT443" t="s">
        <v>218</v>
      </c>
      <c r="AU443" t="s">
        <v>310</v>
      </c>
      <c r="AV443">
        <v>3.8</v>
      </c>
    </row>
    <row r="444" spans="40:48" x14ac:dyDescent="0.25">
      <c r="AN444" t="s">
        <v>106</v>
      </c>
      <c r="AO444" t="s">
        <v>60</v>
      </c>
      <c r="AP444">
        <v>2004</v>
      </c>
      <c r="AQ444" t="s">
        <v>31</v>
      </c>
      <c r="AR444" t="s">
        <v>351</v>
      </c>
      <c r="AS444" t="s">
        <v>307</v>
      </c>
      <c r="AT444" t="s">
        <v>218</v>
      </c>
      <c r="AU444" t="s">
        <v>311</v>
      </c>
      <c r="AV444">
        <v>7.45</v>
      </c>
    </row>
    <row r="445" spans="40:48" x14ac:dyDescent="0.25">
      <c r="AN445" t="s">
        <v>106</v>
      </c>
      <c r="AO445" t="s">
        <v>60</v>
      </c>
      <c r="AP445">
        <v>2004</v>
      </c>
      <c r="AQ445" t="s">
        <v>31</v>
      </c>
      <c r="AR445" t="s">
        <v>351</v>
      </c>
      <c r="AS445" t="s">
        <v>307</v>
      </c>
      <c r="AT445" t="s">
        <v>218</v>
      </c>
      <c r="AU445" t="s">
        <v>268</v>
      </c>
      <c r="AV445">
        <v>11.25</v>
      </c>
    </row>
    <row r="446" spans="40:48" x14ac:dyDescent="0.25">
      <c r="AN446" t="s">
        <v>106</v>
      </c>
      <c r="AO446" t="s">
        <v>60</v>
      </c>
      <c r="AP446">
        <v>2004</v>
      </c>
      <c r="AQ446" t="s">
        <v>31</v>
      </c>
      <c r="AR446" t="s">
        <v>351</v>
      </c>
      <c r="AS446" t="s">
        <v>307</v>
      </c>
      <c r="AT446" t="s">
        <v>238</v>
      </c>
      <c r="AU446" t="s">
        <v>310</v>
      </c>
      <c r="AV446">
        <v>0</v>
      </c>
    </row>
    <row r="447" spans="40:48" x14ac:dyDescent="0.25">
      <c r="AN447" t="s">
        <v>106</v>
      </c>
      <c r="AO447" t="s">
        <v>60</v>
      </c>
      <c r="AP447">
        <v>2004</v>
      </c>
      <c r="AQ447" t="s">
        <v>31</v>
      </c>
      <c r="AR447" t="s">
        <v>351</v>
      </c>
      <c r="AS447" t="s">
        <v>307</v>
      </c>
      <c r="AT447" t="s">
        <v>238</v>
      </c>
      <c r="AU447" t="s">
        <v>311</v>
      </c>
      <c r="AV447">
        <v>0</v>
      </c>
    </row>
    <row r="448" spans="40:48" x14ac:dyDescent="0.25">
      <c r="AN448" t="s">
        <v>106</v>
      </c>
      <c r="AO448" t="s">
        <v>60</v>
      </c>
      <c r="AP448">
        <v>2004</v>
      </c>
      <c r="AQ448" t="s">
        <v>31</v>
      </c>
      <c r="AR448" t="s">
        <v>351</v>
      </c>
      <c r="AS448" t="s">
        <v>307</v>
      </c>
      <c r="AT448" t="s">
        <v>238</v>
      </c>
      <c r="AU448" t="s">
        <v>268</v>
      </c>
      <c r="AV448">
        <v>0</v>
      </c>
    </row>
    <row r="449" spans="40:48" x14ac:dyDescent="0.25">
      <c r="AN449" t="s">
        <v>106</v>
      </c>
      <c r="AO449" t="s">
        <v>60</v>
      </c>
      <c r="AP449">
        <v>2004</v>
      </c>
      <c r="AQ449" t="s">
        <v>31</v>
      </c>
      <c r="AR449" t="s">
        <v>351</v>
      </c>
      <c r="AS449" t="s">
        <v>307</v>
      </c>
      <c r="AT449" t="s">
        <v>239</v>
      </c>
      <c r="AU449" t="s">
        <v>310</v>
      </c>
      <c r="AV449">
        <v>0</v>
      </c>
    </row>
    <row r="450" spans="40:48" x14ac:dyDescent="0.25">
      <c r="AN450" t="s">
        <v>106</v>
      </c>
      <c r="AO450" t="s">
        <v>60</v>
      </c>
      <c r="AP450">
        <v>2004</v>
      </c>
      <c r="AQ450" t="s">
        <v>31</v>
      </c>
      <c r="AR450" t="s">
        <v>351</v>
      </c>
      <c r="AS450" t="s">
        <v>307</v>
      </c>
      <c r="AT450" t="s">
        <v>239</v>
      </c>
      <c r="AU450" t="s">
        <v>311</v>
      </c>
      <c r="AV450">
        <v>0</v>
      </c>
    </row>
    <row r="451" spans="40:48" x14ac:dyDescent="0.25">
      <c r="AN451" t="s">
        <v>106</v>
      </c>
      <c r="AO451" t="s">
        <v>60</v>
      </c>
      <c r="AP451">
        <v>2004</v>
      </c>
      <c r="AQ451" t="s">
        <v>31</v>
      </c>
      <c r="AR451" t="s">
        <v>351</v>
      </c>
      <c r="AS451" t="s">
        <v>307</v>
      </c>
      <c r="AT451" t="s">
        <v>239</v>
      </c>
      <c r="AU451" t="s">
        <v>268</v>
      </c>
      <c r="AV451">
        <v>0</v>
      </c>
    </row>
    <row r="452" spans="40:48" x14ac:dyDescent="0.25">
      <c r="AN452" t="s">
        <v>106</v>
      </c>
      <c r="AO452" t="s">
        <v>60</v>
      </c>
      <c r="AP452">
        <v>2004</v>
      </c>
      <c r="AQ452" t="s">
        <v>31</v>
      </c>
      <c r="AR452" t="s">
        <v>351</v>
      </c>
      <c r="AS452" t="s">
        <v>307</v>
      </c>
      <c r="AT452" t="s">
        <v>240</v>
      </c>
      <c r="AU452" t="s">
        <v>310</v>
      </c>
      <c r="AV452">
        <v>3.2</v>
      </c>
    </row>
    <row r="453" spans="40:48" x14ac:dyDescent="0.25">
      <c r="AN453" t="s">
        <v>106</v>
      </c>
      <c r="AO453" t="s">
        <v>60</v>
      </c>
      <c r="AP453">
        <v>2004</v>
      </c>
      <c r="AQ453" t="s">
        <v>31</v>
      </c>
      <c r="AR453" t="s">
        <v>351</v>
      </c>
      <c r="AS453" t="s">
        <v>307</v>
      </c>
      <c r="AT453" t="s">
        <v>240</v>
      </c>
      <c r="AU453" t="s">
        <v>311</v>
      </c>
      <c r="AV453">
        <v>7.4</v>
      </c>
    </row>
    <row r="454" spans="40:48" x14ac:dyDescent="0.25">
      <c r="AN454" t="s">
        <v>106</v>
      </c>
      <c r="AO454" t="s">
        <v>60</v>
      </c>
      <c r="AP454">
        <v>2004</v>
      </c>
      <c r="AQ454" t="s">
        <v>31</v>
      </c>
      <c r="AR454" t="s">
        <v>351</v>
      </c>
      <c r="AS454" t="s">
        <v>307</v>
      </c>
      <c r="AT454" t="s">
        <v>240</v>
      </c>
      <c r="AU454" t="s">
        <v>268</v>
      </c>
      <c r="AV454">
        <v>10.6</v>
      </c>
    </row>
    <row r="455" spans="40:48" x14ac:dyDescent="0.25">
      <c r="AN455" t="s">
        <v>106</v>
      </c>
      <c r="AO455" t="s">
        <v>60</v>
      </c>
      <c r="AP455">
        <v>2004</v>
      </c>
      <c r="AQ455" t="s">
        <v>31</v>
      </c>
      <c r="AR455" t="s">
        <v>351</v>
      </c>
      <c r="AS455" t="s">
        <v>307</v>
      </c>
      <c r="AT455" t="s">
        <v>316</v>
      </c>
      <c r="AU455" t="s">
        <v>310</v>
      </c>
      <c r="AV455">
        <v>0</v>
      </c>
    </row>
    <row r="456" spans="40:48" x14ac:dyDescent="0.25">
      <c r="AN456" t="s">
        <v>106</v>
      </c>
      <c r="AO456" t="s">
        <v>60</v>
      </c>
      <c r="AP456">
        <v>2004</v>
      </c>
      <c r="AQ456" t="s">
        <v>31</v>
      </c>
      <c r="AR456" t="s">
        <v>351</v>
      </c>
      <c r="AS456" t="s">
        <v>307</v>
      </c>
      <c r="AT456" t="s">
        <v>316</v>
      </c>
      <c r="AU456" t="s">
        <v>311</v>
      </c>
      <c r="AV456">
        <v>0</v>
      </c>
    </row>
    <row r="457" spans="40:48" x14ac:dyDescent="0.25">
      <c r="AN457" t="s">
        <v>106</v>
      </c>
      <c r="AO457" t="s">
        <v>60</v>
      </c>
      <c r="AP457">
        <v>2004</v>
      </c>
      <c r="AQ457" t="s">
        <v>31</v>
      </c>
      <c r="AR457" t="s">
        <v>351</v>
      </c>
      <c r="AS457" t="s">
        <v>307</v>
      </c>
      <c r="AT457" t="s">
        <v>316</v>
      </c>
      <c r="AU457" t="s">
        <v>268</v>
      </c>
      <c r="AV457">
        <v>0</v>
      </c>
    </row>
    <row r="458" spans="40:48" x14ac:dyDescent="0.25">
      <c r="AN458" t="s">
        <v>106</v>
      </c>
      <c r="AO458" t="s">
        <v>60</v>
      </c>
      <c r="AP458">
        <v>2004</v>
      </c>
      <c r="AQ458" t="s">
        <v>31</v>
      </c>
      <c r="AR458" t="s">
        <v>351</v>
      </c>
      <c r="AS458" t="s">
        <v>307</v>
      </c>
      <c r="AT458" t="s">
        <v>242</v>
      </c>
      <c r="AU458" t="s">
        <v>310</v>
      </c>
      <c r="AV458">
        <v>0</v>
      </c>
    </row>
    <row r="459" spans="40:48" x14ac:dyDescent="0.25">
      <c r="AN459" t="s">
        <v>106</v>
      </c>
      <c r="AO459" t="s">
        <v>60</v>
      </c>
      <c r="AP459">
        <v>2004</v>
      </c>
      <c r="AQ459" t="s">
        <v>31</v>
      </c>
      <c r="AR459" t="s">
        <v>351</v>
      </c>
      <c r="AS459" t="s">
        <v>307</v>
      </c>
      <c r="AT459" t="s">
        <v>242</v>
      </c>
      <c r="AU459" t="s">
        <v>311</v>
      </c>
      <c r="AV459">
        <v>0</v>
      </c>
    </row>
    <row r="460" spans="40:48" x14ac:dyDescent="0.25">
      <c r="AN460" t="s">
        <v>106</v>
      </c>
      <c r="AO460" t="s">
        <v>60</v>
      </c>
      <c r="AP460">
        <v>2004</v>
      </c>
      <c r="AQ460" t="s">
        <v>31</v>
      </c>
      <c r="AR460" t="s">
        <v>351</v>
      </c>
      <c r="AS460" t="s">
        <v>307</v>
      </c>
      <c r="AT460" t="s">
        <v>242</v>
      </c>
      <c r="AU460" t="s">
        <v>268</v>
      </c>
      <c r="AV460">
        <v>0</v>
      </c>
    </row>
    <row r="461" spans="40:48" x14ac:dyDescent="0.25">
      <c r="AN461" t="s">
        <v>106</v>
      </c>
      <c r="AO461" t="s">
        <v>60</v>
      </c>
      <c r="AP461">
        <v>2004</v>
      </c>
      <c r="AQ461" t="s">
        <v>31</v>
      </c>
      <c r="AR461" t="s">
        <v>351</v>
      </c>
      <c r="AS461" t="s">
        <v>307</v>
      </c>
      <c r="AT461" t="s">
        <v>243</v>
      </c>
      <c r="AU461" t="s">
        <v>337</v>
      </c>
      <c r="AV461">
        <v>0</v>
      </c>
    </row>
    <row r="462" spans="40:48" x14ac:dyDescent="0.25">
      <c r="AN462" t="s">
        <v>106</v>
      </c>
      <c r="AO462" t="s">
        <v>60</v>
      </c>
      <c r="AP462">
        <v>2004</v>
      </c>
      <c r="AQ462" t="s">
        <v>31</v>
      </c>
      <c r="AR462" t="s">
        <v>351</v>
      </c>
      <c r="AS462" t="s">
        <v>307</v>
      </c>
      <c r="AT462" t="s">
        <v>243</v>
      </c>
      <c r="AU462" t="s">
        <v>338</v>
      </c>
      <c r="AV462">
        <v>0</v>
      </c>
    </row>
    <row r="463" spans="40:48" x14ac:dyDescent="0.25">
      <c r="AN463" t="s">
        <v>106</v>
      </c>
      <c r="AO463" t="s">
        <v>60</v>
      </c>
      <c r="AP463">
        <v>2004</v>
      </c>
      <c r="AQ463" t="s">
        <v>31</v>
      </c>
      <c r="AR463" t="s">
        <v>351</v>
      </c>
      <c r="AS463" t="s">
        <v>307</v>
      </c>
      <c r="AT463" t="s">
        <v>243</v>
      </c>
      <c r="AU463" t="s">
        <v>349</v>
      </c>
      <c r="AV463">
        <v>21.85</v>
      </c>
    </row>
    <row r="464" spans="40:48" x14ac:dyDescent="0.25">
      <c r="AN464" t="s">
        <v>108</v>
      </c>
      <c r="AO464" t="s">
        <v>60</v>
      </c>
      <c r="AP464">
        <v>2000</v>
      </c>
      <c r="AQ464" t="s">
        <v>62</v>
      </c>
      <c r="AR464" t="s">
        <v>351</v>
      </c>
      <c r="AS464" t="s">
        <v>307</v>
      </c>
      <c r="AT464" t="s">
        <v>218</v>
      </c>
      <c r="AU464" t="s">
        <v>310</v>
      </c>
      <c r="AV464">
        <v>3.5</v>
      </c>
    </row>
    <row r="465" spans="40:48" x14ac:dyDescent="0.25">
      <c r="AN465" t="s">
        <v>108</v>
      </c>
      <c r="AO465" t="s">
        <v>60</v>
      </c>
      <c r="AP465">
        <v>2000</v>
      </c>
      <c r="AQ465" t="s">
        <v>62</v>
      </c>
      <c r="AR465" t="s">
        <v>351</v>
      </c>
      <c r="AS465" t="s">
        <v>307</v>
      </c>
      <c r="AT465" t="s">
        <v>218</v>
      </c>
      <c r="AU465" t="s">
        <v>311</v>
      </c>
      <c r="AV465">
        <v>7.45</v>
      </c>
    </row>
    <row r="466" spans="40:48" x14ac:dyDescent="0.25">
      <c r="AN466" t="s">
        <v>108</v>
      </c>
      <c r="AO466" t="s">
        <v>60</v>
      </c>
      <c r="AP466">
        <v>2000</v>
      </c>
      <c r="AQ466" t="s">
        <v>62</v>
      </c>
      <c r="AR466" t="s">
        <v>351</v>
      </c>
      <c r="AS466" t="s">
        <v>307</v>
      </c>
      <c r="AT466" t="s">
        <v>218</v>
      </c>
      <c r="AU466" t="s">
        <v>268</v>
      </c>
      <c r="AV466">
        <v>10.95</v>
      </c>
    </row>
    <row r="467" spans="40:48" x14ac:dyDescent="0.25">
      <c r="AN467" t="s">
        <v>108</v>
      </c>
      <c r="AO467" t="s">
        <v>60</v>
      </c>
      <c r="AP467">
        <v>2000</v>
      </c>
      <c r="AQ467" t="s">
        <v>62</v>
      </c>
      <c r="AR467" t="s">
        <v>351</v>
      </c>
      <c r="AS467" t="s">
        <v>307</v>
      </c>
      <c r="AT467" t="s">
        <v>238</v>
      </c>
      <c r="AU467" t="s">
        <v>310</v>
      </c>
      <c r="AV467">
        <v>0</v>
      </c>
    </row>
    <row r="468" spans="40:48" x14ac:dyDescent="0.25">
      <c r="AN468" t="s">
        <v>108</v>
      </c>
      <c r="AO468" t="s">
        <v>60</v>
      </c>
      <c r="AP468">
        <v>2000</v>
      </c>
      <c r="AQ468" t="s">
        <v>62</v>
      </c>
      <c r="AR468" t="s">
        <v>351</v>
      </c>
      <c r="AS468" t="s">
        <v>307</v>
      </c>
      <c r="AT468" t="s">
        <v>238</v>
      </c>
      <c r="AU468" t="s">
        <v>311</v>
      </c>
      <c r="AV468">
        <v>0</v>
      </c>
    </row>
    <row r="469" spans="40:48" x14ac:dyDescent="0.25">
      <c r="AN469" t="s">
        <v>108</v>
      </c>
      <c r="AO469" t="s">
        <v>60</v>
      </c>
      <c r="AP469">
        <v>2000</v>
      </c>
      <c r="AQ469" t="s">
        <v>62</v>
      </c>
      <c r="AR469" t="s">
        <v>351</v>
      </c>
      <c r="AS469" t="s">
        <v>307</v>
      </c>
      <c r="AT469" t="s">
        <v>238</v>
      </c>
      <c r="AU469" t="s">
        <v>268</v>
      </c>
      <c r="AV469">
        <v>0</v>
      </c>
    </row>
    <row r="470" spans="40:48" x14ac:dyDescent="0.25">
      <c r="AN470" t="s">
        <v>108</v>
      </c>
      <c r="AO470" t="s">
        <v>60</v>
      </c>
      <c r="AP470">
        <v>2000</v>
      </c>
      <c r="AQ470" t="s">
        <v>62</v>
      </c>
      <c r="AR470" t="s">
        <v>351</v>
      </c>
      <c r="AS470" t="s">
        <v>307</v>
      </c>
      <c r="AT470" t="s">
        <v>239</v>
      </c>
      <c r="AU470" t="s">
        <v>310</v>
      </c>
      <c r="AV470">
        <v>2.9</v>
      </c>
    </row>
    <row r="471" spans="40:48" x14ac:dyDescent="0.25">
      <c r="AN471" t="s">
        <v>108</v>
      </c>
      <c r="AO471" t="s">
        <v>60</v>
      </c>
      <c r="AP471">
        <v>2000</v>
      </c>
      <c r="AQ471" t="s">
        <v>62</v>
      </c>
      <c r="AR471" t="s">
        <v>351</v>
      </c>
      <c r="AS471" t="s">
        <v>307</v>
      </c>
      <c r="AT471" t="s">
        <v>239</v>
      </c>
      <c r="AU471" t="s">
        <v>311</v>
      </c>
      <c r="AV471">
        <v>5.75</v>
      </c>
    </row>
    <row r="472" spans="40:48" x14ac:dyDescent="0.25">
      <c r="AN472" t="s">
        <v>108</v>
      </c>
      <c r="AO472" t="s">
        <v>60</v>
      </c>
      <c r="AP472">
        <v>2000</v>
      </c>
      <c r="AQ472" t="s">
        <v>62</v>
      </c>
      <c r="AR472" t="s">
        <v>351</v>
      </c>
      <c r="AS472" t="s">
        <v>307</v>
      </c>
      <c r="AT472" t="s">
        <v>239</v>
      </c>
      <c r="AU472" t="s">
        <v>268</v>
      </c>
      <c r="AV472">
        <v>8.65</v>
      </c>
    </row>
    <row r="473" spans="40:48" x14ac:dyDescent="0.25">
      <c r="AN473" t="s">
        <v>108</v>
      </c>
      <c r="AO473" t="s">
        <v>60</v>
      </c>
      <c r="AP473">
        <v>2000</v>
      </c>
      <c r="AQ473" t="s">
        <v>62</v>
      </c>
      <c r="AR473" t="s">
        <v>351</v>
      </c>
      <c r="AS473" t="s">
        <v>307</v>
      </c>
      <c r="AT473" t="s">
        <v>240</v>
      </c>
      <c r="AU473" t="s">
        <v>310</v>
      </c>
      <c r="AV473">
        <v>0</v>
      </c>
    </row>
    <row r="474" spans="40:48" x14ac:dyDescent="0.25">
      <c r="AN474" t="s">
        <v>108</v>
      </c>
      <c r="AO474" t="s">
        <v>60</v>
      </c>
      <c r="AP474">
        <v>2000</v>
      </c>
      <c r="AQ474" t="s">
        <v>62</v>
      </c>
      <c r="AR474" t="s">
        <v>351</v>
      </c>
      <c r="AS474" t="s">
        <v>307</v>
      </c>
      <c r="AT474" t="s">
        <v>240</v>
      </c>
      <c r="AU474" t="s">
        <v>311</v>
      </c>
      <c r="AV474">
        <v>0</v>
      </c>
    </row>
    <row r="475" spans="40:48" x14ac:dyDescent="0.25">
      <c r="AN475" t="s">
        <v>108</v>
      </c>
      <c r="AO475" t="s">
        <v>60</v>
      </c>
      <c r="AP475">
        <v>2000</v>
      </c>
      <c r="AQ475" t="s">
        <v>62</v>
      </c>
      <c r="AR475" t="s">
        <v>351</v>
      </c>
      <c r="AS475" t="s">
        <v>307</v>
      </c>
      <c r="AT475" t="s">
        <v>240</v>
      </c>
      <c r="AU475" t="s">
        <v>268</v>
      </c>
      <c r="AV475">
        <v>0</v>
      </c>
    </row>
    <row r="476" spans="40:48" x14ac:dyDescent="0.25">
      <c r="AN476" t="s">
        <v>108</v>
      </c>
      <c r="AO476" t="s">
        <v>60</v>
      </c>
      <c r="AP476">
        <v>2000</v>
      </c>
      <c r="AQ476" t="s">
        <v>62</v>
      </c>
      <c r="AR476" t="s">
        <v>351</v>
      </c>
      <c r="AS476" t="s">
        <v>307</v>
      </c>
      <c r="AT476" t="s">
        <v>316</v>
      </c>
      <c r="AU476" t="s">
        <v>310</v>
      </c>
      <c r="AV476">
        <v>0</v>
      </c>
    </row>
    <row r="477" spans="40:48" x14ac:dyDescent="0.25">
      <c r="AN477" t="s">
        <v>108</v>
      </c>
      <c r="AO477" t="s">
        <v>60</v>
      </c>
      <c r="AP477">
        <v>2000</v>
      </c>
      <c r="AQ477" t="s">
        <v>62</v>
      </c>
      <c r="AR477" t="s">
        <v>351</v>
      </c>
      <c r="AS477" t="s">
        <v>307</v>
      </c>
      <c r="AT477" t="s">
        <v>316</v>
      </c>
      <c r="AU477" t="s">
        <v>311</v>
      </c>
      <c r="AV477">
        <v>0</v>
      </c>
    </row>
    <row r="478" spans="40:48" x14ac:dyDescent="0.25">
      <c r="AN478" t="s">
        <v>108</v>
      </c>
      <c r="AO478" t="s">
        <v>60</v>
      </c>
      <c r="AP478">
        <v>2000</v>
      </c>
      <c r="AQ478" t="s">
        <v>62</v>
      </c>
      <c r="AR478" t="s">
        <v>351</v>
      </c>
      <c r="AS478" t="s">
        <v>307</v>
      </c>
      <c r="AT478" t="s">
        <v>316</v>
      </c>
      <c r="AU478" t="s">
        <v>268</v>
      </c>
      <c r="AV478">
        <v>0</v>
      </c>
    </row>
    <row r="479" spans="40:48" x14ac:dyDescent="0.25">
      <c r="AN479" t="s">
        <v>108</v>
      </c>
      <c r="AO479" t="s">
        <v>60</v>
      </c>
      <c r="AP479">
        <v>2000</v>
      </c>
      <c r="AQ479" t="s">
        <v>62</v>
      </c>
      <c r="AR479" t="s">
        <v>351</v>
      </c>
      <c r="AS479" t="s">
        <v>307</v>
      </c>
      <c r="AT479" t="s">
        <v>242</v>
      </c>
      <c r="AU479" t="s">
        <v>310</v>
      </c>
      <c r="AV479">
        <v>0</v>
      </c>
    </row>
    <row r="480" spans="40:48" x14ac:dyDescent="0.25">
      <c r="AN480" t="s">
        <v>108</v>
      </c>
      <c r="AO480" t="s">
        <v>60</v>
      </c>
      <c r="AP480">
        <v>2000</v>
      </c>
      <c r="AQ480" t="s">
        <v>62</v>
      </c>
      <c r="AR480" t="s">
        <v>351</v>
      </c>
      <c r="AS480" t="s">
        <v>307</v>
      </c>
      <c r="AT480" t="s">
        <v>242</v>
      </c>
      <c r="AU480" t="s">
        <v>311</v>
      </c>
      <c r="AV480">
        <v>0</v>
      </c>
    </row>
    <row r="481" spans="40:48" x14ac:dyDescent="0.25">
      <c r="AN481" t="s">
        <v>108</v>
      </c>
      <c r="AO481" t="s">
        <v>60</v>
      </c>
      <c r="AP481">
        <v>2000</v>
      </c>
      <c r="AQ481" t="s">
        <v>62</v>
      </c>
      <c r="AR481" t="s">
        <v>351</v>
      </c>
      <c r="AS481" t="s">
        <v>307</v>
      </c>
      <c r="AT481" t="s">
        <v>242</v>
      </c>
      <c r="AU481" t="s">
        <v>268</v>
      </c>
      <c r="AV481">
        <v>0</v>
      </c>
    </row>
    <row r="482" spans="40:48" x14ac:dyDescent="0.25">
      <c r="AN482" t="s">
        <v>108</v>
      </c>
      <c r="AO482" t="s">
        <v>60</v>
      </c>
      <c r="AP482">
        <v>2000</v>
      </c>
      <c r="AQ482" t="s">
        <v>62</v>
      </c>
      <c r="AR482" t="s">
        <v>351</v>
      </c>
      <c r="AS482" t="s">
        <v>307</v>
      </c>
      <c r="AT482" t="s">
        <v>243</v>
      </c>
      <c r="AU482" t="s">
        <v>337</v>
      </c>
      <c r="AV482">
        <v>0</v>
      </c>
    </row>
    <row r="483" spans="40:48" x14ac:dyDescent="0.25">
      <c r="AN483" t="s">
        <v>108</v>
      </c>
      <c r="AO483" t="s">
        <v>60</v>
      </c>
      <c r="AP483">
        <v>2000</v>
      </c>
      <c r="AQ483" t="s">
        <v>62</v>
      </c>
      <c r="AR483" t="s">
        <v>351</v>
      </c>
      <c r="AS483" t="s">
        <v>307</v>
      </c>
      <c r="AT483" t="s">
        <v>243</v>
      </c>
      <c r="AU483" t="s">
        <v>338</v>
      </c>
      <c r="AV483">
        <v>0</v>
      </c>
    </row>
    <row r="484" spans="40:48" x14ac:dyDescent="0.25">
      <c r="AN484" t="s">
        <v>108</v>
      </c>
      <c r="AO484" t="s">
        <v>60</v>
      </c>
      <c r="AP484">
        <v>2000</v>
      </c>
      <c r="AQ484" t="s">
        <v>62</v>
      </c>
      <c r="AR484" t="s">
        <v>351</v>
      </c>
      <c r="AS484" t="s">
        <v>307</v>
      </c>
      <c r="AT484" t="s">
        <v>243</v>
      </c>
      <c r="AU484" t="s">
        <v>349</v>
      </c>
      <c r="AV484">
        <v>19.600000000000001</v>
      </c>
    </row>
    <row r="485" spans="40:48" x14ac:dyDescent="0.25">
      <c r="AN485" t="s">
        <v>110</v>
      </c>
      <c r="AO485" t="s">
        <v>60</v>
      </c>
      <c r="AP485">
        <v>2004</v>
      </c>
      <c r="AQ485" t="s">
        <v>36</v>
      </c>
      <c r="AR485" t="s">
        <v>351</v>
      </c>
      <c r="AS485" t="s">
        <v>307</v>
      </c>
      <c r="AT485" t="s">
        <v>218</v>
      </c>
      <c r="AU485" t="s">
        <v>310</v>
      </c>
      <c r="AV485">
        <v>0</v>
      </c>
    </row>
    <row r="486" spans="40:48" x14ac:dyDescent="0.25">
      <c r="AN486" t="s">
        <v>110</v>
      </c>
      <c r="AO486" t="s">
        <v>60</v>
      </c>
      <c r="AP486">
        <v>2004</v>
      </c>
      <c r="AQ486" t="s">
        <v>36</v>
      </c>
      <c r="AR486" t="s">
        <v>351</v>
      </c>
      <c r="AS486" t="s">
        <v>307</v>
      </c>
      <c r="AT486" t="s">
        <v>218</v>
      </c>
      <c r="AU486" t="s">
        <v>311</v>
      </c>
      <c r="AV486">
        <v>0</v>
      </c>
    </row>
    <row r="487" spans="40:48" x14ac:dyDescent="0.25">
      <c r="AN487" t="s">
        <v>110</v>
      </c>
      <c r="AO487" t="s">
        <v>60</v>
      </c>
      <c r="AP487">
        <v>2004</v>
      </c>
      <c r="AQ487" t="s">
        <v>36</v>
      </c>
      <c r="AR487" t="s">
        <v>351</v>
      </c>
      <c r="AS487" t="s">
        <v>307</v>
      </c>
      <c r="AT487" t="s">
        <v>218</v>
      </c>
      <c r="AU487" t="s">
        <v>268</v>
      </c>
      <c r="AV487">
        <v>0</v>
      </c>
    </row>
    <row r="488" spans="40:48" x14ac:dyDescent="0.25">
      <c r="AN488" t="s">
        <v>110</v>
      </c>
      <c r="AO488" t="s">
        <v>60</v>
      </c>
      <c r="AP488">
        <v>2004</v>
      </c>
      <c r="AQ488" t="s">
        <v>36</v>
      </c>
      <c r="AR488" t="s">
        <v>351</v>
      </c>
      <c r="AS488" t="s">
        <v>307</v>
      </c>
      <c r="AT488" t="s">
        <v>238</v>
      </c>
      <c r="AU488" t="s">
        <v>310</v>
      </c>
      <c r="AV488">
        <v>3.5</v>
      </c>
    </row>
    <row r="489" spans="40:48" x14ac:dyDescent="0.25">
      <c r="AN489" t="s">
        <v>110</v>
      </c>
      <c r="AO489" t="s">
        <v>60</v>
      </c>
      <c r="AP489">
        <v>2004</v>
      </c>
      <c r="AQ489" t="s">
        <v>36</v>
      </c>
      <c r="AR489" t="s">
        <v>351</v>
      </c>
      <c r="AS489" t="s">
        <v>307</v>
      </c>
      <c r="AT489" t="s">
        <v>238</v>
      </c>
      <c r="AU489" t="s">
        <v>311</v>
      </c>
      <c r="AV489">
        <v>5.6</v>
      </c>
    </row>
    <row r="490" spans="40:48" x14ac:dyDescent="0.25">
      <c r="AN490" t="s">
        <v>110</v>
      </c>
      <c r="AO490" t="s">
        <v>60</v>
      </c>
      <c r="AP490">
        <v>2004</v>
      </c>
      <c r="AQ490" t="s">
        <v>36</v>
      </c>
      <c r="AR490" t="s">
        <v>351</v>
      </c>
      <c r="AS490" t="s">
        <v>307</v>
      </c>
      <c r="AT490" t="s">
        <v>238</v>
      </c>
      <c r="AU490" t="s">
        <v>268</v>
      </c>
      <c r="AV490">
        <v>9.1</v>
      </c>
    </row>
    <row r="491" spans="40:48" x14ac:dyDescent="0.25">
      <c r="AN491" t="s">
        <v>110</v>
      </c>
      <c r="AO491" t="s">
        <v>60</v>
      </c>
      <c r="AP491">
        <v>2004</v>
      </c>
      <c r="AQ491" t="s">
        <v>36</v>
      </c>
      <c r="AR491" t="s">
        <v>351</v>
      </c>
      <c r="AS491" t="s">
        <v>307</v>
      </c>
      <c r="AT491" t="s">
        <v>239</v>
      </c>
      <c r="AU491" t="s">
        <v>310</v>
      </c>
      <c r="AV491">
        <v>0</v>
      </c>
    </row>
    <row r="492" spans="40:48" x14ac:dyDescent="0.25">
      <c r="AN492" t="s">
        <v>110</v>
      </c>
      <c r="AO492" t="s">
        <v>60</v>
      </c>
      <c r="AP492">
        <v>2004</v>
      </c>
      <c r="AQ492" t="s">
        <v>36</v>
      </c>
      <c r="AR492" t="s">
        <v>351</v>
      </c>
      <c r="AS492" t="s">
        <v>307</v>
      </c>
      <c r="AT492" t="s">
        <v>239</v>
      </c>
      <c r="AU492" t="s">
        <v>311</v>
      </c>
      <c r="AV492">
        <v>0</v>
      </c>
    </row>
    <row r="493" spans="40:48" x14ac:dyDescent="0.25">
      <c r="AN493" t="s">
        <v>110</v>
      </c>
      <c r="AO493" t="s">
        <v>60</v>
      </c>
      <c r="AP493">
        <v>2004</v>
      </c>
      <c r="AQ493" t="s">
        <v>36</v>
      </c>
      <c r="AR493" t="s">
        <v>351</v>
      </c>
      <c r="AS493" t="s">
        <v>307</v>
      </c>
      <c r="AT493" t="s">
        <v>239</v>
      </c>
      <c r="AU493" t="s">
        <v>268</v>
      </c>
      <c r="AV493">
        <v>0</v>
      </c>
    </row>
    <row r="494" spans="40:48" x14ac:dyDescent="0.25">
      <c r="AN494" t="s">
        <v>110</v>
      </c>
      <c r="AO494" t="s">
        <v>60</v>
      </c>
      <c r="AP494">
        <v>2004</v>
      </c>
      <c r="AQ494" t="s">
        <v>36</v>
      </c>
      <c r="AR494" t="s">
        <v>351</v>
      </c>
      <c r="AS494" t="s">
        <v>307</v>
      </c>
      <c r="AT494" t="s">
        <v>240</v>
      </c>
      <c r="AU494" t="s">
        <v>310</v>
      </c>
      <c r="AV494">
        <v>0</v>
      </c>
    </row>
    <row r="495" spans="40:48" x14ac:dyDescent="0.25">
      <c r="AN495" t="s">
        <v>110</v>
      </c>
      <c r="AO495" t="s">
        <v>60</v>
      </c>
      <c r="AP495">
        <v>2004</v>
      </c>
      <c r="AQ495" t="s">
        <v>36</v>
      </c>
      <c r="AR495" t="s">
        <v>351</v>
      </c>
      <c r="AS495" t="s">
        <v>307</v>
      </c>
      <c r="AT495" t="s">
        <v>240</v>
      </c>
      <c r="AU495" t="s">
        <v>311</v>
      </c>
      <c r="AV495">
        <v>0</v>
      </c>
    </row>
    <row r="496" spans="40:48" x14ac:dyDescent="0.25">
      <c r="AN496" t="s">
        <v>110</v>
      </c>
      <c r="AO496" t="s">
        <v>60</v>
      </c>
      <c r="AP496">
        <v>2004</v>
      </c>
      <c r="AQ496" t="s">
        <v>36</v>
      </c>
      <c r="AR496" t="s">
        <v>351</v>
      </c>
      <c r="AS496" t="s">
        <v>307</v>
      </c>
      <c r="AT496" t="s">
        <v>240</v>
      </c>
      <c r="AU496" t="s">
        <v>268</v>
      </c>
      <c r="AV496">
        <v>0</v>
      </c>
    </row>
    <row r="497" spans="40:48" x14ac:dyDescent="0.25">
      <c r="AN497" t="s">
        <v>110</v>
      </c>
      <c r="AO497" t="s">
        <v>60</v>
      </c>
      <c r="AP497">
        <v>2004</v>
      </c>
      <c r="AQ497" t="s">
        <v>36</v>
      </c>
      <c r="AR497" t="s">
        <v>351</v>
      </c>
      <c r="AS497" t="s">
        <v>307</v>
      </c>
      <c r="AT497" t="s">
        <v>316</v>
      </c>
      <c r="AU497" t="s">
        <v>310</v>
      </c>
      <c r="AV497">
        <v>0</v>
      </c>
    </row>
    <row r="498" spans="40:48" x14ac:dyDescent="0.25">
      <c r="AN498" t="s">
        <v>110</v>
      </c>
      <c r="AO498" t="s">
        <v>60</v>
      </c>
      <c r="AP498">
        <v>2004</v>
      </c>
      <c r="AQ498" t="s">
        <v>36</v>
      </c>
      <c r="AR498" t="s">
        <v>351</v>
      </c>
      <c r="AS498" t="s">
        <v>307</v>
      </c>
      <c r="AT498" t="s">
        <v>316</v>
      </c>
      <c r="AU498" t="s">
        <v>311</v>
      </c>
      <c r="AV498">
        <v>0</v>
      </c>
    </row>
    <row r="499" spans="40:48" x14ac:dyDescent="0.25">
      <c r="AN499" t="s">
        <v>110</v>
      </c>
      <c r="AO499" t="s">
        <v>60</v>
      </c>
      <c r="AP499">
        <v>2004</v>
      </c>
      <c r="AQ499" t="s">
        <v>36</v>
      </c>
      <c r="AR499" t="s">
        <v>351</v>
      </c>
      <c r="AS499" t="s">
        <v>307</v>
      </c>
      <c r="AT499" t="s">
        <v>316</v>
      </c>
      <c r="AU499" t="s">
        <v>268</v>
      </c>
      <c r="AV499">
        <v>0</v>
      </c>
    </row>
    <row r="500" spans="40:48" x14ac:dyDescent="0.25">
      <c r="AN500" t="s">
        <v>110</v>
      </c>
      <c r="AO500" t="s">
        <v>60</v>
      </c>
      <c r="AP500">
        <v>2004</v>
      </c>
      <c r="AQ500" t="s">
        <v>36</v>
      </c>
      <c r="AR500" t="s">
        <v>351</v>
      </c>
      <c r="AS500" t="s">
        <v>307</v>
      </c>
      <c r="AT500" t="s">
        <v>242</v>
      </c>
      <c r="AU500" t="s">
        <v>310</v>
      </c>
      <c r="AV500">
        <v>0</v>
      </c>
    </row>
    <row r="501" spans="40:48" x14ac:dyDescent="0.25">
      <c r="AN501" t="s">
        <v>110</v>
      </c>
      <c r="AO501" t="s">
        <v>60</v>
      </c>
      <c r="AP501">
        <v>2004</v>
      </c>
      <c r="AQ501" t="s">
        <v>36</v>
      </c>
      <c r="AR501" t="s">
        <v>351</v>
      </c>
      <c r="AS501" t="s">
        <v>307</v>
      </c>
      <c r="AT501" t="s">
        <v>242</v>
      </c>
      <c r="AU501" t="s">
        <v>311</v>
      </c>
      <c r="AV501">
        <v>0</v>
      </c>
    </row>
    <row r="502" spans="40:48" x14ac:dyDescent="0.25">
      <c r="AN502" t="s">
        <v>110</v>
      </c>
      <c r="AO502" t="s">
        <v>60</v>
      </c>
      <c r="AP502">
        <v>2004</v>
      </c>
      <c r="AQ502" t="s">
        <v>36</v>
      </c>
      <c r="AR502" t="s">
        <v>351</v>
      </c>
      <c r="AS502" t="s">
        <v>307</v>
      </c>
      <c r="AT502" t="s">
        <v>242</v>
      </c>
      <c r="AU502" t="s">
        <v>268</v>
      </c>
      <c r="AV502">
        <v>0</v>
      </c>
    </row>
    <row r="503" spans="40:48" x14ac:dyDescent="0.25">
      <c r="AN503" t="s">
        <v>110</v>
      </c>
      <c r="AO503" t="s">
        <v>60</v>
      </c>
      <c r="AP503">
        <v>2004</v>
      </c>
      <c r="AQ503" t="s">
        <v>36</v>
      </c>
      <c r="AR503" t="s">
        <v>351</v>
      </c>
      <c r="AS503" t="s">
        <v>307</v>
      </c>
      <c r="AT503" t="s">
        <v>243</v>
      </c>
      <c r="AU503" t="s">
        <v>337</v>
      </c>
      <c r="AV503">
        <v>0</v>
      </c>
    </row>
    <row r="504" spans="40:48" x14ac:dyDescent="0.25">
      <c r="AN504" t="s">
        <v>110</v>
      </c>
      <c r="AO504" t="s">
        <v>60</v>
      </c>
      <c r="AP504">
        <v>2004</v>
      </c>
      <c r="AQ504" t="s">
        <v>36</v>
      </c>
      <c r="AR504" t="s">
        <v>351</v>
      </c>
      <c r="AS504" t="s">
        <v>307</v>
      </c>
      <c r="AT504" t="s">
        <v>243</v>
      </c>
      <c r="AU504" t="s">
        <v>338</v>
      </c>
      <c r="AV504">
        <v>0</v>
      </c>
    </row>
    <row r="505" spans="40:48" x14ac:dyDescent="0.25">
      <c r="AN505" t="s">
        <v>110</v>
      </c>
      <c r="AO505" t="s">
        <v>60</v>
      </c>
      <c r="AP505">
        <v>2004</v>
      </c>
      <c r="AQ505" t="s">
        <v>36</v>
      </c>
      <c r="AR505" t="s">
        <v>351</v>
      </c>
      <c r="AS505" t="s">
        <v>307</v>
      </c>
      <c r="AT505" t="s">
        <v>243</v>
      </c>
      <c r="AU505" t="s">
        <v>349</v>
      </c>
      <c r="AV505">
        <v>9.1</v>
      </c>
    </row>
    <row r="506" spans="40:48" x14ac:dyDescent="0.25">
      <c r="AN506" t="s">
        <v>25</v>
      </c>
      <c r="AO506" t="s">
        <v>26</v>
      </c>
      <c r="AP506">
        <v>2008</v>
      </c>
      <c r="AQ506" t="s">
        <v>28</v>
      </c>
      <c r="AR506" t="s">
        <v>351</v>
      </c>
      <c r="AS506" t="s">
        <v>306</v>
      </c>
      <c r="AT506" t="s">
        <v>218</v>
      </c>
      <c r="AU506" t="s">
        <v>310</v>
      </c>
      <c r="AV506">
        <v>4</v>
      </c>
    </row>
    <row r="507" spans="40:48" x14ac:dyDescent="0.25">
      <c r="AN507" t="s">
        <v>25</v>
      </c>
      <c r="AO507" t="s">
        <v>26</v>
      </c>
      <c r="AP507">
        <v>2008</v>
      </c>
      <c r="AQ507" t="s">
        <v>28</v>
      </c>
      <c r="AR507" t="s">
        <v>351</v>
      </c>
      <c r="AS507" t="s">
        <v>306</v>
      </c>
      <c r="AT507" t="s">
        <v>218</v>
      </c>
      <c r="AU507" t="s">
        <v>311</v>
      </c>
      <c r="AV507">
        <v>8.4499999999999993</v>
      </c>
    </row>
    <row r="508" spans="40:48" x14ac:dyDescent="0.25">
      <c r="AN508" t="s">
        <v>25</v>
      </c>
      <c r="AO508" t="s">
        <v>26</v>
      </c>
      <c r="AP508">
        <v>2008</v>
      </c>
      <c r="AQ508" t="s">
        <v>28</v>
      </c>
      <c r="AR508" t="s">
        <v>351</v>
      </c>
      <c r="AS508" t="s">
        <v>306</v>
      </c>
      <c r="AT508" t="s">
        <v>218</v>
      </c>
      <c r="AU508" t="s">
        <v>268</v>
      </c>
      <c r="AV508">
        <v>12.45</v>
      </c>
    </row>
    <row r="509" spans="40:48" x14ac:dyDescent="0.25">
      <c r="AN509" t="s">
        <v>25</v>
      </c>
      <c r="AO509" t="s">
        <v>26</v>
      </c>
      <c r="AP509">
        <v>2008</v>
      </c>
      <c r="AQ509" t="s">
        <v>28</v>
      </c>
      <c r="AR509" t="s">
        <v>351</v>
      </c>
      <c r="AS509" t="s">
        <v>306</v>
      </c>
      <c r="AT509" t="s">
        <v>238</v>
      </c>
      <c r="AU509" t="s">
        <v>310</v>
      </c>
      <c r="AV509">
        <v>3.8</v>
      </c>
    </row>
    <row r="510" spans="40:48" x14ac:dyDescent="0.25">
      <c r="AN510" t="s">
        <v>25</v>
      </c>
      <c r="AO510" t="s">
        <v>26</v>
      </c>
      <c r="AP510">
        <v>2008</v>
      </c>
      <c r="AQ510" t="s">
        <v>28</v>
      </c>
      <c r="AR510" t="s">
        <v>351</v>
      </c>
      <c r="AS510" t="s">
        <v>306</v>
      </c>
      <c r="AT510" t="s">
        <v>238</v>
      </c>
      <c r="AU510" t="s">
        <v>311</v>
      </c>
      <c r="AV510">
        <v>8.5500000000000007</v>
      </c>
    </row>
    <row r="511" spans="40:48" x14ac:dyDescent="0.25">
      <c r="AN511" t="s">
        <v>25</v>
      </c>
      <c r="AO511" t="s">
        <v>26</v>
      </c>
      <c r="AP511">
        <v>2008</v>
      </c>
      <c r="AQ511" t="s">
        <v>28</v>
      </c>
      <c r="AR511" t="s">
        <v>351</v>
      </c>
      <c r="AS511" t="s">
        <v>306</v>
      </c>
      <c r="AT511" t="s">
        <v>238</v>
      </c>
      <c r="AU511" t="s">
        <v>268</v>
      </c>
      <c r="AV511">
        <v>12.35</v>
      </c>
    </row>
    <row r="512" spans="40:48" x14ac:dyDescent="0.25">
      <c r="AN512" t="s">
        <v>25</v>
      </c>
      <c r="AO512" t="s">
        <v>26</v>
      </c>
      <c r="AP512">
        <v>2008</v>
      </c>
      <c r="AQ512" t="s">
        <v>28</v>
      </c>
      <c r="AR512" t="s">
        <v>351</v>
      </c>
      <c r="AS512" t="s">
        <v>306</v>
      </c>
      <c r="AT512" t="s">
        <v>239</v>
      </c>
      <c r="AU512" t="s">
        <v>310</v>
      </c>
      <c r="AV512">
        <v>2.8</v>
      </c>
    </row>
    <row r="513" spans="40:48" x14ac:dyDescent="0.25">
      <c r="AN513" t="s">
        <v>25</v>
      </c>
      <c r="AO513" t="s">
        <v>26</v>
      </c>
      <c r="AP513">
        <v>2008</v>
      </c>
      <c r="AQ513" t="s">
        <v>28</v>
      </c>
      <c r="AR513" t="s">
        <v>351</v>
      </c>
      <c r="AS513" t="s">
        <v>306</v>
      </c>
      <c r="AT513" t="s">
        <v>239</v>
      </c>
      <c r="AU513" t="s">
        <v>311</v>
      </c>
      <c r="AV513">
        <v>8.4</v>
      </c>
    </row>
    <row r="514" spans="40:48" x14ac:dyDescent="0.25">
      <c r="AN514" t="s">
        <v>25</v>
      </c>
      <c r="AO514" t="s">
        <v>26</v>
      </c>
      <c r="AP514">
        <v>2008</v>
      </c>
      <c r="AQ514" t="s">
        <v>28</v>
      </c>
      <c r="AR514" t="s">
        <v>351</v>
      </c>
      <c r="AS514" t="s">
        <v>306</v>
      </c>
      <c r="AT514" t="s">
        <v>239</v>
      </c>
      <c r="AU514" t="s">
        <v>268</v>
      </c>
      <c r="AV514">
        <v>11.2</v>
      </c>
    </row>
    <row r="515" spans="40:48" x14ac:dyDescent="0.25">
      <c r="AN515" t="s">
        <v>25</v>
      </c>
      <c r="AO515" t="s">
        <v>26</v>
      </c>
      <c r="AP515">
        <v>2008</v>
      </c>
      <c r="AQ515" t="s">
        <v>28</v>
      </c>
      <c r="AR515" t="s">
        <v>351</v>
      </c>
      <c r="AS515" t="s">
        <v>306</v>
      </c>
      <c r="AT515" t="s">
        <v>240</v>
      </c>
      <c r="AU515" t="s">
        <v>310</v>
      </c>
      <c r="AV515">
        <v>2.2000000000000002</v>
      </c>
    </row>
    <row r="516" spans="40:48" x14ac:dyDescent="0.25">
      <c r="AN516" t="s">
        <v>25</v>
      </c>
      <c r="AO516" t="s">
        <v>26</v>
      </c>
      <c r="AP516">
        <v>2008</v>
      </c>
      <c r="AQ516" t="s">
        <v>28</v>
      </c>
      <c r="AR516" t="s">
        <v>351</v>
      </c>
      <c r="AS516" t="s">
        <v>306</v>
      </c>
      <c r="AT516" t="s">
        <v>240</v>
      </c>
      <c r="AU516" t="s">
        <v>311</v>
      </c>
      <c r="AV516">
        <v>9.0500000000000007</v>
      </c>
    </row>
    <row r="517" spans="40:48" x14ac:dyDescent="0.25">
      <c r="AN517" t="s">
        <v>25</v>
      </c>
      <c r="AO517" t="s">
        <v>26</v>
      </c>
      <c r="AP517">
        <v>2008</v>
      </c>
      <c r="AQ517" t="s">
        <v>28</v>
      </c>
      <c r="AR517" t="s">
        <v>351</v>
      </c>
      <c r="AS517" t="s">
        <v>306</v>
      </c>
      <c r="AT517" t="s">
        <v>240</v>
      </c>
      <c r="AU517" t="s">
        <v>268</v>
      </c>
      <c r="AV517">
        <v>11.25</v>
      </c>
    </row>
    <row r="518" spans="40:48" x14ac:dyDescent="0.25">
      <c r="AN518" t="s">
        <v>25</v>
      </c>
      <c r="AO518" t="s">
        <v>26</v>
      </c>
      <c r="AP518">
        <v>2008</v>
      </c>
      <c r="AQ518" t="s">
        <v>28</v>
      </c>
      <c r="AR518" t="s">
        <v>351</v>
      </c>
      <c r="AS518" t="s">
        <v>306</v>
      </c>
      <c r="AT518" t="s">
        <v>316</v>
      </c>
      <c r="AU518" t="s">
        <v>310</v>
      </c>
      <c r="AV518">
        <v>4.2</v>
      </c>
    </row>
    <row r="519" spans="40:48" x14ac:dyDescent="0.25">
      <c r="AN519" t="s">
        <v>25</v>
      </c>
      <c r="AO519" t="s">
        <v>26</v>
      </c>
      <c r="AP519">
        <v>2008</v>
      </c>
      <c r="AQ519" t="s">
        <v>28</v>
      </c>
      <c r="AR519" t="s">
        <v>351</v>
      </c>
      <c r="AS519" t="s">
        <v>306</v>
      </c>
      <c r="AT519" t="s">
        <v>316</v>
      </c>
      <c r="AU519" t="s">
        <v>311</v>
      </c>
      <c r="AV519">
        <v>8.6</v>
      </c>
    </row>
    <row r="520" spans="40:48" x14ac:dyDescent="0.25">
      <c r="AN520" t="s">
        <v>25</v>
      </c>
      <c r="AO520" t="s">
        <v>26</v>
      </c>
      <c r="AP520">
        <v>2008</v>
      </c>
      <c r="AQ520" t="s">
        <v>28</v>
      </c>
      <c r="AR520" t="s">
        <v>351</v>
      </c>
      <c r="AS520" t="s">
        <v>306</v>
      </c>
      <c r="AT520" t="s">
        <v>316</v>
      </c>
      <c r="AU520" t="s">
        <v>268</v>
      </c>
      <c r="AV520">
        <v>12.8</v>
      </c>
    </row>
    <row r="521" spans="40:48" x14ac:dyDescent="0.25">
      <c r="AN521" t="s">
        <v>25</v>
      </c>
      <c r="AO521" t="s">
        <v>26</v>
      </c>
      <c r="AP521">
        <v>2008</v>
      </c>
      <c r="AQ521" t="s">
        <v>28</v>
      </c>
      <c r="AR521" t="s">
        <v>351</v>
      </c>
      <c r="AS521" t="s">
        <v>306</v>
      </c>
      <c r="AT521" t="s">
        <v>242</v>
      </c>
      <c r="AU521" t="s">
        <v>310</v>
      </c>
      <c r="AV521">
        <v>2.7</v>
      </c>
    </row>
    <row r="522" spans="40:48" x14ac:dyDescent="0.25">
      <c r="AN522" t="s">
        <v>25</v>
      </c>
      <c r="AO522" t="s">
        <v>26</v>
      </c>
      <c r="AP522">
        <v>2008</v>
      </c>
      <c r="AQ522" t="s">
        <v>28</v>
      </c>
      <c r="AR522" t="s">
        <v>351</v>
      </c>
      <c r="AS522" t="s">
        <v>306</v>
      </c>
      <c r="AT522" t="s">
        <v>242</v>
      </c>
      <c r="AU522" t="s">
        <v>311</v>
      </c>
      <c r="AV522">
        <v>9.4499999999999993</v>
      </c>
    </row>
    <row r="523" spans="40:48" x14ac:dyDescent="0.25">
      <c r="AN523" t="s">
        <v>25</v>
      </c>
      <c r="AO523" t="s">
        <v>26</v>
      </c>
      <c r="AP523">
        <v>2008</v>
      </c>
      <c r="AQ523" t="s">
        <v>28</v>
      </c>
      <c r="AR523" t="s">
        <v>351</v>
      </c>
      <c r="AS523" t="s">
        <v>306</v>
      </c>
      <c r="AT523" t="s">
        <v>242</v>
      </c>
      <c r="AU523" t="s">
        <v>268</v>
      </c>
      <c r="AV523">
        <v>12.15</v>
      </c>
    </row>
    <row r="524" spans="40:48" x14ac:dyDescent="0.25">
      <c r="AN524" t="s">
        <v>25</v>
      </c>
      <c r="AO524" t="s">
        <v>26</v>
      </c>
      <c r="AP524">
        <v>2008</v>
      </c>
      <c r="AQ524" t="s">
        <v>28</v>
      </c>
      <c r="AR524" t="s">
        <v>351</v>
      </c>
      <c r="AS524" t="s">
        <v>306</v>
      </c>
      <c r="AT524" t="s">
        <v>243</v>
      </c>
      <c r="AU524" t="s">
        <v>337</v>
      </c>
      <c r="AV524">
        <v>19.7</v>
      </c>
    </row>
    <row r="525" spans="40:48" x14ac:dyDescent="0.25">
      <c r="AN525" t="s">
        <v>25</v>
      </c>
      <c r="AO525" t="s">
        <v>26</v>
      </c>
      <c r="AP525">
        <v>2008</v>
      </c>
      <c r="AQ525" t="s">
        <v>28</v>
      </c>
      <c r="AR525" t="s">
        <v>351</v>
      </c>
      <c r="AS525" t="s">
        <v>306</v>
      </c>
      <c r="AT525" t="s">
        <v>243</v>
      </c>
      <c r="AU525" t="s">
        <v>338</v>
      </c>
      <c r="AV525">
        <v>52.5</v>
      </c>
    </row>
    <row r="526" spans="40:48" x14ac:dyDescent="0.25">
      <c r="AN526" t="s">
        <v>25</v>
      </c>
      <c r="AO526" t="s">
        <v>26</v>
      </c>
      <c r="AP526">
        <v>2008</v>
      </c>
      <c r="AQ526" t="s">
        <v>28</v>
      </c>
      <c r="AR526" t="s">
        <v>351</v>
      </c>
      <c r="AS526" t="s">
        <v>306</v>
      </c>
      <c r="AT526" t="s">
        <v>243</v>
      </c>
      <c r="AU526" t="s">
        <v>349</v>
      </c>
      <c r="AV526">
        <v>72.2</v>
      </c>
    </row>
    <row r="527" spans="40:48" x14ac:dyDescent="0.25">
      <c r="AN527" t="s">
        <v>34</v>
      </c>
      <c r="AO527" t="s">
        <v>26</v>
      </c>
      <c r="AP527">
        <v>2006</v>
      </c>
      <c r="AQ527" t="s">
        <v>36</v>
      </c>
      <c r="AR527" t="s">
        <v>351</v>
      </c>
      <c r="AS527" t="s">
        <v>306</v>
      </c>
      <c r="AT527" t="s">
        <v>218</v>
      </c>
      <c r="AU527" t="s">
        <v>310</v>
      </c>
      <c r="AV527">
        <v>3.6</v>
      </c>
    </row>
    <row r="528" spans="40:48" x14ac:dyDescent="0.25">
      <c r="AN528" t="s">
        <v>34</v>
      </c>
      <c r="AO528" t="s">
        <v>26</v>
      </c>
      <c r="AP528">
        <v>2006</v>
      </c>
      <c r="AQ528" t="s">
        <v>36</v>
      </c>
      <c r="AR528" t="s">
        <v>351</v>
      </c>
      <c r="AS528" t="s">
        <v>306</v>
      </c>
      <c r="AT528" t="s">
        <v>218</v>
      </c>
      <c r="AU528" t="s">
        <v>311</v>
      </c>
      <c r="AV528">
        <v>8.25</v>
      </c>
    </row>
    <row r="529" spans="40:48" x14ac:dyDescent="0.25">
      <c r="AN529" t="s">
        <v>34</v>
      </c>
      <c r="AO529" t="s">
        <v>26</v>
      </c>
      <c r="AP529">
        <v>2006</v>
      </c>
      <c r="AQ529" t="s">
        <v>36</v>
      </c>
      <c r="AR529" t="s">
        <v>351</v>
      </c>
      <c r="AS529" t="s">
        <v>306</v>
      </c>
      <c r="AT529" t="s">
        <v>218</v>
      </c>
      <c r="AU529" t="s">
        <v>268</v>
      </c>
      <c r="AV529">
        <v>11.85</v>
      </c>
    </row>
    <row r="530" spans="40:48" x14ac:dyDescent="0.25">
      <c r="AN530" t="s">
        <v>34</v>
      </c>
      <c r="AO530" t="s">
        <v>26</v>
      </c>
      <c r="AP530">
        <v>2006</v>
      </c>
      <c r="AQ530" t="s">
        <v>36</v>
      </c>
      <c r="AR530" t="s">
        <v>351</v>
      </c>
      <c r="AS530" t="s">
        <v>306</v>
      </c>
      <c r="AT530" t="s">
        <v>238</v>
      </c>
      <c r="AU530" t="s">
        <v>310</v>
      </c>
      <c r="AV530">
        <v>3.6</v>
      </c>
    </row>
    <row r="531" spans="40:48" x14ac:dyDescent="0.25">
      <c r="AN531" t="s">
        <v>34</v>
      </c>
      <c r="AO531" t="s">
        <v>26</v>
      </c>
      <c r="AP531">
        <v>2006</v>
      </c>
      <c r="AQ531" t="s">
        <v>36</v>
      </c>
      <c r="AR531" t="s">
        <v>351</v>
      </c>
      <c r="AS531" t="s">
        <v>306</v>
      </c>
      <c r="AT531" t="s">
        <v>238</v>
      </c>
      <c r="AU531" t="s">
        <v>311</v>
      </c>
      <c r="AV531">
        <v>8.4</v>
      </c>
    </row>
    <row r="532" spans="40:48" x14ac:dyDescent="0.25">
      <c r="AN532" t="s">
        <v>34</v>
      </c>
      <c r="AO532" t="s">
        <v>26</v>
      </c>
      <c r="AP532">
        <v>2006</v>
      </c>
      <c r="AQ532" t="s">
        <v>36</v>
      </c>
      <c r="AR532" t="s">
        <v>351</v>
      </c>
      <c r="AS532" t="s">
        <v>306</v>
      </c>
      <c r="AT532" t="s">
        <v>238</v>
      </c>
      <c r="AU532" t="s">
        <v>268</v>
      </c>
      <c r="AV532">
        <v>12</v>
      </c>
    </row>
    <row r="533" spans="40:48" x14ac:dyDescent="0.25">
      <c r="AN533" t="s">
        <v>34</v>
      </c>
      <c r="AO533" t="s">
        <v>26</v>
      </c>
      <c r="AP533">
        <v>2006</v>
      </c>
      <c r="AQ533" t="s">
        <v>36</v>
      </c>
      <c r="AR533" t="s">
        <v>351</v>
      </c>
      <c r="AS533" t="s">
        <v>306</v>
      </c>
      <c r="AT533" t="s">
        <v>239</v>
      </c>
      <c r="AU533" t="s">
        <v>310</v>
      </c>
      <c r="AV533">
        <v>3.7</v>
      </c>
    </row>
    <row r="534" spans="40:48" x14ac:dyDescent="0.25">
      <c r="AN534" t="s">
        <v>34</v>
      </c>
      <c r="AO534" t="s">
        <v>26</v>
      </c>
      <c r="AP534">
        <v>2006</v>
      </c>
      <c r="AQ534" t="s">
        <v>36</v>
      </c>
      <c r="AR534" t="s">
        <v>351</v>
      </c>
      <c r="AS534" t="s">
        <v>306</v>
      </c>
      <c r="AT534" t="s">
        <v>239</v>
      </c>
      <c r="AU534" t="s">
        <v>311</v>
      </c>
      <c r="AV534">
        <v>7.45</v>
      </c>
    </row>
    <row r="535" spans="40:48" x14ac:dyDescent="0.25">
      <c r="AN535" t="s">
        <v>34</v>
      </c>
      <c r="AO535" t="s">
        <v>26</v>
      </c>
      <c r="AP535">
        <v>2006</v>
      </c>
      <c r="AQ535" t="s">
        <v>36</v>
      </c>
      <c r="AR535" t="s">
        <v>351</v>
      </c>
      <c r="AS535" t="s">
        <v>306</v>
      </c>
      <c r="AT535" t="s">
        <v>239</v>
      </c>
      <c r="AU535" t="s">
        <v>268</v>
      </c>
      <c r="AV535">
        <v>11.15</v>
      </c>
    </row>
    <row r="536" spans="40:48" x14ac:dyDescent="0.25">
      <c r="AN536" t="s">
        <v>34</v>
      </c>
      <c r="AO536" t="s">
        <v>26</v>
      </c>
      <c r="AP536">
        <v>2006</v>
      </c>
      <c r="AQ536" t="s">
        <v>36</v>
      </c>
      <c r="AR536" t="s">
        <v>351</v>
      </c>
      <c r="AS536" t="s">
        <v>306</v>
      </c>
      <c r="AT536" t="s">
        <v>240</v>
      </c>
      <c r="AU536" t="s">
        <v>310</v>
      </c>
      <c r="AV536">
        <v>3.2</v>
      </c>
    </row>
    <row r="537" spans="40:48" x14ac:dyDescent="0.25">
      <c r="AN537" t="s">
        <v>34</v>
      </c>
      <c r="AO537" t="s">
        <v>26</v>
      </c>
      <c r="AP537">
        <v>2006</v>
      </c>
      <c r="AQ537" t="s">
        <v>36</v>
      </c>
      <c r="AR537" t="s">
        <v>351</v>
      </c>
      <c r="AS537" t="s">
        <v>306</v>
      </c>
      <c r="AT537" t="s">
        <v>240</v>
      </c>
      <c r="AU537" t="s">
        <v>311</v>
      </c>
      <c r="AV537">
        <v>8.6999999999999993</v>
      </c>
    </row>
    <row r="538" spans="40:48" x14ac:dyDescent="0.25">
      <c r="AN538" t="s">
        <v>34</v>
      </c>
      <c r="AO538" t="s">
        <v>26</v>
      </c>
      <c r="AP538">
        <v>2006</v>
      </c>
      <c r="AQ538" t="s">
        <v>36</v>
      </c>
      <c r="AR538" t="s">
        <v>351</v>
      </c>
      <c r="AS538" t="s">
        <v>306</v>
      </c>
      <c r="AT538" t="s">
        <v>240</v>
      </c>
      <c r="AU538" t="s">
        <v>268</v>
      </c>
      <c r="AV538">
        <v>11.9</v>
      </c>
    </row>
    <row r="539" spans="40:48" x14ac:dyDescent="0.25">
      <c r="AN539" t="s">
        <v>34</v>
      </c>
      <c r="AO539" t="s">
        <v>26</v>
      </c>
      <c r="AP539">
        <v>2006</v>
      </c>
      <c r="AQ539" t="s">
        <v>36</v>
      </c>
      <c r="AR539" t="s">
        <v>351</v>
      </c>
      <c r="AS539" t="s">
        <v>306</v>
      </c>
      <c r="AT539" t="s">
        <v>316</v>
      </c>
      <c r="AU539" t="s">
        <v>310</v>
      </c>
      <c r="AV539">
        <v>3.7</v>
      </c>
    </row>
    <row r="540" spans="40:48" x14ac:dyDescent="0.25">
      <c r="AN540" t="s">
        <v>34</v>
      </c>
      <c r="AO540" t="s">
        <v>26</v>
      </c>
      <c r="AP540">
        <v>2006</v>
      </c>
      <c r="AQ540" t="s">
        <v>36</v>
      </c>
      <c r="AR540" t="s">
        <v>351</v>
      </c>
      <c r="AS540" t="s">
        <v>306</v>
      </c>
      <c r="AT540" t="s">
        <v>316</v>
      </c>
      <c r="AU540" t="s">
        <v>311</v>
      </c>
      <c r="AV540">
        <v>8</v>
      </c>
    </row>
    <row r="541" spans="40:48" x14ac:dyDescent="0.25">
      <c r="AN541" t="s">
        <v>34</v>
      </c>
      <c r="AO541" t="s">
        <v>26</v>
      </c>
      <c r="AP541">
        <v>2006</v>
      </c>
      <c r="AQ541" t="s">
        <v>36</v>
      </c>
      <c r="AR541" t="s">
        <v>351</v>
      </c>
      <c r="AS541" t="s">
        <v>306</v>
      </c>
      <c r="AT541" t="s">
        <v>316</v>
      </c>
      <c r="AU541" t="s">
        <v>268</v>
      </c>
      <c r="AV541">
        <v>11.7</v>
      </c>
    </row>
    <row r="542" spans="40:48" x14ac:dyDescent="0.25">
      <c r="AN542" t="s">
        <v>34</v>
      </c>
      <c r="AO542" t="s">
        <v>26</v>
      </c>
      <c r="AP542">
        <v>2006</v>
      </c>
      <c r="AQ542" t="s">
        <v>36</v>
      </c>
      <c r="AR542" t="s">
        <v>351</v>
      </c>
      <c r="AS542" t="s">
        <v>306</v>
      </c>
      <c r="AT542" t="s">
        <v>242</v>
      </c>
      <c r="AU542" t="s">
        <v>310</v>
      </c>
      <c r="AV542">
        <v>3.4</v>
      </c>
    </row>
    <row r="543" spans="40:48" x14ac:dyDescent="0.25">
      <c r="AN543" t="s">
        <v>34</v>
      </c>
      <c r="AO543" t="s">
        <v>26</v>
      </c>
      <c r="AP543">
        <v>2006</v>
      </c>
      <c r="AQ543" t="s">
        <v>36</v>
      </c>
      <c r="AR543" t="s">
        <v>351</v>
      </c>
      <c r="AS543" t="s">
        <v>306</v>
      </c>
      <c r="AT543" t="s">
        <v>242</v>
      </c>
      <c r="AU543" t="s">
        <v>311</v>
      </c>
      <c r="AV543">
        <v>8.6</v>
      </c>
    </row>
    <row r="544" spans="40:48" x14ac:dyDescent="0.25">
      <c r="AN544" t="s">
        <v>34</v>
      </c>
      <c r="AO544" t="s">
        <v>26</v>
      </c>
      <c r="AP544">
        <v>2006</v>
      </c>
      <c r="AQ544" t="s">
        <v>36</v>
      </c>
      <c r="AR544" t="s">
        <v>351</v>
      </c>
      <c r="AS544" t="s">
        <v>306</v>
      </c>
      <c r="AT544" t="s">
        <v>242</v>
      </c>
      <c r="AU544" t="s">
        <v>268</v>
      </c>
      <c r="AV544">
        <v>12</v>
      </c>
    </row>
    <row r="545" spans="40:48" x14ac:dyDescent="0.25">
      <c r="AN545" t="s">
        <v>34</v>
      </c>
      <c r="AO545" t="s">
        <v>26</v>
      </c>
      <c r="AP545">
        <v>2006</v>
      </c>
      <c r="AQ545" t="s">
        <v>36</v>
      </c>
      <c r="AR545" t="s">
        <v>351</v>
      </c>
      <c r="AS545" t="s">
        <v>306</v>
      </c>
      <c r="AT545" t="s">
        <v>243</v>
      </c>
      <c r="AU545" t="s">
        <v>337</v>
      </c>
      <c r="AV545">
        <v>21.2</v>
      </c>
    </row>
    <row r="546" spans="40:48" x14ac:dyDescent="0.25">
      <c r="AN546" t="s">
        <v>34</v>
      </c>
      <c r="AO546" t="s">
        <v>26</v>
      </c>
      <c r="AP546">
        <v>2006</v>
      </c>
      <c r="AQ546" t="s">
        <v>36</v>
      </c>
      <c r="AR546" t="s">
        <v>351</v>
      </c>
      <c r="AS546" t="s">
        <v>306</v>
      </c>
      <c r="AT546" t="s">
        <v>243</v>
      </c>
      <c r="AU546" t="s">
        <v>338</v>
      </c>
      <c r="AV546">
        <v>49.4</v>
      </c>
    </row>
    <row r="547" spans="40:48" x14ac:dyDescent="0.25">
      <c r="AN547" t="s">
        <v>34</v>
      </c>
      <c r="AO547" t="s">
        <v>26</v>
      </c>
      <c r="AP547">
        <v>2006</v>
      </c>
      <c r="AQ547" t="s">
        <v>36</v>
      </c>
      <c r="AR547" t="s">
        <v>351</v>
      </c>
      <c r="AS547" t="s">
        <v>306</v>
      </c>
      <c r="AT547" t="s">
        <v>243</v>
      </c>
      <c r="AU547" t="s">
        <v>349</v>
      </c>
      <c r="AV547">
        <v>70.599999999999994</v>
      </c>
    </row>
    <row r="548" spans="40:48" x14ac:dyDescent="0.25">
      <c r="AN548" t="s">
        <v>40</v>
      </c>
      <c r="AO548" t="s">
        <v>26</v>
      </c>
      <c r="AP548">
        <v>2007</v>
      </c>
      <c r="AQ548" t="s">
        <v>39</v>
      </c>
      <c r="AR548" t="s">
        <v>351</v>
      </c>
      <c r="AS548" t="s">
        <v>306</v>
      </c>
      <c r="AT548" t="s">
        <v>218</v>
      </c>
      <c r="AU548" t="s">
        <v>310</v>
      </c>
      <c r="AV548">
        <v>3.4</v>
      </c>
    </row>
    <row r="549" spans="40:48" x14ac:dyDescent="0.25">
      <c r="AN549" t="s">
        <v>40</v>
      </c>
      <c r="AO549" t="s">
        <v>26</v>
      </c>
      <c r="AP549">
        <v>2007</v>
      </c>
      <c r="AQ549" t="s">
        <v>39</v>
      </c>
      <c r="AR549" t="s">
        <v>351</v>
      </c>
      <c r="AS549" t="s">
        <v>306</v>
      </c>
      <c r="AT549" t="s">
        <v>218</v>
      </c>
      <c r="AU549" t="s">
        <v>311</v>
      </c>
      <c r="AV549">
        <v>7.95</v>
      </c>
    </row>
    <row r="550" spans="40:48" x14ac:dyDescent="0.25">
      <c r="AN550" t="s">
        <v>40</v>
      </c>
      <c r="AO550" t="s">
        <v>26</v>
      </c>
      <c r="AP550">
        <v>2007</v>
      </c>
      <c r="AQ550" t="s">
        <v>39</v>
      </c>
      <c r="AR550" t="s">
        <v>351</v>
      </c>
      <c r="AS550" t="s">
        <v>306</v>
      </c>
      <c r="AT550" t="s">
        <v>218</v>
      </c>
      <c r="AU550" t="s">
        <v>268</v>
      </c>
      <c r="AV550">
        <v>11.35</v>
      </c>
    </row>
    <row r="551" spans="40:48" x14ac:dyDescent="0.25">
      <c r="AN551" t="s">
        <v>40</v>
      </c>
      <c r="AO551" t="s">
        <v>26</v>
      </c>
      <c r="AP551">
        <v>2007</v>
      </c>
      <c r="AQ551" t="s">
        <v>39</v>
      </c>
      <c r="AR551" t="s">
        <v>351</v>
      </c>
      <c r="AS551" t="s">
        <v>306</v>
      </c>
      <c r="AT551" t="s">
        <v>238</v>
      </c>
      <c r="AU551" t="s">
        <v>310</v>
      </c>
      <c r="AV551">
        <v>2.9</v>
      </c>
    </row>
    <row r="552" spans="40:48" x14ac:dyDescent="0.25">
      <c r="AN552" t="s">
        <v>40</v>
      </c>
      <c r="AO552" t="s">
        <v>26</v>
      </c>
      <c r="AP552">
        <v>2007</v>
      </c>
      <c r="AQ552" t="s">
        <v>39</v>
      </c>
      <c r="AR552" t="s">
        <v>351</v>
      </c>
      <c r="AS552" t="s">
        <v>306</v>
      </c>
      <c r="AT552" t="s">
        <v>238</v>
      </c>
      <c r="AU552" t="s">
        <v>311</v>
      </c>
      <c r="AV552">
        <v>8.15</v>
      </c>
    </row>
    <row r="553" spans="40:48" x14ac:dyDescent="0.25">
      <c r="AN553" t="s">
        <v>40</v>
      </c>
      <c r="AO553" t="s">
        <v>26</v>
      </c>
      <c r="AP553">
        <v>2007</v>
      </c>
      <c r="AQ553" t="s">
        <v>39</v>
      </c>
      <c r="AR553" t="s">
        <v>351</v>
      </c>
      <c r="AS553" t="s">
        <v>306</v>
      </c>
      <c r="AT553" t="s">
        <v>238</v>
      </c>
      <c r="AU553" t="s">
        <v>268</v>
      </c>
      <c r="AV553">
        <v>11.05</v>
      </c>
    </row>
    <row r="554" spans="40:48" x14ac:dyDescent="0.25">
      <c r="AN554" t="s">
        <v>40</v>
      </c>
      <c r="AO554" t="s">
        <v>26</v>
      </c>
      <c r="AP554">
        <v>2007</v>
      </c>
      <c r="AQ554" t="s">
        <v>39</v>
      </c>
      <c r="AR554" t="s">
        <v>351</v>
      </c>
      <c r="AS554" t="s">
        <v>306</v>
      </c>
      <c r="AT554" t="s">
        <v>239</v>
      </c>
      <c r="AU554" t="s">
        <v>310</v>
      </c>
      <c r="AV554">
        <v>3.4</v>
      </c>
    </row>
    <row r="555" spans="40:48" x14ac:dyDescent="0.25">
      <c r="AN555" t="s">
        <v>40</v>
      </c>
      <c r="AO555" t="s">
        <v>26</v>
      </c>
      <c r="AP555">
        <v>2007</v>
      </c>
      <c r="AQ555" t="s">
        <v>39</v>
      </c>
      <c r="AR555" t="s">
        <v>351</v>
      </c>
      <c r="AS555" t="s">
        <v>306</v>
      </c>
      <c r="AT555" t="s">
        <v>239</v>
      </c>
      <c r="AU555" t="s">
        <v>311</v>
      </c>
      <c r="AV555">
        <v>7.9</v>
      </c>
    </row>
    <row r="556" spans="40:48" x14ac:dyDescent="0.25">
      <c r="AN556" t="s">
        <v>40</v>
      </c>
      <c r="AO556" t="s">
        <v>26</v>
      </c>
      <c r="AP556">
        <v>2007</v>
      </c>
      <c r="AQ556" t="s">
        <v>39</v>
      </c>
      <c r="AR556" t="s">
        <v>351</v>
      </c>
      <c r="AS556" t="s">
        <v>306</v>
      </c>
      <c r="AT556" t="s">
        <v>239</v>
      </c>
      <c r="AU556" t="s">
        <v>268</v>
      </c>
      <c r="AV556">
        <v>11.3</v>
      </c>
    </row>
    <row r="557" spans="40:48" x14ac:dyDescent="0.25">
      <c r="AN557" t="s">
        <v>40</v>
      </c>
      <c r="AO557" t="s">
        <v>26</v>
      </c>
      <c r="AP557">
        <v>2007</v>
      </c>
      <c r="AQ557" t="s">
        <v>39</v>
      </c>
      <c r="AR557" t="s">
        <v>351</v>
      </c>
      <c r="AS557" t="s">
        <v>306</v>
      </c>
      <c r="AT557" t="s">
        <v>240</v>
      </c>
      <c r="AU557" t="s">
        <v>310</v>
      </c>
      <c r="AV557">
        <v>4</v>
      </c>
    </row>
    <row r="558" spans="40:48" x14ac:dyDescent="0.25">
      <c r="AN558" t="s">
        <v>40</v>
      </c>
      <c r="AO558" t="s">
        <v>26</v>
      </c>
      <c r="AP558">
        <v>2007</v>
      </c>
      <c r="AQ558" t="s">
        <v>39</v>
      </c>
      <c r="AR558" t="s">
        <v>351</v>
      </c>
      <c r="AS558" t="s">
        <v>306</v>
      </c>
      <c r="AT558" t="s">
        <v>240</v>
      </c>
      <c r="AU558" t="s">
        <v>311</v>
      </c>
      <c r="AV558">
        <v>8.8000000000000007</v>
      </c>
    </row>
    <row r="559" spans="40:48" x14ac:dyDescent="0.25">
      <c r="AN559" t="s">
        <v>40</v>
      </c>
      <c r="AO559" t="s">
        <v>26</v>
      </c>
      <c r="AP559">
        <v>2007</v>
      </c>
      <c r="AQ559" t="s">
        <v>39</v>
      </c>
      <c r="AR559" t="s">
        <v>351</v>
      </c>
      <c r="AS559" t="s">
        <v>306</v>
      </c>
      <c r="AT559" t="s">
        <v>240</v>
      </c>
      <c r="AU559" t="s">
        <v>268</v>
      </c>
      <c r="AV559">
        <v>12.8</v>
      </c>
    </row>
    <row r="560" spans="40:48" x14ac:dyDescent="0.25">
      <c r="AN560" t="s">
        <v>40</v>
      </c>
      <c r="AO560" t="s">
        <v>26</v>
      </c>
      <c r="AP560">
        <v>2007</v>
      </c>
      <c r="AQ560" t="s">
        <v>39</v>
      </c>
      <c r="AR560" t="s">
        <v>351</v>
      </c>
      <c r="AS560" t="s">
        <v>306</v>
      </c>
      <c r="AT560" t="s">
        <v>316</v>
      </c>
      <c r="AU560" t="s">
        <v>310</v>
      </c>
      <c r="AV560">
        <v>3</v>
      </c>
    </row>
    <row r="561" spans="40:48" x14ac:dyDescent="0.25">
      <c r="AN561" t="s">
        <v>40</v>
      </c>
      <c r="AO561" t="s">
        <v>26</v>
      </c>
      <c r="AP561">
        <v>2007</v>
      </c>
      <c r="AQ561" t="s">
        <v>39</v>
      </c>
      <c r="AR561" t="s">
        <v>351</v>
      </c>
      <c r="AS561" t="s">
        <v>306</v>
      </c>
      <c r="AT561" t="s">
        <v>316</v>
      </c>
      <c r="AU561" t="s">
        <v>311</v>
      </c>
      <c r="AV561">
        <v>8.1</v>
      </c>
    </row>
    <row r="562" spans="40:48" x14ac:dyDescent="0.25">
      <c r="AN562" t="s">
        <v>40</v>
      </c>
      <c r="AO562" t="s">
        <v>26</v>
      </c>
      <c r="AP562">
        <v>2007</v>
      </c>
      <c r="AQ562" t="s">
        <v>39</v>
      </c>
      <c r="AR562" t="s">
        <v>351</v>
      </c>
      <c r="AS562" t="s">
        <v>306</v>
      </c>
      <c r="AT562" t="s">
        <v>316</v>
      </c>
      <c r="AU562" t="s">
        <v>268</v>
      </c>
      <c r="AV562">
        <v>11.1</v>
      </c>
    </row>
    <row r="563" spans="40:48" x14ac:dyDescent="0.25">
      <c r="AN563" t="s">
        <v>40</v>
      </c>
      <c r="AO563" t="s">
        <v>26</v>
      </c>
      <c r="AP563">
        <v>2007</v>
      </c>
      <c r="AQ563" t="s">
        <v>39</v>
      </c>
      <c r="AR563" t="s">
        <v>351</v>
      </c>
      <c r="AS563" t="s">
        <v>306</v>
      </c>
      <c r="AT563" t="s">
        <v>242</v>
      </c>
      <c r="AU563" t="s">
        <v>310</v>
      </c>
      <c r="AV563">
        <v>2.6</v>
      </c>
    </row>
    <row r="564" spans="40:48" x14ac:dyDescent="0.25">
      <c r="AN564" t="s">
        <v>40</v>
      </c>
      <c r="AO564" t="s">
        <v>26</v>
      </c>
      <c r="AP564">
        <v>2007</v>
      </c>
      <c r="AQ564" t="s">
        <v>39</v>
      </c>
      <c r="AR564" t="s">
        <v>351</v>
      </c>
      <c r="AS564" t="s">
        <v>306</v>
      </c>
      <c r="AT564" t="s">
        <v>242</v>
      </c>
      <c r="AU564" t="s">
        <v>311</v>
      </c>
      <c r="AV564">
        <v>7.65</v>
      </c>
    </row>
    <row r="565" spans="40:48" x14ac:dyDescent="0.25">
      <c r="AN565" t="s">
        <v>40</v>
      </c>
      <c r="AO565" t="s">
        <v>26</v>
      </c>
      <c r="AP565">
        <v>2007</v>
      </c>
      <c r="AQ565" t="s">
        <v>39</v>
      </c>
      <c r="AR565" t="s">
        <v>351</v>
      </c>
      <c r="AS565" t="s">
        <v>306</v>
      </c>
      <c r="AT565" t="s">
        <v>242</v>
      </c>
      <c r="AU565" t="s">
        <v>268</v>
      </c>
      <c r="AV565">
        <v>10.25</v>
      </c>
    </row>
    <row r="566" spans="40:48" x14ac:dyDescent="0.25">
      <c r="AN566" t="s">
        <v>40</v>
      </c>
      <c r="AO566" t="s">
        <v>26</v>
      </c>
      <c r="AP566">
        <v>2007</v>
      </c>
      <c r="AQ566" t="s">
        <v>39</v>
      </c>
      <c r="AR566" t="s">
        <v>351</v>
      </c>
      <c r="AS566" t="s">
        <v>306</v>
      </c>
      <c r="AT566" t="s">
        <v>243</v>
      </c>
      <c r="AU566" t="s">
        <v>337</v>
      </c>
      <c r="AV566">
        <v>19.3</v>
      </c>
    </row>
    <row r="567" spans="40:48" x14ac:dyDescent="0.25">
      <c r="AN567" t="s">
        <v>40</v>
      </c>
      <c r="AO567" t="s">
        <v>26</v>
      </c>
      <c r="AP567">
        <v>2007</v>
      </c>
      <c r="AQ567" t="s">
        <v>39</v>
      </c>
      <c r="AR567" t="s">
        <v>351</v>
      </c>
      <c r="AS567" t="s">
        <v>306</v>
      </c>
      <c r="AT567" t="s">
        <v>243</v>
      </c>
      <c r="AU567" t="s">
        <v>338</v>
      </c>
      <c r="AV567">
        <v>48.55</v>
      </c>
    </row>
    <row r="568" spans="40:48" x14ac:dyDescent="0.25">
      <c r="AN568" t="s">
        <v>40</v>
      </c>
      <c r="AO568" t="s">
        <v>26</v>
      </c>
      <c r="AP568">
        <v>2007</v>
      </c>
      <c r="AQ568" t="s">
        <v>39</v>
      </c>
      <c r="AR568" t="s">
        <v>351</v>
      </c>
      <c r="AS568" t="s">
        <v>306</v>
      </c>
      <c r="AT568" t="s">
        <v>243</v>
      </c>
      <c r="AU568" t="s">
        <v>349</v>
      </c>
      <c r="AV568">
        <v>67.849999999999994</v>
      </c>
    </row>
    <row r="569" spans="40:48" x14ac:dyDescent="0.25">
      <c r="AN569" t="s">
        <v>32</v>
      </c>
      <c r="AO569" t="s">
        <v>26</v>
      </c>
      <c r="AP569">
        <v>2005</v>
      </c>
      <c r="AQ569" t="s">
        <v>31</v>
      </c>
      <c r="AR569" t="s">
        <v>351</v>
      </c>
      <c r="AS569" t="s">
        <v>306</v>
      </c>
      <c r="AT569" t="s">
        <v>218</v>
      </c>
      <c r="AU569" t="s">
        <v>310</v>
      </c>
      <c r="AV569">
        <v>4.2</v>
      </c>
    </row>
    <row r="570" spans="40:48" x14ac:dyDescent="0.25">
      <c r="AN570" t="s">
        <v>32</v>
      </c>
      <c r="AO570" t="s">
        <v>26</v>
      </c>
      <c r="AP570">
        <v>2005</v>
      </c>
      <c r="AQ570" t="s">
        <v>31</v>
      </c>
      <c r="AR570" t="s">
        <v>351</v>
      </c>
      <c r="AS570" t="s">
        <v>306</v>
      </c>
      <c r="AT570" t="s">
        <v>218</v>
      </c>
      <c r="AU570" t="s">
        <v>311</v>
      </c>
      <c r="AV570">
        <v>8.3000000000000007</v>
      </c>
    </row>
    <row r="571" spans="40:48" x14ac:dyDescent="0.25">
      <c r="AN571" t="s">
        <v>32</v>
      </c>
      <c r="AO571" t="s">
        <v>26</v>
      </c>
      <c r="AP571">
        <v>2005</v>
      </c>
      <c r="AQ571" t="s">
        <v>31</v>
      </c>
      <c r="AR571" t="s">
        <v>351</v>
      </c>
      <c r="AS571" t="s">
        <v>306</v>
      </c>
      <c r="AT571" t="s">
        <v>218</v>
      </c>
      <c r="AU571" t="s">
        <v>268</v>
      </c>
      <c r="AV571">
        <v>12.5</v>
      </c>
    </row>
    <row r="572" spans="40:48" x14ac:dyDescent="0.25">
      <c r="AN572" t="s">
        <v>32</v>
      </c>
      <c r="AO572" t="s">
        <v>26</v>
      </c>
      <c r="AP572">
        <v>2005</v>
      </c>
      <c r="AQ572" t="s">
        <v>31</v>
      </c>
      <c r="AR572" t="s">
        <v>351</v>
      </c>
      <c r="AS572" t="s">
        <v>306</v>
      </c>
      <c r="AT572" t="s">
        <v>238</v>
      </c>
      <c r="AU572" t="s">
        <v>310</v>
      </c>
      <c r="AV572">
        <v>3.4</v>
      </c>
    </row>
    <row r="573" spans="40:48" x14ac:dyDescent="0.25">
      <c r="AN573" t="s">
        <v>32</v>
      </c>
      <c r="AO573" t="s">
        <v>26</v>
      </c>
      <c r="AP573">
        <v>2005</v>
      </c>
      <c r="AQ573" t="s">
        <v>31</v>
      </c>
      <c r="AR573" t="s">
        <v>351</v>
      </c>
      <c r="AS573" t="s">
        <v>306</v>
      </c>
      <c r="AT573" t="s">
        <v>238</v>
      </c>
      <c r="AU573" t="s">
        <v>311</v>
      </c>
      <c r="AV573">
        <v>7.95</v>
      </c>
    </row>
    <row r="574" spans="40:48" x14ac:dyDescent="0.25">
      <c r="AN574" t="s">
        <v>32</v>
      </c>
      <c r="AO574" t="s">
        <v>26</v>
      </c>
      <c r="AP574">
        <v>2005</v>
      </c>
      <c r="AQ574" t="s">
        <v>31</v>
      </c>
      <c r="AR574" t="s">
        <v>351</v>
      </c>
      <c r="AS574" t="s">
        <v>306</v>
      </c>
      <c r="AT574" t="s">
        <v>238</v>
      </c>
      <c r="AU574" t="s">
        <v>268</v>
      </c>
      <c r="AV574">
        <v>11.35</v>
      </c>
    </row>
    <row r="575" spans="40:48" x14ac:dyDescent="0.25">
      <c r="AN575" t="s">
        <v>32</v>
      </c>
      <c r="AO575" t="s">
        <v>26</v>
      </c>
      <c r="AP575">
        <v>2005</v>
      </c>
      <c r="AQ575" t="s">
        <v>31</v>
      </c>
      <c r="AR575" t="s">
        <v>351</v>
      </c>
      <c r="AS575" t="s">
        <v>306</v>
      </c>
      <c r="AT575" t="s">
        <v>239</v>
      </c>
      <c r="AU575" t="s">
        <v>310</v>
      </c>
      <c r="AV575">
        <v>3.3</v>
      </c>
    </row>
    <row r="576" spans="40:48" x14ac:dyDescent="0.25">
      <c r="AN576" t="s">
        <v>32</v>
      </c>
      <c r="AO576" t="s">
        <v>26</v>
      </c>
      <c r="AP576">
        <v>2005</v>
      </c>
      <c r="AQ576" t="s">
        <v>31</v>
      </c>
      <c r="AR576" t="s">
        <v>351</v>
      </c>
      <c r="AS576" t="s">
        <v>306</v>
      </c>
      <c r="AT576" t="s">
        <v>239</v>
      </c>
      <c r="AU576" t="s">
        <v>311</v>
      </c>
      <c r="AV576">
        <v>6.95</v>
      </c>
    </row>
    <row r="577" spans="40:48" x14ac:dyDescent="0.25">
      <c r="AN577" t="s">
        <v>32</v>
      </c>
      <c r="AO577" t="s">
        <v>26</v>
      </c>
      <c r="AP577">
        <v>2005</v>
      </c>
      <c r="AQ577" t="s">
        <v>31</v>
      </c>
      <c r="AR577" t="s">
        <v>351</v>
      </c>
      <c r="AS577" t="s">
        <v>306</v>
      </c>
      <c r="AT577" t="s">
        <v>239</v>
      </c>
      <c r="AU577" t="s">
        <v>268</v>
      </c>
      <c r="AV577">
        <v>10.25</v>
      </c>
    </row>
    <row r="578" spans="40:48" x14ac:dyDescent="0.25">
      <c r="AN578" t="s">
        <v>32</v>
      </c>
      <c r="AO578" t="s">
        <v>26</v>
      </c>
      <c r="AP578">
        <v>2005</v>
      </c>
      <c r="AQ578" t="s">
        <v>31</v>
      </c>
      <c r="AR578" t="s">
        <v>351</v>
      </c>
      <c r="AS578" t="s">
        <v>306</v>
      </c>
      <c r="AT578" t="s">
        <v>240</v>
      </c>
      <c r="AU578" t="s">
        <v>310</v>
      </c>
      <c r="AV578">
        <v>3.2</v>
      </c>
    </row>
    <row r="579" spans="40:48" x14ac:dyDescent="0.25">
      <c r="AN579" t="s">
        <v>32</v>
      </c>
      <c r="AO579" t="s">
        <v>26</v>
      </c>
      <c r="AP579">
        <v>2005</v>
      </c>
      <c r="AQ579" t="s">
        <v>31</v>
      </c>
      <c r="AR579" t="s">
        <v>351</v>
      </c>
      <c r="AS579" t="s">
        <v>306</v>
      </c>
      <c r="AT579" t="s">
        <v>240</v>
      </c>
      <c r="AU579" t="s">
        <v>311</v>
      </c>
      <c r="AV579">
        <v>9.1999999999999993</v>
      </c>
    </row>
    <row r="580" spans="40:48" x14ac:dyDescent="0.25">
      <c r="AN580" t="s">
        <v>32</v>
      </c>
      <c r="AO580" t="s">
        <v>26</v>
      </c>
      <c r="AP580">
        <v>2005</v>
      </c>
      <c r="AQ580" t="s">
        <v>31</v>
      </c>
      <c r="AR580" t="s">
        <v>351</v>
      </c>
      <c r="AS580" t="s">
        <v>306</v>
      </c>
      <c r="AT580" t="s">
        <v>240</v>
      </c>
      <c r="AU580" t="s">
        <v>268</v>
      </c>
      <c r="AV580">
        <v>12.4</v>
      </c>
    </row>
    <row r="581" spans="40:48" x14ac:dyDescent="0.25">
      <c r="AN581" t="s">
        <v>32</v>
      </c>
      <c r="AO581" t="s">
        <v>26</v>
      </c>
      <c r="AP581">
        <v>2005</v>
      </c>
      <c r="AQ581" t="s">
        <v>31</v>
      </c>
      <c r="AR581" t="s">
        <v>351</v>
      </c>
      <c r="AS581" t="s">
        <v>306</v>
      </c>
      <c r="AT581" t="s">
        <v>316</v>
      </c>
      <c r="AU581" t="s">
        <v>310</v>
      </c>
      <c r="AV581">
        <v>3.2</v>
      </c>
    </row>
    <row r="582" spans="40:48" x14ac:dyDescent="0.25">
      <c r="AN582" t="s">
        <v>32</v>
      </c>
      <c r="AO582" t="s">
        <v>26</v>
      </c>
      <c r="AP582">
        <v>2005</v>
      </c>
      <c r="AQ582" t="s">
        <v>31</v>
      </c>
      <c r="AR582" t="s">
        <v>351</v>
      </c>
      <c r="AS582" t="s">
        <v>306</v>
      </c>
      <c r="AT582" t="s">
        <v>316</v>
      </c>
      <c r="AU582" t="s">
        <v>311</v>
      </c>
      <c r="AV582">
        <v>8.8000000000000007</v>
      </c>
    </row>
    <row r="583" spans="40:48" x14ac:dyDescent="0.25">
      <c r="AN583" t="s">
        <v>32</v>
      </c>
      <c r="AO583" t="s">
        <v>26</v>
      </c>
      <c r="AP583">
        <v>2005</v>
      </c>
      <c r="AQ583" t="s">
        <v>31</v>
      </c>
      <c r="AR583" t="s">
        <v>351</v>
      </c>
      <c r="AS583" t="s">
        <v>306</v>
      </c>
      <c r="AT583" t="s">
        <v>316</v>
      </c>
      <c r="AU583" t="s">
        <v>268</v>
      </c>
      <c r="AV583">
        <v>12</v>
      </c>
    </row>
    <row r="584" spans="40:48" x14ac:dyDescent="0.25">
      <c r="AN584" t="s">
        <v>32</v>
      </c>
      <c r="AO584" t="s">
        <v>26</v>
      </c>
      <c r="AP584">
        <v>2005</v>
      </c>
      <c r="AQ584" t="s">
        <v>31</v>
      </c>
      <c r="AR584" t="s">
        <v>351</v>
      </c>
      <c r="AS584" t="s">
        <v>306</v>
      </c>
      <c r="AT584" t="s">
        <v>242</v>
      </c>
      <c r="AU584" t="s">
        <v>310</v>
      </c>
      <c r="AV584">
        <v>3.1</v>
      </c>
    </row>
    <row r="585" spans="40:48" x14ac:dyDescent="0.25">
      <c r="AN585" t="s">
        <v>32</v>
      </c>
      <c r="AO585" t="s">
        <v>26</v>
      </c>
      <c r="AP585">
        <v>2005</v>
      </c>
      <c r="AQ585" t="s">
        <v>31</v>
      </c>
      <c r="AR585" t="s">
        <v>351</v>
      </c>
      <c r="AS585" t="s">
        <v>306</v>
      </c>
      <c r="AT585" t="s">
        <v>242</v>
      </c>
      <c r="AU585" t="s">
        <v>311</v>
      </c>
      <c r="AV585">
        <v>4.7</v>
      </c>
    </row>
    <row r="586" spans="40:48" x14ac:dyDescent="0.25">
      <c r="AN586" t="s">
        <v>32</v>
      </c>
      <c r="AO586" t="s">
        <v>26</v>
      </c>
      <c r="AP586">
        <v>2005</v>
      </c>
      <c r="AQ586" t="s">
        <v>31</v>
      </c>
      <c r="AR586" t="s">
        <v>351</v>
      </c>
      <c r="AS586" t="s">
        <v>306</v>
      </c>
      <c r="AT586" t="s">
        <v>242</v>
      </c>
      <c r="AU586" t="s">
        <v>268</v>
      </c>
      <c r="AV586">
        <v>7.8</v>
      </c>
    </row>
    <row r="587" spans="40:48" x14ac:dyDescent="0.25">
      <c r="AN587" t="s">
        <v>32</v>
      </c>
      <c r="AO587" t="s">
        <v>26</v>
      </c>
      <c r="AP587">
        <v>2005</v>
      </c>
      <c r="AQ587" t="s">
        <v>31</v>
      </c>
      <c r="AR587" t="s">
        <v>351</v>
      </c>
      <c r="AS587" t="s">
        <v>306</v>
      </c>
      <c r="AT587" t="s">
        <v>243</v>
      </c>
      <c r="AU587" t="s">
        <v>337</v>
      </c>
      <c r="AV587">
        <v>20.399999999999999</v>
      </c>
    </row>
    <row r="588" spans="40:48" x14ac:dyDescent="0.25">
      <c r="AN588" t="s">
        <v>32</v>
      </c>
      <c r="AO588" t="s">
        <v>26</v>
      </c>
      <c r="AP588">
        <v>2005</v>
      </c>
      <c r="AQ588" t="s">
        <v>31</v>
      </c>
      <c r="AR588" t="s">
        <v>351</v>
      </c>
      <c r="AS588" t="s">
        <v>306</v>
      </c>
      <c r="AT588" t="s">
        <v>243</v>
      </c>
      <c r="AU588" t="s">
        <v>338</v>
      </c>
      <c r="AV588">
        <v>45.900000000000006</v>
      </c>
    </row>
    <row r="589" spans="40:48" x14ac:dyDescent="0.25">
      <c r="AN589" t="s">
        <v>32</v>
      </c>
      <c r="AO589" t="s">
        <v>26</v>
      </c>
      <c r="AP589">
        <v>2005</v>
      </c>
      <c r="AQ589" t="s">
        <v>31</v>
      </c>
      <c r="AR589" t="s">
        <v>351</v>
      </c>
      <c r="AS589" t="s">
        <v>306</v>
      </c>
      <c r="AT589" t="s">
        <v>243</v>
      </c>
      <c r="AU589" t="s">
        <v>349</v>
      </c>
      <c r="AV589">
        <v>66.3</v>
      </c>
    </row>
    <row r="590" spans="40:48" x14ac:dyDescent="0.25">
      <c r="AN590" t="s">
        <v>44</v>
      </c>
      <c r="AO590" t="s">
        <v>26</v>
      </c>
      <c r="AP590">
        <v>2007</v>
      </c>
      <c r="AQ590" t="s">
        <v>39</v>
      </c>
      <c r="AR590" t="s">
        <v>351</v>
      </c>
      <c r="AS590" t="s">
        <v>306</v>
      </c>
      <c r="AT590" t="s">
        <v>218</v>
      </c>
      <c r="AU590" t="s">
        <v>310</v>
      </c>
      <c r="AV590">
        <v>3.4</v>
      </c>
    </row>
    <row r="591" spans="40:48" x14ac:dyDescent="0.25">
      <c r="AN591" t="s">
        <v>44</v>
      </c>
      <c r="AO591" t="s">
        <v>26</v>
      </c>
      <c r="AP591">
        <v>2007</v>
      </c>
      <c r="AQ591" t="s">
        <v>39</v>
      </c>
      <c r="AR591" t="s">
        <v>351</v>
      </c>
      <c r="AS591" t="s">
        <v>306</v>
      </c>
      <c r="AT591" t="s">
        <v>218</v>
      </c>
      <c r="AU591" t="s">
        <v>311</v>
      </c>
      <c r="AV591">
        <v>8.0500000000000007</v>
      </c>
    </row>
    <row r="592" spans="40:48" x14ac:dyDescent="0.25">
      <c r="AN592" t="s">
        <v>44</v>
      </c>
      <c r="AO592" t="s">
        <v>26</v>
      </c>
      <c r="AP592">
        <v>2007</v>
      </c>
      <c r="AQ592" t="s">
        <v>39</v>
      </c>
      <c r="AR592" t="s">
        <v>351</v>
      </c>
      <c r="AS592" t="s">
        <v>306</v>
      </c>
      <c r="AT592" t="s">
        <v>218</v>
      </c>
      <c r="AU592" t="s">
        <v>268</v>
      </c>
      <c r="AV592">
        <v>11.45</v>
      </c>
    </row>
    <row r="593" spans="40:48" x14ac:dyDescent="0.25">
      <c r="AN593" t="s">
        <v>44</v>
      </c>
      <c r="AO593" t="s">
        <v>26</v>
      </c>
      <c r="AP593">
        <v>2007</v>
      </c>
      <c r="AQ593" t="s">
        <v>39</v>
      </c>
      <c r="AR593" t="s">
        <v>351</v>
      </c>
      <c r="AS593" t="s">
        <v>306</v>
      </c>
      <c r="AT593" t="s">
        <v>238</v>
      </c>
      <c r="AU593" t="s">
        <v>310</v>
      </c>
      <c r="AV593">
        <v>3</v>
      </c>
    </row>
    <row r="594" spans="40:48" x14ac:dyDescent="0.25">
      <c r="AN594" t="s">
        <v>44</v>
      </c>
      <c r="AO594" t="s">
        <v>26</v>
      </c>
      <c r="AP594">
        <v>2007</v>
      </c>
      <c r="AQ594" t="s">
        <v>39</v>
      </c>
      <c r="AR594" t="s">
        <v>351</v>
      </c>
      <c r="AS594" t="s">
        <v>306</v>
      </c>
      <c r="AT594" t="s">
        <v>238</v>
      </c>
      <c r="AU594" t="s">
        <v>311</v>
      </c>
      <c r="AV594">
        <v>5.75</v>
      </c>
    </row>
    <row r="595" spans="40:48" x14ac:dyDescent="0.25">
      <c r="AN595" t="s">
        <v>44</v>
      </c>
      <c r="AO595" t="s">
        <v>26</v>
      </c>
      <c r="AP595">
        <v>2007</v>
      </c>
      <c r="AQ595" t="s">
        <v>39</v>
      </c>
      <c r="AR595" t="s">
        <v>351</v>
      </c>
      <c r="AS595" t="s">
        <v>306</v>
      </c>
      <c r="AT595" t="s">
        <v>238</v>
      </c>
      <c r="AU595" t="s">
        <v>268</v>
      </c>
      <c r="AV595">
        <v>8.75</v>
      </c>
    </row>
    <row r="596" spans="40:48" x14ac:dyDescent="0.25">
      <c r="AN596" t="s">
        <v>44</v>
      </c>
      <c r="AO596" t="s">
        <v>26</v>
      </c>
      <c r="AP596">
        <v>2007</v>
      </c>
      <c r="AQ596" t="s">
        <v>39</v>
      </c>
      <c r="AR596" t="s">
        <v>351</v>
      </c>
      <c r="AS596" t="s">
        <v>306</v>
      </c>
      <c r="AT596" t="s">
        <v>239</v>
      </c>
      <c r="AU596" t="s">
        <v>310</v>
      </c>
      <c r="AV596">
        <v>2.2999999999999998</v>
      </c>
    </row>
    <row r="597" spans="40:48" x14ac:dyDescent="0.25">
      <c r="AN597" t="s">
        <v>44</v>
      </c>
      <c r="AO597" t="s">
        <v>26</v>
      </c>
      <c r="AP597">
        <v>2007</v>
      </c>
      <c r="AQ597" t="s">
        <v>39</v>
      </c>
      <c r="AR597" t="s">
        <v>351</v>
      </c>
      <c r="AS597" t="s">
        <v>306</v>
      </c>
      <c r="AT597" t="s">
        <v>239</v>
      </c>
      <c r="AU597" t="s">
        <v>311</v>
      </c>
      <c r="AV597">
        <v>7.9</v>
      </c>
    </row>
    <row r="598" spans="40:48" x14ac:dyDescent="0.25">
      <c r="AN598" t="s">
        <v>44</v>
      </c>
      <c r="AO598" t="s">
        <v>26</v>
      </c>
      <c r="AP598">
        <v>2007</v>
      </c>
      <c r="AQ598" t="s">
        <v>39</v>
      </c>
      <c r="AR598" t="s">
        <v>351</v>
      </c>
      <c r="AS598" t="s">
        <v>306</v>
      </c>
      <c r="AT598" t="s">
        <v>239</v>
      </c>
      <c r="AU598" t="s">
        <v>268</v>
      </c>
      <c r="AV598">
        <v>10.199999999999999</v>
      </c>
    </row>
    <row r="599" spans="40:48" x14ac:dyDescent="0.25">
      <c r="AN599" t="s">
        <v>44</v>
      </c>
      <c r="AO599" t="s">
        <v>26</v>
      </c>
      <c r="AP599">
        <v>2007</v>
      </c>
      <c r="AQ599" t="s">
        <v>39</v>
      </c>
      <c r="AR599" t="s">
        <v>351</v>
      </c>
      <c r="AS599" t="s">
        <v>306</v>
      </c>
      <c r="AT599" t="s">
        <v>240</v>
      </c>
      <c r="AU599" t="s">
        <v>310</v>
      </c>
      <c r="AV599">
        <v>2.8</v>
      </c>
    </row>
    <row r="600" spans="40:48" x14ac:dyDescent="0.25">
      <c r="AN600" t="s">
        <v>44</v>
      </c>
      <c r="AO600" t="s">
        <v>26</v>
      </c>
      <c r="AP600">
        <v>2007</v>
      </c>
      <c r="AQ600" t="s">
        <v>39</v>
      </c>
      <c r="AR600" t="s">
        <v>351</v>
      </c>
      <c r="AS600" t="s">
        <v>306</v>
      </c>
      <c r="AT600" t="s">
        <v>240</v>
      </c>
      <c r="AU600" t="s">
        <v>311</v>
      </c>
      <c r="AV600">
        <v>8.75</v>
      </c>
    </row>
    <row r="601" spans="40:48" x14ac:dyDescent="0.25">
      <c r="AN601" t="s">
        <v>44</v>
      </c>
      <c r="AO601" t="s">
        <v>26</v>
      </c>
      <c r="AP601">
        <v>2007</v>
      </c>
      <c r="AQ601" t="s">
        <v>39</v>
      </c>
      <c r="AR601" t="s">
        <v>351</v>
      </c>
      <c r="AS601" t="s">
        <v>306</v>
      </c>
      <c r="AT601" t="s">
        <v>240</v>
      </c>
      <c r="AU601" t="s">
        <v>268</v>
      </c>
      <c r="AV601">
        <v>11.55</v>
      </c>
    </row>
    <row r="602" spans="40:48" x14ac:dyDescent="0.25">
      <c r="AN602" t="s">
        <v>44</v>
      </c>
      <c r="AO602" t="s">
        <v>26</v>
      </c>
      <c r="AP602">
        <v>2007</v>
      </c>
      <c r="AQ602" t="s">
        <v>39</v>
      </c>
      <c r="AR602" t="s">
        <v>351</v>
      </c>
      <c r="AS602" t="s">
        <v>306</v>
      </c>
      <c r="AT602" t="s">
        <v>316</v>
      </c>
      <c r="AU602" t="s">
        <v>310</v>
      </c>
      <c r="AV602">
        <v>3</v>
      </c>
    </row>
    <row r="603" spans="40:48" x14ac:dyDescent="0.25">
      <c r="AN603" t="s">
        <v>44</v>
      </c>
      <c r="AO603" t="s">
        <v>26</v>
      </c>
      <c r="AP603">
        <v>2007</v>
      </c>
      <c r="AQ603" t="s">
        <v>39</v>
      </c>
      <c r="AR603" t="s">
        <v>351</v>
      </c>
      <c r="AS603" t="s">
        <v>306</v>
      </c>
      <c r="AT603" t="s">
        <v>316</v>
      </c>
      <c r="AU603" t="s">
        <v>311</v>
      </c>
      <c r="AV603">
        <v>8.9</v>
      </c>
    </row>
    <row r="604" spans="40:48" x14ac:dyDescent="0.25">
      <c r="AN604" t="s">
        <v>44</v>
      </c>
      <c r="AO604" t="s">
        <v>26</v>
      </c>
      <c r="AP604">
        <v>2007</v>
      </c>
      <c r="AQ604" t="s">
        <v>39</v>
      </c>
      <c r="AR604" t="s">
        <v>351</v>
      </c>
      <c r="AS604" t="s">
        <v>306</v>
      </c>
      <c r="AT604" t="s">
        <v>316</v>
      </c>
      <c r="AU604" t="s">
        <v>268</v>
      </c>
      <c r="AV604">
        <v>11.9</v>
      </c>
    </row>
    <row r="605" spans="40:48" x14ac:dyDescent="0.25">
      <c r="AN605" t="s">
        <v>44</v>
      </c>
      <c r="AO605" t="s">
        <v>26</v>
      </c>
      <c r="AP605">
        <v>2007</v>
      </c>
      <c r="AQ605" t="s">
        <v>39</v>
      </c>
      <c r="AR605" t="s">
        <v>351</v>
      </c>
      <c r="AS605" t="s">
        <v>306</v>
      </c>
      <c r="AT605" t="s">
        <v>242</v>
      </c>
      <c r="AU605" t="s">
        <v>310</v>
      </c>
      <c r="AV605">
        <v>2.7</v>
      </c>
    </row>
    <row r="606" spans="40:48" x14ac:dyDescent="0.25">
      <c r="AN606" t="s">
        <v>44</v>
      </c>
      <c r="AO606" t="s">
        <v>26</v>
      </c>
      <c r="AP606">
        <v>2007</v>
      </c>
      <c r="AQ606" t="s">
        <v>39</v>
      </c>
      <c r="AR606" t="s">
        <v>351</v>
      </c>
      <c r="AS606" t="s">
        <v>306</v>
      </c>
      <c r="AT606" t="s">
        <v>242</v>
      </c>
      <c r="AU606" t="s">
        <v>311</v>
      </c>
      <c r="AV606">
        <v>8.15</v>
      </c>
    </row>
    <row r="607" spans="40:48" x14ac:dyDescent="0.25">
      <c r="AN607" t="s">
        <v>44</v>
      </c>
      <c r="AO607" t="s">
        <v>26</v>
      </c>
      <c r="AP607">
        <v>2007</v>
      </c>
      <c r="AQ607" t="s">
        <v>39</v>
      </c>
      <c r="AR607" t="s">
        <v>351</v>
      </c>
      <c r="AS607" t="s">
        <v>306</v>
      </c>
      <c r="AT607" t="s">
        <v>242</v>
      </c>
      <c r="AU607" t="s">
        <v>268</v>
      </c>
      <c r="AV607">
        <v>10.85</v>
      </c>
    </row>
    <row r="608" spans="40:48" x14ac:dyDescent="0.25">
      <c r="AN608" t="s">
        <v>44</v>
      </c>
      <c r="AO608" t="s">
        <v>26</v>
      </c>
      <c r="AP608">
        <v>2007</v>
      </c>
      <c r="AQ608" t="s">
        <v>39</v>
      </c>
      <c r="AR608" t="s">
        <v>351</v>
      </c>
      <c r="AS608" t="s">
        <v>306</v>
      </c>
      <c r="AT608" t="s">
        <v>243</v>
      </c>
      <c r="AU608" t="s">
        <v>337</v>
      </c>
      <c r="AV608">
        <v>17.2</v>
      </c>
    </row>
    <row r="609" spans="40:48" x14ac:dyDescent="0.25">
      <c r="AN609" t="s">
        <v>44</v>
      </c>
      <c r="AO609" t="s">
        <v>26</v>
      </c>
      <c r="AP609">
        <v>2007</v>
      </c>
      <c r="AQ609" t="s">
        <v>39</v>
      </c>
      <c r="AR609" t="s">
        <v>351</v>
      </c>
      <c r="AS609" t="s">
        <v>306</v>
      </c>
      <c r="AT609" t="s">
        <v>243</v>
      </c>
      <c r="AU609" t="s">
        <v>338</v>
      </c>
      <c r="AV609">
        <v>47.5</v>
      </c>
    </row>
    <row r="610" spans="40:48" x14ac:dyDescent="0.25">
      <c r="AN610" t="s">
        <v>44</v>
      </c>
      <c r="AO610" t="s">
        <v>26</v>
      </c>
      <c r="AP610">
        <v>2007</v>
      </c>
      <c r="AQ610" t="s">
        <v>39</v>
      </c>
      <c r="AR610" t="s">
        <v>351</v>
      </c>
      <c r="AS610" t="s">
        <v>306</v>
      </c>
      <c r="AT610" t="s">
        <v>243</v>
      </c>
      <c r="AU610" t="s">
        <v>349</v>
      </c>
      <c r="AV610">
        <v>64.7</v>
      </c>
    </row>
    <row r="611" spans="40:48" x14ac:dyDescent="0.25">
      <c r="AN611" t="s">
        <v>42</v>
      </c>
      <c r="AO611" t="s">
        <v>26</v>
      </c>
      <c r="AP611">
        <v>2007</v>
      </c>
      <c r="AQ611" t="s">
        <v>36</v>
      </c>
      <c r="AR611" t="s">
        <v>351</v>
      </c>
      <c r="AS611" t="s">
        <v>306</v>
      </c>
      <c r="AT611" t="s">
        <v>218</v>
      </c>
      <c r="AU611" t="s">
        <v>310</v>
      </c>
      <c r="AV611">
        <v>3.8</v>
      </c>
    </row>
    <row r="612" spans="40:48" x14ac:dyDescent="0.25">
      <c r="AN612" t="s">
        <v>42</v>
      </c>
      <c r="AO612" t="s">
        <v>26</v>
      </c>
      <c r="AP612">
        <v>2007</v>
      </c>
      <c r="AQ612" t="s">
        <v>36</v>
      </c>
      <c r="AR612" t="s">
        <v>351</v>
      </c>
      <c r="AS612" t="s">
        <v>306</v>
      </c>
      <c r="AT612" t="s">
        <v>218</v>
      </c>
      <c r="AU612" t="s">
        <v>311</v>
      </c>
      <c r="AV612">
        <v>7.1</v>
      </c>
    </row>
    <row r="613" spans="40:48" x14ac:dyDescent="0.25">
      <c r="AN613" t="s">
        <v>42</v>
      </c>
      <c r="AO613" t="s">
        <v>26</v>
      </c>
      <c r="AP613">
        <v>2007</v>
      </c>
      <c r="AQ613" t="s">
        <v>36</v>
      </c>
      <c r="AR613" t="s">
        <v>351</v>
      </c>
      <c r="AS613" t="s">
        <v>306</v>
      </c>
      <c r="AT613" t="s">
        <v>218</v>
      </c>
      <c r="AU613" t="s">
        <v>268</v>
      </c>
      <c r="AV613">
        <v>10.9</v>
      </c>
    </row>
    <row r="614" spans="40:48" x14ac:dyDescent="0.25">
      <c r="AN614" t="s">
        <v>42</v>
      </c>
      <c r="AO614" t="s">
        <v>26</v>
      </c>
      <c r="AP614">
        <v>2007</v>
      </c>
      <c r="AQ614" t="s">
        <v>36</v>
      </c>
      <c r="AR614" t="s">
        <v>351</v>
      </c>
      <c r="AS614" t="s">
        <v>306</v>
      </c>
      <c r="AT614" t="s">
        <v>238</v>
      </c>
      <c r="AU614" t="s">
        <v>310</v>
      </c>
      <c r="AV614">
        <v>2.6</v>
      </c>
    </row>
    <row r="615" spans="40:48" x14ac:dyDescent="0.25">
      <c r="AN615" t="s">
        <v>42</v>
      </c>
      <c r="AO615" t="s">
        <v>26</v>
      </c>
      <c r="AP615">
        <v>2007</v>
      </c>
      <c r="AQ615" t="s">
        <v>36</v>
      </c>
      <c r="AR615" t="s">
        <v>351</v>
      </c>
      <c r="AS615" t="s">
        <v>306</v>
      </c>
      <c r="AT615" t="s">
        <v>238</v>
      </c>
      <c r="AU615" t="s">
        <v>311</v>
      </c>
      <c r="AV615">
        <v>7.65</v>
      </c>
    </row>
    <row r="616" spans="40:48" x14ac:dyDescent="0.25">
      <c r="AN616" t="s">
        <v>42</v>
      </c>
      <c r="AO616" t="s">
        <v>26</v>
      </c>
      <c r="AP616">
        <v>2007</v>
      </c>
      <c r="AQ616" t="s">
        <v>36</v>
      </c>
      <c r="AR616" t="s">
        <v>351</v>
      </c>
      <c r="AS616" t="s">
        <v>306</v>
      </c>
      <c r="AT616" t="s">
        <v>238</v>
      </c>
      <c r="AU616" t="s">
        <v>268</v>
      </c>
      <c r="AV616">
        <v>10.25</v>
      </c>
    </row>
    <row r="617" spans="40:48" x14ac:dyDescent="0.25">
      <c r="AN617" t="s">
        <v>42</v>
      </c>
      <c r="AO617" t="s">
        <v>26</v>
      </c>
      <c r="AP617">
        <v>2007</v>
      </c>
      <c r="AQ617" t="s">
        <v>36</v>
      </c>
      <c r="AR617" t="s">
        <v>351</v>
      </c>
      <c r="AS617" t="s">
        <v>306</v>
      </c>
      <c r="AT617" t="s">
        <v>239</v>
      </c>
      <c r="AU617" t="s">
        <v>310</v>
      </c>
      <c r="AV617">
        <v>2.4</v>
      </c>
    </row>
    <row r="618" spans="40:48" x14ac:dyDescent="0.25">
      <c r="AN618" t="s">
        <v>42</v>
      </c>
      <c r="AO618" t="s">
        <v>26</v>
      </c>
      <c r="AP618">
        <v>2007</v>
      </c>
      <c r="AQ618" t="s">
        <v>36</v>
      </c>
      <c r="AR618" t="s">
        <v>351</v>
      </c>
      <c r="AS618" t="s">
        <v>306</v>
      </c>
      <c r="AT618" t="s">
        <v>239</v>
      </c>
      <c r="AU618" t="s">
        <v>311</v>
      </c>
      <c r="AV618">
        <v>8.0500000000000007</v>
      </c>
    </row>
    <row r="619" spans="40:48" x14ac:dyDescent="0.25">
      <c r="AN619" t="s">
        <v>42</v>
      </c>
      <c r="AO619" t="s">
        <v>26</v>
      </c>
      <c r="AP619">
        <v>2007</v>
      </c>
      <c r="AQ619" t="s">
        <v>36</v>
      </c>
      <c r="AR619" t="s">
        <v>351</v>
      </c>
      <c r="AS619" t="s">
        <v>306</v>
      </c>
      <c r="AT619" t="s">
        <v>239</v>
      </c>
      <c r="AU619" t="s">
        <v>268</v>
      </c>
      <c r="AV619">
        <v>10.45</v>
      </c>
    </row>
    <row r="620" spans="40:48" x14ac:dyDescent="0.25">
      <c r="AN620" t="s">
        <v>42</v>
      </c>
      <c r="AO620" t="s">
        <v>26</v>
      </c>
      <c r="AP620">
        <v>2007</v>
      </c>
      <c r="AQ620" t="s">
        <v>36</v>
      </c>
      <c r="AR620" t="s">
        <v>351</v>
      </c>
      <c r="AS620" t="s">
        <v>306</v>
      </c>
      <c r="AT620" t="s">
        <v>240</v>
      </c>
      <c r="AU620" t="s">
        <v>310</v>
      </c>
      <c r="AV620">
        <v>2.8</v>
      </c>
    </row>
    <row r="621" spans="40:48" x14ac:dyDescent="0.25">
      <c r="AN621" t="s">
        <v>42</v>
      </c>
      <c r="AO621" t="s">
        <v>26</v>
      </c>
      <c r="AP621">
        <v>2007</v>
      </c>
      <c r="AQ621" t="s">
        <v>36</v>
      </c>
      <c r="AR621" t="s">
        <v>351</v>
      </c>
      <c r="AS621" t="s">
        <v>306</v>
      </c>
      <c r="AT621" t="s">
        <v>240</v>
      </c>
      <c r="AU621" t="s">
        <v>311</v>
      </c>
      <c r="AV621">
        <v>9.1999999999999993</v>
      </c>
    </row>
    <row r="622" spans="40:48" x14ac:dyDescent="0.25">
      <c r="AN622" t="s">
        <v>42</v>
      </c>
      <c r="AO622" t="s">
        <v>26</v>
      </c>
      <c r="AP622">
        <v>2007</v>
      </c>
      <c r="AQ622" t="s">
        <v>36</v>
      </c>
      <c r="AR622" t="s">
        <v>351</v>
      </c>
      <c r="AS622" t="s">
        <v>306</v>
      </c>
      <c r="AT622" t="s">
        <v>240</v>
      </c>
      <c r="AU622" t="s">
        <v>268</v>
      </c>
      <c r="AV622">
        <v>12</v>
      </c>
    </row>
    <row r="623" spans="40:48" x14ac:dyDescent="0.25">
      <c r="AN623" t="s">
        <v>42</v>
      </c>
      <c r="AO623" t="s">
        <v>26</v>
      </c>
      <c r="AP623">
        <v>2007</v>
      </c>
      <c r="AQ623" t="s">
        <v>36</v>
      </c>
      <c r="AR623" t="s">
        <v>351</v>
      </c>
      <c r="AS623" t="s">
        <v>306</v>
      </c>
      <c r="AT623" t="s">
        <v>316</v>
      </c>
      <c r="AU623" t="s">
        <v>310</v>
      </c>
      <c r="AV623">
        <v>3.1</v>
      </c>
    </row>
    <row r="624" spans="40:48" x14ac:dyDescent="0.25">
      <c r="AN624" t="s">
        <v>42</v>
      </c>
      <c r="AO624" t="s">
        <v>26</v>
      </c>
      <c r="AP624">
        <v>2007</v>
      </c>
      <c r="AQ624" t="s">
        <v>36</v>
      </c>
      <c r="AR624" t="s">
        <v>351</v>
      </c>
      <c r="AS624" t="s">
        <v>306</v>
      </c>
      <c r="AT624" t="s">
        <v>316</v>
      </c>
      <c r="AU624" t="s">
        <v>311</v>
      </c>
      <c r="AV624">
        <v>7.1</v>
      </c>
    </row>
    <row r="625" spans="40:48" x14ac:dyDescent="0.25">
      <c r="AN625" t="s">
        <v>42</v>
      </c>
      <c r="AO625" t="s">
        <v>26</v>
      </c>
      <c r="AP625">
        <v>2007</v>
      </c>
      <c r="AQ625" t="s">
        <v>36</v>
      </c>
      <c r="AR625" t="s">
        <v>351</v>
      </c>
      <c r="AS625" t="s">
        <v>306</v>
      </c>
      <c r="AT625" t="s">
        <v>316</v>
      </c>
      <c r="AU625" t="s">
        <v>268</v>
      </c>
      <c r="AV625">
        <v>10.199999999999999</v>
      </c>
    </row>
    <row r="626" spans="40:48" x14ac:dyDescent="0.25">
      <c r="AN626" t="s">
        <v>42</v>
      </c>
      <c r="AO626" t="s">
        <v>26</v>
      </c>
      <c r="AP626">
        <v>2007</v>
      </c>
      <c r="AQ626" t="s">
        <v>36</v>
      </c>
      <c r="AR626" t="s">
        <v>351</v>
      </c>
      <c r="AS626" t="s">
        <v>306</v>
      </c>
      <c r="AT626" t="s">
        <v>242</v>
      </c>
      <c r="AU626" t="s">
        <v>310</v>
      </c>
      <c r="AV626">
        <v>1.8</v>
      </c>
    </row>
    <row r="627" spans="40:48" x14ac:dyDescent="0.25">
      <c r="AN627" t="s">
        <v>42</v>
      </c>
      <c r="AO627" t="s">
        <v>26</v>
      </c>
      <c r="AP627">
        <v>2007</v>
      </c>
      <c r="AQ627" t="s">
        <v>36</v>
      </c>
      <c r="AR627" t="s">
        <v>351</v>
      </c>
      <c r="AS627" t="s">
        <v>306</v>
      </c>
      <c r="AT627" t="s">
        <v>242</v>
      </c>
      <c r="AU627" t="s">
        <v>311</v>
      </c>
      <c r="AV627">
        <v>8.4</v>
      </c>
    </row>
    <row r="628" spans="40:48" x14ac:dyDescent="0.25">
      <c r="AN628" t="s">
        <v>42</v>
      </c>
      <c r="AO628" t="s">
        <v>26</v>
      </c>
      <c r="AP628">
        <v>2007</v>
      </c>
      <c r="AQ628" t="s">
        <v>36</v>
      </c>
      <c r="AR628" t="s">
        <v>351</v>
      </c>
      <c r="AS628" t="s">
        <v>306</v>
      </c>
      <c r="AT628" t="s">
        <v>242</v>
      </c>
      <c r="AU628" t="s">
        <v>268</v>
      </c>
      <c r="AV628">
        <v>10.199999999999999</v>
      </c>
    </row>
    <row r="629" spans="40:48" x14ac:dyDescent="0.25">
      <c r="AN629" t="s">
        <v>42</v>
      </c>
      <c r="AO629" t="s">
        <v>26</v>
      </c>
      <c r="AP629">
        <v>2007</v>
      </c>
      <c r="AQ629" t="s">
        <v>36</v>
      </c>
      <c r="AR629" t="s">
        <v>351</v>
      </c>
      <c r="AS629" t="s">
        <v>306</v>
      </c>
      <c r="AT629" t="s">
        <v>243</v>
      </c>
      <c r="AU629" t="s">
        <v>337</v>
      </c>
      <c r="AV629">
        <v>16.5</v>
      </c>
    </row>
    <row r="630" spans="40:48" x14ac:dyDescent="0.25">
      <c r="AN630" t="s">
        <v>42</v>
      </c>
      <c r="AO630" t="s">
        <v>26</v>
      </c>
      <c r="AP630">
        <v>2007</v>
      </c>
      <c r="AQ630" t="s">
        <v>36</v>
      </c>
      <c r="AR630" t="s">
        <v>351</v>
      </c>
      <c r="AS630" t="s">
        <v>306</v>
      </c>
      <c r="AT630" t="s">
        <v>243</v>
      </c>
      <c r="AU630" t="s">
        <v>338</v>
      </c>
      <c r="AV630">
        <v>47.5</v>
      </c>
    </row>
    <row r="631" spans="40:48" x14ac:dyDescent="0.25">
      <c r="AN631" t="s">
        <v>42</v>
      </c>
      <c r="AO631" t="s">
        <v>26</v>
      </c>
      <c r="AP631">
        <v>2007</v>
      </c>
      <c r="AQ631" t="s">
        <v>36</v>
      </c>
      <c r="AR631" t="s">
        <v>351</v>
      </c>
      <c r="AS631" t="s">
        <v>306</v>
      </c>
      <c r="AT631" t="s">
        <v>243</v>
      </c>
      <c r="AU631" t="s">
        <v>349</v>
      </c>
      <c r="AV631">
        <v>64</v>
      </c>
    </row>
    <row r="632" spans="40:48" x14ac:dyDescent="0.25">
      <c r="AN632" t="s">
        <v>37</v>
      </c>
      <c r="AO632" t="s">
        <v>26</v>
      </c>
      <c r="AP632">
        <v>2006</v>
      </c>
      <c r="AQ632" t="s">
        <v>39</v>
      </c>
      <c r="AR632" t="s">
        <v>351</v>
      </c>
      <c r="AS632" t="s">
        <v>306</v>
      </c>
      <c r="AT632" t="s">
        <v>218</v>
      </c>
      <c r="AU632" t="s">
        <v>310</v>
      </c>
      <c r="AV632">
        <v>3.3</v>
      </c>
    </row>
    <row r="633" spans="40:48" x14ac:dyDescent="0.25">
      <c r="AN633" t="s">
        <v>37</v>
      </c>
      <c r="AO633" t="s">
        <v>26</v>
      </c>
      <c r="AP633">
        <v>2006</v>
      </c>
      <c r="AQ633" t="s">
        <v>39</v>
      </c>
      <c r="AR633" t="s">
        <v>351</v>
      </c>
      <c r="AS633" t="s">
        <v>306</v>
      </c>
      <c r="AT633" t="s">
        <v>218</v>
      </c>
      <c r="AU633" t="s">
        <v>311</v>
      </c>
      <c r="AV633">
        <v>7.25</v>
      </c>
    </row>
    <row r="634" spans="40:48" x14ac:dyDescent="0.25">
      <c r="AN634" t="s">
        <v>37</v>
      </c>
      <c r="AO634" t="s">
        <v>26</v>
      </c>
      <c r="AP634">
        <v>2006</v>
      </c>
      <c r="AQ634" t="s">
        <v>39</v>
      </c>
      <c r="AR634" t="s">
        <v>351</v>
      </c>
      <c r="AS634" t="s">
        <v>306</v>
      </c>
      <c r="AT634" t="s">
        <v>218</v>
      </c>
      <c r="AU634" t="s">
        <v>268</v>
      </c>
      <c r="AV634">
        <v>10.55</v>
      </c>
    </row>
    <row r="635" spans="40:48" x14ac:dyDescent="0.25">
      <c r="AN635" t="s">
        <v>37</v>
      </c>
      <c r="AO635" t="s">
        <v>26</v>
      </c>
      <c r="AP635">
        <v>2006</v>
      </c>
      <c r="AQ635" t="s">
        <v>39</v>
      </c>
      <c r="AR635" t="s">
        <v>351</v>
      </c>
      <c r="AS635" t="s">
        <v>306</v>
      </c>
      <c r="AT635" t="s">
        <v>238</v>
      </c>
      <c r="AU635" t="s">
        <v>310</v>
      </c>
      <c r="AV635">
        <v>3.6</v>
      </c>
    </row>
    <row r="636" spans="40:48" x14ac:dyDescent="0.25">
      <c r="AN636" t="s">
        <v>37</v>
      </c>
      <c r="AO636" t="s">
        <v>26</v>
      </c>
      <c r="AP636">
        <v>2006</v>
      </c>
      <c r="AQ636" t="s">
        <v>39</v>
      </c>
      <c r="AR636" t="s">
        <v>351</v>
      </c>
      <c r="AS636" t="s">
        <v>306</v>
      </c>
      <c r="AT636" t="s">
        <v>238</v>
      </c>
      <c r="AU636" t="s">
        <v>311</v>
      </c>
      <c r="AV636">
        <v>7.45</v>
      </c>
    </row>
    <row r="637" spans="40:48" x14ac:dyDescent="0.25">
      <c r="AN637" t="s">
        <v>37</v>
      </c>
      <c r="AO637" t="s">
        <v>26</v>
      </c>
      <c r="AP637">
        <v>2006</v>
      </c>
      <c r="AQ637" t="s">
        <v>39</v>
      </c>
      <c r="AR637" t="s">
        <v>351</v>
      </c>
      <c r="AS637" t="s">
        <v>306</v>
      </c>
      <c r="AT637" t="s">
        <v>238</v>
      </c>
      <c r="AU637" t="s">
        <v>268</v>
      </c>
      <c r="AV637">
        <v>11.05</v>
      </c>
    </row>
    <row r="638" spans="40:48" x14ac:dyDescent="0.25">
      <c r="AN638" t="s">
        <v>37</v>
      </c>
      <c r="AO638" t="s">
        <v>26</v>
      </c>
      <c r="AP638">
        <v>2006</v>
      </c>
      <c r="AQ638" t="s">
        <v>39</v>
      </c>
      <c r="AR638" t="s">
        <v>351</v>
      </c>
      <c r="AS638" t="s">
        <v>306</v>
      </c>
      <c r="AT638" t="s">
        <v>239</v>
      </c>
      <c r="AU638" t="s">
        <v>310</v>
      </c>
      <c r="AV638">
        <v>2.2999999999999998</v>
      </c>
    </row>
    <row r="639" spans="40:48" x14ac:dyDescent="0.25">
      <c r="AN639" t="s">
        <v>37</v>
      </c>
      <c r="AO639" t="s">
        <v>26</v>
      </c>
      <c r="AP639">
        <v>2006</v>
      </c>
      <c r="AQ639" t="s">
        <v>39</v>
      </c>
      <c r="AR639" t="s">
        <v>351</v>
      </c>
      <c r="AS639" t="s">
        <v>306</v>
      </c>
      <c r="AT639" t="s">
        <v>239</v>
      </c>
      <c r="AU639" t="s">
        <v>311</v>
      </c>
      <c r="AV639">
        <v>6.85</v>
      </c>
    </row>
    <row r="640" spans="40:48" x14ac:dyDescent="0.25">
      <c r="AN640" t="s">
        <v>37</v>
      </c>
      <c r="AO640" t="s">
        <v>26</v>
      </c>
      <c r="AP640">
        <v>2006</v>
      </c>
      <c r="AQ640" t="s">
        <v>39</v>
      </c>
      <c r="AR640" t="s">
        <v>351</v>
      </c>
      <c r="AS640" t="s">
        <v>306</v>
      </c>
      <c r="AT640" t="s">
        <v>239</v>
      </c>
      <c r="AU640" t="s">
        <v>268</v>
      </c>
      <c r="AV640">
        <v>9.15</v>
      </c>
    </row>
    <row r="641" spans="40:48" x14ac:dyDescent="0.25">
      <c r="AN641" t="s">
        <v>37</v>
      </c>
      <c r="AO641" t="s">
        <v>26</v>
      </c>
      <c r="AP641">
        <v>2006</v>
      </c>
      <c r="AQ641" t="s">
        <v>39</v>
      </c>
      <c r="AR641" t="s">
        <v>351</v>
      </c>
      <c r="AS641" t="s">
        <v>306</v>
      </c>
      <c r="AT641" t="s">
        <v>240</v>
      </c>
      <c r="AU641" t="s">
        <v>310</v>
      </c>
      <c r="AV641">
        <v>2.4</v>
      </c>
    </row>
    <row r="642" spans="40:48" x14ac:dyDescent="0.25">
      <c r="AN642" t="s">
        <v>37</v>
      </c>
      <c r="AO642" t="s">
        <v>26</v>
      </c>
      <c r="AP642">
        <v>2006</v>
      </c>
      <c r="AQ642" t="s">
        <v>39</v>
      </c>
      <c r="AR642" t="s">
        <v>351</v>
      </c>
      <c r="AS642" t="s">
        <v>306</v>
      </c>
      <c r="AT642" t="s">
        <v>240</v>
      </c>
      <c r="AU642" t="s">
        <v>311</v>
      </c>
      <c r="AV642">
        <v>8.3000000000000007</v>
      </c>
    </row>
    <row r="643" spans="40:48" x14ac:dyDescent="0.25">
      <c r="AN643" t="s">
        <v>37</v>
      </c>
      <c r="AO643" t="s">
        <v>26</v>
      </c>
      <c r="AP643">
        <v>2006</v>
      </c>
      <c r="AQ643" t="s">
        <v>39</v>
      </c>
      <c r="AR643" t="s">
        <v>351</v>
      </c>
      <c r="AS643" t="s">
        <v>306</v>
      </c>
      <c r="AT643" t="s">
        <v>240</v>
      </c>
      <c r="AU643" t="s">
        <v>268</v>
      </c>
      <c r="AV643">
        <v>10.7</v>
      </c>
    </row>
    <row r="644" spans="40:48" x14ac:dyDescent="0.25">
      <c r="AN644" t="s">
        <v>37</v>
      </c>
      <c r="AO644" t="s">
        <v>26</v>
      </c>
      <c r="AP644">
        <v>2006</v>
      </c>
      <c r="AQ644" t="s">
        <v>39</v>
      </c>
      <c r="AR644" t="s">
        <v>351</v>
      </c>
      <c r="AS644" t="s">
        <v>306</v>
      </c>
      <c r="AT644" t="s">
        <v>316</v>
      </c>
      <c r="AU644" t="s">
        <v>310</v>
      </c>
      <c r="AV644">
        <v>3.1</v>
      </c>
    </row>
    <row r="645" spans="40:48" x14ac:dyDescent="0.25">
      <c r="AN645" t="s">
        <v>37</v>
      </c>
      <c r="AO645" t="s">
        <v>26</v>
      </c>
      <c r="AP645">
        <v>2006</v>
      </c>
      <c r="AQ645" t="s">
        <v>39</v>
      </c>
      <c r="AR645" t="s">
        <v>351</v>
      </c>
      <c r="AS645" t="s">
        <v>306</v>
      </c>
      <c r="AT645" t="s">
        <v>316</v>
      </c>
      <c r="AU645" t="s">
        <v>311</v>
      </c>
      <c r="AV645">
        <v>8.4</v>
      </c>
    </row>
    <row r="646" spans="40:48" x14ac:dyDescent="0.25">
      <c r="AN646" t="s">
        <v>37</v>
      </c>
      <c r="AO646" t="s">
        <v>26</v>
      </c>
      <c r="AP646">
        <v>2006</v>
      </c>
      <c r="AQ646" t="s">
        <v>39</v>
      </c>
      <c r="AR646" t="s">
        <v>351</v>
      </c>
      <c r="AS646" t="s">
        <v>306</v>
      </c>
      <c r="AT646" t="s">
        <v>316</v>
      </c>
      <c r="AU646" t="s">
        <v>268</v>
      </c>
      <c r="AV646">
        <v>11.5</v>
      </c>
    </row>
    <row r="647" spans="40:48" x14ac:dyDescent="0.25">
      <c r="AN647" t="s">
        <v>37</v>
      </c>
      <c r="AO647" t="s">
        <v>26</v>
      </c>
      <c r="AP647">
        <v>2006</v>
      </c>
      <c r="AQ647" t="s">
        <v>39</v>
      </c>
      <c r="AR647" t="s">
        <v>351</v>
      </c>
      <c r="AS647" t="s">
        <v>306</v>
      </c>
      <c r="AT647" t="s">
        <v>242</v>
      </c>
      <c r="AU647" t="s">
        <v>310</v>
      </c>
      <c r="AV647">
        <v>3.1</v>
      </c>
    </row>
    <row r="648" spans="40:48" x14ac:dyDescent="0.25">
      <c r="AN648" t="s">
        <v>37</v>
      </c>
      <c r="AO648" t="s">
        <v>26</v>
      </c>
      <c r="AP648">
        <v>2006</v>
      </c>
      <c r="AQ648" t="s">
        <v>39</v>
      </c>
      <c r="AR648" t="s">
        <v>351</v>
      </c>
      <c r="AS648" t="s">
        <v>306</v>
      </c>
      <c r="AT648" t="s">
        <v>242</v>
      </c>
      <c r="AU648" t="s">
        <v>311</v>
      </c>
      <c r="AV648">
        <v>7.65</v>
      </c>
    </row>
    <row r="649" spans="40:48" x14ac:dyDescent="0.25">
      <c r="AN649" t="s">
        <v>37</v>
      </c>
      <c r="AO649" t="s">
        <v>26</v>
      </c>
      <c r="AP649">
        <v>2006</v>
      </c>
      <c r="AQ649" t="s">
        <v>39</v>
      </c>
      <c r="AR649" t="s">
        <v>351</v>
      </c>
      <c r="AS649" t="s">
        <v>306</v>
      </c>
      <c r="AT649" t="s">
        <v>242</v>
      </c>
      <c r="AU649" t="s">
        <v>268</v>
      </c>
      <c r="AV649">
        <v>10.75</v>
      </c>
    </row>
    <row r="650" spans="40:48" x14ac:dyDescent="0.25">
      <c r="AN650" t="s">
        <v>37</v>
      </c>
      <c r="AO650" t="s">
        <v>26</v>
      </c>
      <c r="AP650">
        <v>2006</v>
      </c>
      <c r="AQ650" t="s">
        <v>39</v>
      </c>
      <c r="AR650" t="s">
        <v>351</v>
      </c>
      <c r="AS650" t="s">
        <v>306</v>
      </c>
      <c r="AT650" t="s">
        <v>243</v>
      </c>
      <c r="AU650" t="s">
        <v>337</v>
      </c>
      <c r="AV650">
        <v>17.8</v>
      </c>
    </row>
    <row r="651" spans="40:48" x14ac:dyDescent="0.25">
      <c r="AN651" t="s">
        <v>37</v>
      </c>
      <c r="AO651" t="s">
        <v>26</v>
      </c>
      <c r="AP651">
        <v>2006</v>
      </c>
      <c r="AQ651" t="s">
        <v>39</v>
      </c>
      <c r="AR651" t="s">
        <v>351</v>
      </c>
      <c r="AS651" t="s">
        <v>306</v>
      </c>
      <c r="AT651" t="s">
        <v>243</v>
      </c>
      <c r="AU651" t="s">
        <v>338</v>
      </c>
      <c r="AV651">
        <v>45.9</v>
      </c>
    </row>
    <row r="652" spans="40:48" x14ac:dyDescent="0.25">
      <c r="AN652" t="s">
        <v>37</v>
      </c>
      <c r="AO652" t="s">
        <v>26</v>
      </c>
      <c r="AP652">
        <v>2006</v>
      </c>
      <c r="AQ652" t="s">
        <v>39</v>
      </c>
      <c r="AR652" t="s">
        <v>351</v>
      </c>
      <c r="AS652" t="s">
        <v>306</v>
      </c>
      <c r="AT652" t="s">
        <v>243</v>
      </c>
      <c r="AU652" t="s">
        <v>349</v>
      </c>
      <c r="AV652">
        <v>63.7</v>
      </c>
    </row>
    <row r="653" spans="40:48" x14ac:dyDescent="0.25">
      <c r="AN653" t="s">
        <v>48</v>
      </c>
      <c r="AO653" t="s">
        <v>26</v>
      </c>
      <c r="AP653">
        <v>2006</v>
      </c>
      <c r="AQ653" t="s">
        <v>36</v>
      </c>
      <c r="AR653" t="s">
        <v>351</v>
      </c>
      <c r="AS653" t="s">
        <v>306</v>
      </c>
      <c r="AT653" t="s">
        <v>218</v>
      </c>
      <c r="AU653" t="s">
        <v>310</v>
      </c>
      <c r="AV653">
        <v>3.5</v>
      </c>
    </row>
    <row r="654" spans="40:48" x14ac:dyDescent="0.25">
      <c r="AN654" t="s">
        <v>48</v>
      </c>
      <c r="AO654" t="s">
        <v>26</v>
      </c>
      <c r="AP654">
        <v>2006</v>
      </c>
      <c r="AQ654" t="s">
        <v>36</v>
      </c>
      <c r="AR654" t="s">
        <v>351</v>
      </c>
      <c r="AS654" t="s">
        <v>306</v>
      </c>
      <c r="AT654" t="s">
        <v>218</v>
      </c>
      <c r="AU654" t="s">
        <v>311</v>
      </c>
      <c r="AV654">
        <v>7.65</v>
      </c>
    </row>
    <row r="655" spans="40:48" x14ac:dyDescent="0.25">
      <c r="AN655" t="s">
        <v>48</v>
      </c>
      <c r="AO655" t="s">
        <v>26</v>
      </c>
      <c r="AP655">
        <v>2006</v>
      </c>
      <c r="AQ655" t="s">
        <v>36</v>
      </c>
      <c r="AR655" t="s">
        <v>351</v>
      </c>
      <c r="AS655" t="s">
        <v>306</v>
      </c>
      <c r="AT655" t="s">
        <v>218</v>
      </c>
      <c r="AU655" t="s">
        <v>268</v>
      </c>
      <c r="AV655">
        <v>11.15</v>
      </c>
    </row>
    <row r="656" spans="40:48" x14ac:dyDescent="0.25">
      <c r="AN656" t="s">
        <v>48</v>
      </c>
      <c r="AO656" t="s">
        <v>26</v>
      </c>
      <c r="AP656">
        <v>2006</v>
      </c>
      <c r="AQ656" t="s">
        <v>36</v>
      </c>
      <c r="AR656" t="s">
        <v>351</v>
      </c>
      <c r="AS656" t="s">
        <v>306</v>
      </c>
      <c r="AT656" t="s">
        <v>238</v>
      </c>
      <c r="AU656" t="s">
        <v>310</v>
      </c>
      <c r="AV656">
        <v>2.2000000000000002</v>
      </c>
    </row>
    <row r="657" spans="40:48" x14ac:dyDescent="0.25">
      <c r="AN657" t="s">
        <v>48</v>
      </c>
      <c r="AO657" t="s">
        <v>26</v>
      </c>
      <c r="AP657">
        <v>2006</v>
      </c>
      <c r="AQ657" t="s">
        <v>36</v>
      </c>
      <c r="AR657" t="s">
        <v>351</v>
      </c>
      <c r="AS657" t="s">
        <v>306</v>
      </c>
      <c r="AT657" t="s">
        <v>238</v>
      </c>
      <c r="AU657" t="s">
        <v>311</v>
      </c>
      <c r="AV657">
        <v>4.95</v>
      </c>
    </row>
    <row r="658" spans="40:48" x14ac:dyDescent="0.25">
      <c r="AN658" t="s">
        <v>48</v>
      </c>
      <c r="AO658" t="s">
        <v>26</v>
      </c>
      <c r="AP658">
        <v>2006</v>
      </c>
      <c r="AQ658" t="s">
        <v>36</v>
      </c>
      <c r="AR658" t="s">
        <v>351</v>
      </c>
      <c r="AS658" t="s">
        <v>306</v>
      </c>
      <c r="AT658" t="s">
        <v>238</v>
      </c>
      <c r="AU658" t="s">
        <v>268</v>
      </c>
      <c r="AV658">
        <v>7.15</v>
      </c>
    </row>
    <row r="659" spans="40:48" x14ac:dyDescent="0.25">
      <c r="AN659" t="s">
        <v>48</v>
      </c>
      <c r="AO659" t="s">
        <v>26</v>
      </c>
      <c r="AP659">
        <v>2006</v>
      </c>
      <c r="AQ659" t="s">
        <v>36</v>
      </c>
      <c r="AR659" t="s">
        <v>351</v>
      </c>
      <c r="AS659" t="s">
        <v>306</v>
      </c>
      <c r="AT659" t="s">
        <v>239</v>
      </c>
      <c r="AU659" t="s">
        <v>310</v>
      </c>
      <c r="AV659">
        <v>2.5</v>
      </c>
    </row>
    <row r="660" spans="40:48" x14ac:dyDescent="0.25">
      <c r="AN660" t="s">
        <v>48</v>
      </c>
      <c r="AO660" t="s">
        <v>26</v>
      </c>
      <c r="AP660">
        <v>2006</v>
      </c>
      <c r="AQ660" t="s">
        <v>36</v>
      </c>
      <c r="AR660" t="s">
        <v>351</v>
      </c>
      <c r="AS660" t="s">
        <v>306</v>
      </c>
      <c r="AT660" t="s">
        <v>239</v>
      </c>
      <c r="AU660" t="s">
        <v>311</v>
      </c>
      <c r="AV660">
        <v>6.65</v>
      </c>
    </row>
    <row r="661" spans="40:48" x14ac:dyDescent="0.25">
      <c r="AN661" t="s">
        <v>48</v>
      </c>
      <c r="AO661" t="s">
        <v>26</v>
      </c>
      <c r="AP661">
        <v>2006</v>
      </c>
      <c r="AQ661" t="s">
        <v>36</v>
      </c>
      <c r="AR661" t="s">
        <v>351</v>
      </c>
      <c r="AS661" t="s">
        <v>306</v>
      </c>
      <c r="AT661" t="s">
        <v>239</v>
      </c>
      <c r="AU661" t="s">
        <v>268</v>
      </c>
      <c r="AV661">
        <v>9.15</v>
      </c>
    </row>
    <row r="662" spans="40:48" x14ac:dyDescent="0.25">
      <c r="AN662" t="s">
        <v>48</v>
      </c>
      <c r="AO662" t="s">
        <v>26</v>
      </c>
      <c r="AP662">
        <v>2006</v>
      </c>
      <c r="AQ662" t="s">
        <v>36</v>
      </c>
      <c r="AR662" t="s">
        <v>351</v>
      </c>
      <c r="AS662" t="s">
        <v>306</v>
      </c>
      <c r="AT662" t="s">
        <v>240</v>
      </c>
      <c r="AU662" t="s">
        <v>310</v>
      </c>
      <c r="AV662">
        <v>2.4</v>
      </c>
    </row>
    <row r="663" spans="40:48" x14ac:dyDescent="0.25">
      <c r="AN663" t="s">
        <v>48</v>
      </c>
      <c r="AO663" t="s">
        <v>26</v>
      </c>
      <c r="AP663">
        <v>2006</v>
      </c>
      <c r="AQ663" t="s">
        <v>36</v>
      </c>
      <c r="AR663" t="s">
        <v>351</v>
      </c>
      <c r="AS663" t="s">
        <v>306</v>
      </c>
      <c r="AT663" t="s">
        <v>240</v>
      </c>
      <c r="AU663" t="s">
        <v>311</v>
      </c>
      <c r="AV663">
        <v>8.85</v>
      </c>
    </row>
    <row r="664" spans="40:48" x14ac:dyDescent="0.25">
      <c r="AN664" t="s">
        <v>48</v>
      </c>
      <c r="AO664" t="s">
        <v>26</v>
      </c>
      <c r="AP664">
        <v>2006</v>
      </c>
      <c r="AQ664" t="s">
        <v>36</v>
      </c>
      <c r="AR664" t="s">
        <v>351</v>
      </c>
      <c r="AS664" t="s">
        <v>306</v>
      </c>
      <c r="AT664" t="s">
        <v>240</v>
      </c>
      <c r="AU664" t="s">
        <v>268</v>
      </c>
      <c r="AV664">
        <v>11.25</v>
      </c>
    </row>
    <row r="665" spans="40:48" x14ac:dyDescent="0.25">
      <c r="AN665" t="s">
        <v>48</v>
      </c>
      <c r="AO665" t="s">
        <v>26</v>
      </c>
      <c r="AP665">
        <v>2006</v>
      </c>
      <c r="AQ665" t="s">
        <v>36</v>
      </c>
      <c r="AR665" t="s">
        <v>351</v>
      </c>
      <c r="AS665" t="s">
        <v>306</v>
      </c>
      <c r="AT665" t="s">
        <v>316</v>
      </c>
      <c r="AU665" t="s">
        <v>310</v>
      </c>
      <c r="AV665">
        <v>3.1</v>
      </c>
    </row>
    <row r="666" spans="40:48" x14ac:dyDescent="0.25">
      <c r="AN666" t="s">
        <v>48</v>
      </c>
      <c r="AO666" t="s">
        <v>26</v>
      </c>
      <c r="AP666">
        <v>2006</v>
      </c>
      <c r="AQ666" t="s">
        <v>36</v>
      </c>
      <c r="AR666" t="s">
        <v>351</v>
      </c>
      <c r="AS666" t="s">
        <v>306</v>
      </c>
      <c r="AT666" t="s">
        <v>316</v>
      </c>
      <c r="AU666" t="s">
        <v>311</v>
      </c>
      <c r="AV666">
        <v>7.45</v>
      </c>
    </row>
    <row r="667" spans="40:48" x14ac:dyDescent="0.25">
      <c r="AN667" t="s">
        <v>48</v>
      </c>
      <c r="AO667" t="s">
        <v>26</v>
      </c>
      <c r="AP667">
        <v>2006</v>
      </c>
      <c r="AQ667" t="s">
        <v>36</v>
      </c>
      <c r="AR667" t="s">
        <v>351</v>
      </c>
      <c r="AS667" t="s">
        <v>306</v>
      </c>
      <c r="AT667" t="s">
        <v>316</v>
      </c>
      <c r="AU667" t="s">
        <v>268</v>
      </c>
      <c r="AV667">
        <v>10.55</v>
      </c>
    </row>
    <row r="668" spans="40:48" x14ac:dyDescent="0.25">
      <c r="AN668" t="s">
        <v>48</v>
      </c>
      <c r="AO668" t="s">
        <v>26</v>
      </c>
      <c r="AP668">
        <v>2006</v>
      </c>
      <c r="AQ668" t="s">
        <v>36</v>
      </c>
      <c r="AR668" t="s">
        <v>351</v>
      </c>
      <c r="AS668" t="s">
        <v>306</v>
      </c>
      <c r="AT668" t="s">
        <v>242</v>
      </c>
      <c r="AU668" t="s">
        <v>310</v>
      </c>
      <c r="AV668">
        <v>1.9</v>
      </c>
    </row>
    <row r="669" spans="40:48" x14ac:dyDescent="0.25">
      <c r="AN669" t="s">
        <v>48</v>
      </c>
      <c r="AO669" t="s">
        <v>26</v>
      </c>
      <c r="AP669">
        <v>2006</v>
      </c>
      <c r="AQ669" t="s">
        <v>36</v>
      </c>
      <c r="AR669" t="s">
        <v>351</v>
      </c>
      <c r="AS669" t="s">
        <v>306</v>
      </c>
      <c r="AT669" t="s">
        <v>242</v>
      </c>
      <c r="AU669" t="s">
        <v>311</v>
      </c>
      <c r="AV669">
        <v>8.6</v>
      </c>
    </row>
    <row r="670" spans="40:48" x14ac:dyDescent="0.25">
      <c r="AN670" t="s">
        <v>48</v>
      </c>
      <c r="AO670" t="s">
        <v>26</v>
      </c>
      <c r="AP670">
        <v>2006</v>
      </c>
      <c r="AQ670" t="s">
        <v>36</v>
      </c>
      <c r="AR670" t="s">
        <v>351</v>
      </c>
      <c r="AS670" t="s">
        <v>306</v>
      </c>
      <c r="AT670" t="s">
        <v>242</v>
      </c>
      <c r="AU670" t="s">
        <v>268</v>
      </c>
      <c r="AV670">
        <v>10.5</v>
      </c>
    </row>
    <row r="671" spans="40:48" x14ac:dyDescent="0.25">
      <c r="AN671" t="s">
        <v>48</v>
      </c>
      <c r="AO671" t="s">
        <v>26</v>
      </c>
      <c r="AP671">
        <v>2006</v>
      </c>
      <c r="AQ671" t="s">
        <v>36</v>
      </c>
      <c r="AR671" t="s">
        <v>351</v>
      </c>
      <c r="AS671" t="s">
        <v>306</v>
      </c>
      <c r="AT671" t="s">
        <v>243</v>
      </c>
      <c r="AU671" t="s">
        <v>337</v>
      </c>
      <c r="AV671">
        <v>15.6</v>
      </c>
    </row>
    <row r="672" spans="40:48" x14ac:dyDescent="0.25">
      <c r="AN672" t="s">
        <v>48</v>
      </c>
      <c r="AO672" t="s">
        <v>26</v>
      </c>
      <c r="AP672">
        <v>2006</v>
      </c>
      <c r="AQ672" t="s">
        <v>36</v>
      </c>
      <c r="AR672" t="s">
        <v>351</v>
      </c>
      <c r="AS672" t="s">
        <v>306</v>
      </c>
      <c r="AT672" t="s">
        <v>243</v>
      </c>
      <c r="AU672" t="s">
        <v>338</v>
      </c>
      <c r="AV672">
        <v>44.150000000000006</v>
      </c>
    </row>
    <row r="673" spans="40:48" x14ac:dyDescent="0.25">
      <c r="AN673" t="s">
        <v>48</v>
      </c>
      <c r="AO673" t="s">
        <v>26</v>
      </c>
      <c r="AP673">
        <v>2006</v>
      </c>
      <c r="AQ673" t="s">
        <v>36</v>
      </c>
      <c r="AR673" t="s">
        <v>351</v>
      </c>
      <c r="AS673" t="s">
        <v>306</v>
      </c>
      <c r="AT673" t="s">
        <v>243</v>
      </c>
      <c r="AU673" t="s">
        <v>349</v>
      </c>
      <c r="AV673">
        <v>59.75</v>
      </c>
    </row>
    <row r="674" spans="40:48" x14ac:dyDescent="0.25">
      <c r="AN674" t="s">
        <v>46</v>
      </c>
      <c r="AO674" t="s">
        <v>26</v>
      </c>
      <c r="AP674">
        <v>2006</v>
      </c>
      <c r="AQ674" t="s">
        <v>36</v>
      </c>
      <c r="AR674" t="s">
        <v>351</v>
      </c>
      <c r="AS674" t="s">
        <v>306</v>
      </c>
      <c r="AT674" t="s">
        <v>218</v>
      </c>
      <c r="AU674" t="s">
        <v>310</v>
      </c>
      <c r="AV674">
        <v>3.1</v>
      </c>
    </row>
    <row r="675" spans="40:48" x14ac:dyDescent="0.25">
      <c r="AN675" t="s">
        <v>46</v>
      </c>
      <c r="AO675" t="s">
        <v>26</v>
      </c>
      <c r="AP675">
        <v>2006</v>
      </c>
      <c r="AQ675" t="s">
        <v>36</v>
      </c>
      <c r="AR675" t="s">
        <v>351</v>
      </c>
      <c r="AS675" t="s">
        <v>306</v>
      </c>
      <c r="AT675" t="s">
        <v>218</v>
      </c>
      <c r="AU675" t="s">
        <v>311</v>
      </c>
      <c r="AV675">
        <v>7.7</v>
      </c>
    </row>
    <row r="676" spans="40:48" x14ac:dyDescent="0.25">
      <c r="AN676" t="s">
        <v>46</v>
      </c>
      <c r="AO676" t="s">
        <v>26</v>
      </c>
      <c r="AP676">
        <v>2006</v>
      </c>
      <c r="AQ676" t="s">
        <v>36</v>
      </c>
      <c r="AR676" t="s">
        <v>351</v>
      </c>
      <c r="AS676" t="s">
        <v>306</v>
      </c>
      <c r="AT676" t="s">
        <v>218</v>
      </c>
      <c r="AU676" t="s">
        <v>268</v>
      </c>
      <c r="AV676">
        <v>10.8</v>
      </c>
    </row>
    <row r="677" spans="40:48" x14ac:dyDescent="0.25">
      <c r="AN677" t="s">
        <v>46</v>
      </c>
      <c r="AO677" t="s">
        <v>26</v>
      </c>
      <c r="AP677">
        <v>2006</v>
      </c>
      <c r="AQ677" t="s">
        <v>36</v>
      </c>
      <c r="AR677" t="s">
        <v>351</v>
      </c>
      <c r="AS677" t="s">
        <v>306</v>
      </c>
      <c r="AT677" t="s">
        <v>238</v>
      </c>
      <c r="AU677" t="s">
        <v>310</v>
      </c>
      <c r="AV677">
        <v>2.2000000000000002</v>
      </c>
    </row>
    <row r="678" spans="40:48" x14ac:dyDescent="0.25">
      <c r="AN678" t="s">
        <v>46</v>
      </c>
      <c r="AO678" t="s">
        <v>26</v>
      </c>
      <c r="AP678">
        <v>2006</v>
      </c>
      <c r="AQ678" t="s">
        <v>36</v>
      </c>
      <c r="AR678" t="s">
        <v>351</v>
      </c>
      <c r="AS678" t="s">
        <v>306</v>
      </c>
      <c r="AT678" t="s">
        <v>238</v>
      </c>
      <c r="AU678" t="s">
        <v>311</v>
      </c>
      <c r="AV678">
        <v>2.75</v>
      </c>
    </row>
    <row r="679" spans="40:48" x14ac:dyDescent="0.25">
      <c r="AN679" t="s">
        <v>46</v>
      </c>
      <c r="AO679" t="s">
        <v>26</v>
      </c>
      <c r="AP679">
        <v>2006</v>
      </c>
      <c r="AQ679" t="s">
        <v>36</v>
      </c>
      <c r="AR679" t="s">
        <v>351</v>
      </c>
      <c r="AS679" t="s">
        <v>306</v>
      </c>
      <c r="AT679" t="s">
        <v>238</v>
      </c>
      <c r="AU679" t="s">
        <v>268</v>
      </c>
      <c r="AV679">
        <v>4.95</v>
      </c>
    </row>
    <row r="680" spans="40:48" x14ac:dyDescent="0.25">
      <c r="AN680" t="s">
        <v>46</v>
      </c>
      <c r="AO680" t="s">
        <v>26</v>
      </c>
      <c r="AP680">
        <v>2006</v>
      </c>
      <c r="AQ680" t="s">
        <v>36</v>
      </c>
      <c r="AR680" t="s">
        <v>351</v>
      </c>
      <c r="AS680" t="s">
        <v>306</v>
      </c>
      <c r="AT680" t="s">
        <v>239</v>
      </c>
      <c r="AU680" t="s">
        <v>310</v>
      </c>
      <c r="AV680">
        <v>2.1</v>
      </c>
    </row>
    <row r="681" spans="40:48" x14ac:dyDescent="0.25">
      <c r="AN681" t="s">
        <v>46</v>
      </c>
      <c r="AO681" t="s">
        <v>26</v>
      </c>
      <c r="AP681">
        <v>2006</v>
      </c>
      <c r="AQ681" t="s">
        <v>36</v>
      </c>
      <c r="AR681" t="s">
        <v>351</v>
      </c>
      <c r="AS681" t="s">
        <v>306</v>
      </c>
      <c r="AT681" t="s">
        <v>239</v>
      </c>
      <c r="AU681" t="s">
        <v>311</v>
      </c>
      <c r="AV681">
        <v>6.65</v>
      </c>
    </row>
    <row r="682" spans="40:48" x14ac:dyDescent="0.25">
      <c r="AN682" t="s">
        <v>46</v>
      </c>
      <c r="AO682" t="s">
        <v>26</v>
      </c>
      <c r="AP682">
        <v>2006</v>
      </c>
      <c r="AQ682" t="s">
        <v>36</v>
      </c>
      <c r="AR682" t="s">
        <v>351</v>
      </c>
      <c r="AS682" t="s">
        <v>306</v>
      </c>
      <c r="AT682" t="s">
        <v>239</v>
      </c>
      <c r="AU682" t="s">
        <v>268</v>
      </c>
      <c r="AV682">
        <v>8.75</v>
      </c>
    </row>
    <row r="683" spans="40:48" x14ac:dyDescent="0.25">
      <c r="AN683" t="s">
        <v>46</v>
      </c>
      <c r="AO683" t="s">
        <v>26</v>
      </c>
      <c r="AP683">
        <v>2006</v>
      </c>
      <c r="AQ683" t="s">
        <v>36</v>
      </c>
      <c r="AR683" t="s">
        <v>351</v>
      </c>
      <c r="AS683" t="s">
        <v>306</v>
      </c>
      <c r="AT683" t="s">
        <v>240</v>
      </c>
      <c r="AU683" t="s">
        <v>310</v>
      </c>
      <c r="AV683">
        <v>1.6</v>
      </c>
    </row>
    <row r="684" spans="40:48" x14ac:dyDescent="0.25">
      <c r="AN684" t="s">
        <v>46</v>
      </c>
      <c r="AO684" t="s">
        <v>26</v>
      </c>
      <c r="AP684">
        <v>2006</v>
      </c>
      <c r="AQ684" t="s">
        <v>36</v>
      </c>
      <c r="AR684" t="s">
        <v>351</v>
      </c>
      <c r="AS684" t="s">
        <v>306</v>
      </c>
      <c r="AT684" t="s">
        <v>240</v>
      </c>
      <c r="AU684" t="s">
        <v>311</v>
      </c>
      <c r="AV684">
        <v>9</v>
      </c>
    </row>
    <row r="685" spans="40:48" x14ac:dyDescent="0.25">
      <c r="AN685" t="s">
        <v>46</v>
      </c>
      <c r="AO685" t="s">
        <v>26</v>
      </c>
      <c r="AP685">
        <v>2006</v>
      </c>
      <c r="AQ685" t="s">
        <v>36</v>
      </c>
      <c r="AR685" t="s">
        <v>351</v>
      </c>
      <c r="AS685" t="s">
        <v>306</v>
      </c>
      <c r="AT685" t="s">
        <v>240</v>
      </c>
      <c r="AU685" t="s">
        <v>268</v>
      </c>
      <c r="AV685">
        <v>10.6</v>
      </c>
    </row>
    <row r="686" spans="40:48" x14ac:dyDescent="0.25">
      <c r="AN686" t="s">
        <v>46</v>
      </c>
      <c r="AO686" t="s">
        <v>26</v>
      </c>
      <c r="AP686">
        <v>2006</v>
      </c>
      <c r="AQ686" t="s">
        <v>36</v>
      </c>
      <c r="AR686" t="s">
        <v>351</v>
      </c>
      <c r="AS686" t="s">
        <v>306</v>
      </c>
      <c r="AT686" t="s">
        <v>316</v>
      </c>
      <c r="AU686" t="s">
        <v>310</v>
      </c>
      <c r="AV686">
        <v>3.1</v>
      </c>
    </row>
    <row r="687" spans="40:48" x14ac:dyDescent="0.25">
      <c r="AN687" t="s">
        <v>46</v>
      </c>
      <c r="AO687" t="s">
        <v>26</v>
      </c>
      <c r="AP687">
        <v>2006</v>
      </c>
      <c r="AQ687" t="s">
        <v>36</v>
      </c>
      <c r="AR687" t="s">
        <v>351</v>
      </c>
      <c r="AS687" t="s">
        <v>306</v>
      </c>
      <c r="AT687" t="s">
        <v>316</v>
      </c>
      <c r="AU687" t="s">
        <v>311</v>
      </c>
      <c r="AV687">
        <v>8.6</v>
      </c>
    </row>
    <row r="688" spans="40:48" x14ac:dyDescent="0.25">
      <c r="AN688" t="s">
        <v>46</v>
      </c>
      <c r="AO688" t="s">
        <v>26</v>
      </c>
      <c r="AP688">
        <v>2006</v>
      </c>
      <c r="AQ688" t="s">
        <v>36</v>
      </c>
      <c r="AR688" t="s">
        <v>351</v>
      </c>
      <c r="AS688" t="s">
        <v>306</v>
      </c>
      <c r="AT688" t="s">
        <v>316</v>
      </c>
      <c r="AU688" t="s">
        <v>268</v>
      </c>
      <c r="AV688">
        <v>11.7</v>
      </c>
    </row>
    <row r="689" spans="40:48" x14ac:dyDescent="0.25">
      <c r="AN689" t="s">
        <v>46</v>
      </c>
      <c r="AO689" t="s">
        <v>26</v>
      </c>
      <c r="AP689">
        <v>2006</v>
      </c>
      <c r="AQ689" t="s">
        <v>36</v>
      </c>
      <c r="AR689" t="s">
        <v>351</v>
      </c>
      <c r="AS689" t="s">
        <v>306</v>
      </c>
      <c r="AT689" t="s">
        <v>242</v>
      </c>
      <c r="AU689" t="s">
        <v>310</v>
      </c>
      <c r="AV689">
        <v>1.9</v>
      </c>
    </row>
    <row r="690" spans="40:48" x14ac:dyDescent="0.25">
      <c r="AN690" t="s">
        <v>46</v>
      </c>
      <c r="AO690" t="s">
        <v>26</v>
      </c>
      <c r="AP690">
        <v>2006</v>
      </c>
      <c r="AQ690" t="s">
        <v>36</v>
      </c>
      <c r="AR690" t="s">
        <v>351</v>
      </c>
      <c r="AS690" t="s">
        <v>306</v>
      </c>
      <c r="AT690" t="s">
        <v>242</v>
      </c>
      <c r="AU690" t="s">
        <v>311</v>
      </c>
      <c r="AV690">
        <v>7.75</v>
      </c>
    </row>
    <row r="691" spans="40:48" x14ac:dyDescent="0.25">
      <c r="AN691" t="s">
        <v>46</v>
      </c>
      <c r="AO691" t="s">
        <v>26</v>
      </c>
      <c r="AP691">
        <v>2006</v>
      </c>
      <c r="AQ691" t="s">
        <v>36</v>
      </c>
      <c r="AR691" t="s">
        <v>351</v>
      </c>
      <c r="AS691" t="s">
        <v>306</v>
      </c>
      <c r="AT691" t="s">
        <v>242</v>
      </c>
      <c r="AU691" t="s">
        <v>268</v>
      </c>
      <c r="AV691">
        <v>9.65</v>
      </c>
    </row>
    <row r="692" spans="40:48" x14ac:dyDescent="0.25">
      <c r="AN692" t="s">
        <v>46</v>
      </c>
      <c r="AO692" t="s">
        <v>26</v>
      </c>
      <c r="AP692">
        <v>2006</v>
      </c>
      <c r="AQ692" t="s">
        <v>36</v>
      </c>
      <c r="AR692" t="s">
        <v>351</v>
      </c>
      <c r="AS692" t="s">
        <v>306</v>
      </c>
      <c r="AT692" t="s">
        <v>243</v>
      </c>
      <c r="AU692" t="s">
        <v>337</v>
      </c>
      <c r="AV692">
        <v>14</v>
      </c>
    </row>
    <row r="693" spans="40:48" x14ac:dyDescent="0.25">
      <c r="AN693" t="s">
        <v>46</v>
      </c>
      <c r="AO693" t="s">
        <v>26</v>
      </c>
      <c r="AP693">
        <v>2006</v>
      </c>
      <c r="AQ693" t="s">
        <v>36</v>
      </c>
      <c r="AR693" t="s">
        <v>351</v>
      </c>
      <c r="AS693" t="s">
        <v>306</v>
      </c>
      <c r="AT693" t="s">
        <v>243</v>
      </c>
      <c r="AU693" t="s">
        <v>338</v>
      </c>
      <c r="AV693">
        <v>42.45</v>
      </c>
    </row>
    <row r="694" spans="40:48" x14ac:dyDescent="0.25">
      <c r="AN694" t="s">
        <v>46</v>
      </c>
      <c r="AO694" t="s">
        <v>26</v>
      </c>
      <c r="AP694">
        <v>2006</v>
      </c>
      <c r="AQ694" t="s">
        <v>36</v>
      </c>
      <c r="AR694" t="s">
        <v>351</v>
      </c>
      <c r="AS694" t="s">
        <v>306</v>
      </c>
      <c r="AT694" t="s">
        <v>243</v>
      </c>
      <c r="AU694" t="s">
        <v>349</v>
      </c>
      <c r="AV694">
        <v>56.45</v>
      </c>
    </row>
    <row r="695" spans="40:48" x14ac:dyDescent="0.25">
      <c r="AN695" t="s">
        <v>114</v>
      </c>
      <c r="AO695" t="s">
        <v>26</v>
      </c>
      <c r="AP695">
        <v>2006</v>
      </c>
      <c r="AQ695" t="s">
        <v>36</v>
      </c>
      <c r="AR695" t="s">
        <v>351</v>
      </c>
      <c r="AS695" t="s">
        <v>307</v>
      </c>
      <c r="AT695" t="s">
        <v>218</v>
      </c>
      <c r="AU695" t="s">
        <v>310</v>
      </c>
      <c r="AV695">
        <v>0</v>
      </c>
    </row>
    <row r="696" spans="40:48" x14ac:dyDescent="0.25">
      <c r="AN696" t="s">
        <v>114</v>
      </c>
      <c r="AO696" t="s">
        <v>26</v>
      </c>
      <c r="AP696">
        <v>2006</v>
      </c>
      <c r="AQ696" t="s">
        <v>36</v>
      </c>
      <c r="AR696" t="s">
        <v>351</v>
      </c>
      <c r="AS696" t="s">
        <v>307</v>
      </c>
      <c r="AT696" t="s">
        <v>218</v>
      </c>
      <c r="AU696" t="s">
        <v>311</v>
      </c>
      <c r="AV696">
        <v>0</v>
      </c>
    </row>
    <row r="697" spans="40:48" x14ac:dyDescent="0.25">
      <c r="AN697" t="s">
        <v>114</v>
      </c>
      <c r="AO697" t="s">
        <v>26</v>
      </c>
      <c r="AP697">
        <v>2006</v>
      </c>
      <c r="AQ697" t="s">
        <v>36</v>
      </c>
      <c r="AR697" t="s">
        <v>351</v>
      </c>
      <c r="AS697" t="s">
        <v>307</v>
      </c>
      <c r="AT697" t="s">
        <v>218</v>
      </c>
      <c r="AU697" t="s">
        <v>268</v>
      </c>
      <c r="AV697">
        <v>0</v>
      </c>
    </row>
    <row r="698" spans="40:48" x14ac:dyDescent="0.25">
      <c r="AN698" t="s">
        <v>114</v>
      </c>
      <c r="AO698" t="s">
        <v>26</v>
      </c>
      <c r="AP698">
        <v>2006</v>
      </c>
      <c r="AQ698" t="s">
        <v>36</v>
      </c>
      <c r="AR698" t="s">
        <v>351</v>
      </c>
      <c r="AS698" t="s">
        <v>307</v>
      </c>
      <c r="AT698" t="s">
        <v>238</v>
      </c>
      <c r="AU698" t="s">
        <v>310</v>
      </c>
      <c r="AV698">
        <v>2.6</v>
      </c>
    </row>
    <row r="699" spans="40:48" x14ac:dyDescent="0.25">
      <c r="AN699" t="s">
        <v>114</v>
      </c>
      <c r="AO699" t="s">
        <v>26</v>
      </c>
      <c r="AP699">
        <v>2006</v>
      </c>
      <c r="AQ699" t="s">
        <v>36</v>
      </c>
      <c r="AR699" t="s">
        <v>351</v>
      </c>
      <c r="AS699" t="s">
        <v>307</v>
      </c>
      <c r="AT699" t="s">
        <v>238</v>
      </c>
      <c r="AU699" t="s">
        <v>311</v>
      </c>
      <c r="AV699">
        <v>7.65</v>
      </c>
    </row>
    <row r="700" spans="40:48" x14ac:dyDescent="0.25">
      <c r="AN700" t="s">
        <v>114</v>
      </c>
      <c r="AO700" t="s">
        <v>26</v>
      </c>
      <c r="AP700">
        <v>2006</v>
      </c>
      <c r="AQ700" t="s">
        <v>36</v>
      </c>
      <c r="AR700" t="s">
        <v>351</v>
      </c>
      <c r="AS700" t="s">
        <v>307</v>
      </c>
      <c r="AT700" t="s">
        <v>238</v>
      </c>
      <c r="AU700" t="s">
        <v>268</v>
      </c>
      <c r="AV700">
        <v>10.25</v>
      </c>
    </row>
    <row r="701" spans="40:48" x14ac:dyDescent="0.25">
      <c r="AN701" t="s">
        <v>114</v>
      </c>
      <c r="AO701" t="s">
        <v>26</v>
      </c>
      <c r="AP701">
        <v>2006</v>
      </c>
      <c r="AQ701" t="s">
        <v>36</v>
      </c>
      <c r="AR701" t="s">
        <v>351</v>
      </c>
      <c r="AS701" t="s">
        <v>307</v>
      </c>
      <c r="AT701" t="s">
        <v>239</v>
      </c>
      <c r="AU701" t="s">
        <v>310</v>
      </c>
      <c r="AV701">
        <v>1.7</v>
      </c>
    </row>
    <row r="702" spans="40:48" x14ac:dyDescent="0.25">
      <c r="AN702" t="s">
        <v>114</v>
      </c>
      <c r="AO702" t="s">
        <v>26</v>
      </c>
      <c r="AP702">
        <v>2006</v>
      </c>
      <c r="AQ702" t="s">
        <v>36</v>
      </c>
      <c r="AR702" t="s">
        <v>351</v>
      </c>
      <c r="AS702" t="s">
        <v>307</v>
      </c>
      <c r="AT702" t="s">
        <v>239</v>
      </c>
      <c r="AU702" t="s">
        <v>311</v>
      </c>
      <c r="AV702">
        <v>7.85</v>
      </c>
    </row>
    <row r="703" spans="40:48" x14ac:dyDescent="0.25">
      <c r="AN703" t="s">
        <v>114</v>
      </c>
      <c r="AO703" t="s">
        <v>26</v>
      </c>
      <c r="AP703">
        <v>2006</v>
      </c>
      <c r="AQ703" t="s">
        <v>36</v>
      </c>
      <c r="AR703" t="s">
        <v>351</v>
      </c>
      <c r="AS703" t="s">
        <v>307</v>
      </c>
      <c r="AT703" t="s">
        <v>239</v>
      </c>
      <c r="AU703" t="s">
        <v>268</v>
      </c>
      <c r="AV703">
        <v>9.5500000000000007</v>
      </c>
    </row>
    <row r="704" spans="40:48" x14ac:dyDescent="0.25">
      <c r="AN704" t="s">
        <v>114</v>
      </c>
      <c r="AO704" t="s">
        <v>26</v>
      </c>
      <c r="AP704">
        <v>2006</v>
      </c>
      <c r="AQ704" t="s">
        <v>36</v>
      </c>
      <c r="AR704" t="s">
        <v>351</v>
      </c>
      <c r="AS704" t="s">
        <v>307</v>
      </c>
      <c r="AT704" t="s">
        <v>240</v>
      </c>
      <c r="AU704" t="s">
        <v>310</v>
      </c>
      <c r="AV704">
        <v>1.6</v>
      </c>
    </row>
    <row r="705" spans="40:48" x14ac:dyDescent="0.25">
      <c r="AN705" t="s">
        <v>114</v>
      </c>
      <c r="AO705" t="s">
        <v>26</v>
      </c>
      <c r="AP705">
        <v>2006</v>
      </c>
      <c r="AQ705" t="s">
        <v>36</v>
      </c>
      <c r="AR705" t="s">
        <v>351</v>
      </c>
      <c r="AS705" t="s">
        <v>307</v>
      </c>
      <c r="AT705" t="s">
        <v>240</v>
      </c>
      <c r="AU705" t="s">
        <v>311</v>
      </c>
      <c r="AV705">
        <v>8.8000000000000007</v>
      </c>
    </row>
    <row r="706" spans="40:48" x14ac:dyDescent="0.25">
      <c r="AN706" t="s">
        <v>114</v>
      </c>
      <c r="AO706" t="s">
        <v>26</v>
      </c>
      <c r="AP706">
        <v>2006</v>
      </c>
      <c r="AQ706" t="s">
        <v>36</v>
      </c>
      <c r="AR706" t="s">
        <v>351</v>
      </c>
      <c r="AS706" t="s">
        <v>307</v>
      </c>
      <c r="AT706" t="s">
        <v>240</v>
      </c>
      <c r="AU706" t="s">
        <v>268</v>
      </c>
      <c r="AV706">
        <v>10.4</v>
      </c>
    </row>
    <row r="707" spans="40:48" x14ac:dyDescent="0.25">
      <c r="AN707" t="s">
        <v>114</v>
      </c>
      <c r="AO707" t="s">
        <v>26</v>
      </c>
      <c r="AP707">
        <v>2006</v>
      </c>
      <c r="AQ707" t="s">
        <v>36</v>
      </c>
      <c r="AR707" t="s">
        <v>351</v>
      </c>
      <c r="AS707" t="s">
        <v>307</v>
      </c>
      <c r="AT707" t="s">
        <v>316</v>
      </c>
      <c r="AU707" t="s">
        <v>310</v>
      </c>
      <c r="AV707">
        <v>2.4</v>
      </c>
    </row>
    <row r="708" spans="40:48" x14ac:dyDescent="0.25">
      <c r="AN708" t="s">
        <v>114</v>
      </c>
      <c r="AO708" t="s">
        <v>26</v>
      </c>
      <c r="AP708">
        <v>2006</v>
      </c>
      <c r="AQ708" t="s">
        <v>36</v>
      </c>
      <c r="AR708" t="s">
        <v>351</v>
      </c>
      <c r="AS708" t="s">
        <v>307</v>
      </c>
      <c r="AT708" t="s">
        <v>316</v>
      </c>
      <c r="AU708" t="s">
        <v>311</v>
      </c>
      <c r="AV708">
        <v>8</v>
      </c>
    </row>
    <row r="709" spans="40:48" x14ac:dyDescent="0.25">
      <c r="AN709" t="s">
        <v>114</v>
      </c>
      <c r="AO709" t="s">
        <v>26</v>
      </c>
      <c r="AP709">
        <v>2006</v>
      </c>
      <c r="AQ709" t="s">
        <v>36</v>
      </c>
      <c r="AR709" t="s">
        <v>351</v>
      </c>
      <c r="AS709" t="s">
        <v>307</v>
      </c>
      <c r="AT709" t="s">
        <v>316</v>
      </c>
      <c r="AU709" t="s">
        <v>268</v>
      </c>
      <c r="AV709">
        <v>10.4</v>
      </c>
    </row>
    <row r="710" spans="40:48" x14ac:dyDescent="0.25">
      <c r="AN710" t="s">
        <v>114</v>
      </c>
      <c r="AO710" t="s">
        <v>26</v>
      </c>
      <c r="AP710">
        <v>2006</v>
      </c>
      <c r="AQ710" t="s">
        <v>36</v>
      </c>
      <c r="AR710" t="s">
        <v>351</v>
      </c>
      <c r="AS710" t="s">
        <v>307</v>
      </c>
      <c r="AT710" t="s">
        <v>242</v>
      </c>
      <c r="AU710" t="s">
        <v>310</v>
      </c>
      <c r="AV710">
        <v>1.8</v>
      </c>
    </row>
    <row r="711" spans="40:48" x14ac:dyDescent="0.25">
      <c r="AN711" t="s">
        <v>114</v>
      </c>
      <c r="AO711" t="s">
        <v>26</v>
      </c>
      <c r="AP711">
        <v>2006</v>
      </c>
      <c r="AQ711" t="s">
        <v>36</v>
      </c>
      <c r="AR711" t="s">
        <v>351</v>
      </c>
      <c r="AS711" t="s">
        <v>307</v>
      </c>
      <c r="AT711" t="s">
        <v>242</v>
      </c>
      <c r="AU711" t="s">
        <v>311</v>
      </c>
      <c r="AV711">
        <v>8.8000000000000007</v>
      </c>
    </row>
    <row r="712" spans="40:48" x14ac:dyDescent="0.25">
      <c r="AN712" t="s">
        <v>114</v>
      </c>
      <c r="AO712" t="s">
        <v>26</v>
      </c>
      <c r="AP712">
        <v>2006</v>
      </c>
      <c r="AQ712" t="s">
        <v>36</v>
      </c>
      <c r="AR712" t="s">
        <v>351</v>
      </c>
      <c r="AS712" t="s">
        <v>307</v>
      </c>
      <c r="AT712" t="s">
        <v>242</v>
      </c>
      <c r="AU712" t="s">
        <v>268</v>
      </c>
      <c r="AV712">
        <v>10.6</v>
      </c>
    </row>
    <row r="713" spans="40:48" x14ac:dyDescent="0.25">
      <c r="AN713" t="s">
        <v>114</v>
      </c>
      <c r="AO713" t="s">
        <v>26</v>
      </c>
      <c r="AP713">
        <v>2006</v>
      </c>
      <c r="AQ713" t="s">
        <v>36</v>
      </c>
      <c r="AR713" t="s">
        <v>351</v>
      </c>
      <c r="AS713" t="s">
        <v>307</v>
      </c>
      <c r="AT713" t="s">
        <v>243</v>
      </c>
      <c r="AU713" t="s">
        <v>337</v>
      </c>
      <c r="AV713">
        <v>0</v>
      </c>
    </row>
    <row r="714" spans="40:48" x14ac:dyDescent="0.25">
      <c r="AN714" t="s">
        <v>114</v>
      </c>
      <c r="AO714" t="s">
        <v>26</v>
      </c>
      <c r="AP714">
        <v>2006</v>
      </c>
      <c r="AQ714" t="s">
        <v>36</v>
      </c>
      <c r="AR714" t="s">
        <v>351</v>
      </c>
      <c r="AS714" t="s">
        <v>307</v>
      </c>
      <c r="AT714" t="s">
        <v>243</v>
      </c>
      <c r="AU714" t="s">
        <v>338</v>
      </c>
      <c r="AV714">
        <v>0</v>
      </c>
    </row>
    <row r="715" spans="40:48" x14ac:dyDescent="0.25">
      <c r="AN715" t="s">
        <v>114</v>
      </c>
      <c r="AO715" t="s">
        <v>26</v>
      </c>
      <c r="AP715">
        <v>2006</v>
      </c>
      <c r="AQ715" t="s">
        <v>36</v>
      </c>
      <c r="AR715" t="s">
        <v>351</v>
      </c>
      <c r="AS715" t="s">
        <v>307</v>
      </c>
      <c r="AT715" t="s">
        <v>243</v>
      </c>
      <c r="AU715" t="s">
        <v>349</v>
      </c>
      <c r="AV715">
        <v>51.2</v>
      </c>
    </row>
    <row r="716" spans="40:48" x14ac:dyDescent="0.25">
      <c r="AN716" t="s">
        <v>120</v>
      </c>
      <c r="AO716" t="s">
        <v>26</v>
      </c>
      <c r="AP716">
        <v>2006</v>
      </c>
      <c r="AQ716" t="s">
        <v>39</v>
      </c>
      <c r="AR716" t="s">
        <v>351</v>
      </c>
      <c r="AS716" t="s">
        <v>307</v>
      </c>
      <c r="AT716" t="s">
        <v>218</v>
      </c>
      <c r="AU716" t="s">
        <v>310</v>
      </c>
      <c r="AV716">
        <v>2.6</v>
      </c>
    </row>
    <row r="717" spans="40:48" x14ac:dyDescent="0.25">
      <c r="AN717" t="s">
        <v>120</v>
      </c>
      <c r="AO717" t="s">
        <v>26</v>
      </c>
      <c r="AP717">
        <v>2006</v>
      </c>
      <c r="AQ717" t="s">
        <v>39</v>
      </c>
      <c r="AR717" t="s">
        <v>351</v>
      </c>
      <c r="AS717" t="s">
        <v>307</v>
      </c>
      <c r="AT717" t="s">
        <v>218</v>
      </c>
      <c r="AU717" t="s">
        <v>311</v>
      </c>
      <c r="AV717">
        <v>7.8</v>
      </c>
    </row>
    <row r="718" spans="40:48" x14ac:dyDescent="0.25">
      <c r="AN718" t="s">
        <v>120</v>
      </c>
      <c r="AO718" t="s">
        <v>26</v>
      </c>
      <c r="AP718">
        <v>2006</v>
      </c>
      <c r="AQ718" t="s">
        <v>39</v>
      </c>
      <c r="AR718" t="s">
        <v>351</v>
      </c>
      <c r="AS718" t="s">
        <v>307</v>
      </c>
      <c r="AT718" t="s">
        <v>218</v>
      </c>
      <c r="AU718" t="s">
        <v>268</v>
      </c>
      <c r="AV718">
        <v>10.4</v>
      </c>
    </row>
    <row r="719" spans="40:48" x14ac:dyDescent="0.25">
      <c r="AN719" t="s">
        <v>120</v>
      </c>
      <c r="AO719" t="s">
        <v>26</v>
      </c>
      <c r="AP719">
        <v>2006</v>
      </c>
      <c r="AQ719" t="s">
        <v>39</v>
      </c>
      <c r="AR719" t="s">
        <v>351</v>
      </c>
      <c r="AS719" t="s">
        <v>307</v>
      </c>
      <c r="AT719" t="s">
        <v>238</v>
      </c>
      <c r="AU719" t="s">
        <v>310</v>
      </c>
      <c r="AV719">
        <v>2.4</v>
      </c>
    </row>
    <row r="720" spans="40:48" x14ac:dyDescent="0.25">
      <c r="AN720" t="s">
        <v>120</v>
      </c>
      <c r="AO720" t="s">
        <v>26</v>
      </c>
      <c r="AP720">
        <v>2006</v>
      </c>
      <c r="AQ720" t="s">
        <v>39</v>
      </c>
      <c r="AR720" t="s">
        <v>351</v>
      </c>
      <c r="AS720" t="s">
        <v>307</v>
      </c>
      <c r="AT720" t="s">
        <v>238</v>
      </c>
      <c r="AU720" t="s">
        <v>311</v>
      </c>
      <c r="AV720">
        <v>5.7</v>
      </c>
    </row>
    <row r="721" spans="40:48" x14ac:dyDescent="0.25">
      <c r="AN721" t="s">
        <v>120</v>
      </c>
      <c r="AO721" t="s">
        <v>26</v>
      </c>
      <c r="AP721">
        <v>2006</v>
      </c>
      <c r="AQ721" t="s">
        <v>39</v>
      </c>
      <c r="AR721" t="s">
        <v>351</v>
      </c>
      <c r="AS721" t="s">
        <v>307</v>
      </c>
      <c r="AT721" t="s">
        <v>238</v>
      </c>
      <c r="AU721" t="s">
        <v>268</v>
      </c>
      <c r="AV721">
        <v>8.1</v>
      </c>
    </row>
    <row r="722" spans="40:48" x14ac:dyDescent="0.25">
      <c r="AN722" t="s">
        <v>120</v>
      </c>
      <c r="AO722" t="s">
        <v>26</v>
      </c>
      <c r="AP722">
        <v>2006</v>
      </c>
      <c r="AQ722" t="s">
        <v>39</v>
      </c>
      <c r="AR722" t="s">
        <v>351</v>
      </c>
      <c r="AS722" t="s">
        <v>307</v>
      </c>
      <c r="AT722" t="s">
        <v>239</v>
      </c>
      <c r="AU722" t="s">
        <v>310</v>
      </c>
      <c r="AV722">
        <v>1.8</v>
      </c>
    </row>
    <row r="723" spans="40:48" x14ac:dyDescent="0.25">
      <c r="AN723" t="s">
        <v>120</v>
      </c>
      <c r="AO723" t="s">
        <v>26</v>
      </c>
      <c r="AP723">
        <v>2006</v>
      </c>
      <c r="AQ723" t="s">
        <v>39</v>
      </c>
      <c r="AR723" t="s">
        <v>351</v>
      </c>
      <c r="AS723" t="s">
        <v>307</v>
      </c>
      <c r="AT723" t="s">
        <v>239</v>
      </c>
      <c r="AU723" t="s">
        <v>311</v>
      </c>
      <c r="AV723">
        <v>6.8</v>
      </c>
    </row>
    <row r="724" spans="40:48" x14ac:dyDescent="0.25">
      <c r="AN724" t="s">
        <v>120</v>
      </c>
      <c r="AO724" t="s">
        <v>26</v>
      </c>
      <c r="AP724">
        <v>2006</v>
      </c>
      <c r="AQ724" t="s">
        <v>39</v>
      </c>
      <c r="AR724" t="s">
        <v>351</v>
      </c>
      <c r="AS724" t="s">
        <v>307</v>
      </c>
      <c r="AT724" t="s">
        <v>239</v>
      </c>
      <c r="AU724" t="s">
        <v>268</v>
      </c>
      <c r="AV724">
        <v>8.6</v>
      </c>
    </row>
    <row r="725" spans="40:48" x14ac:dyDescent="0.25">
      <c r="AN725" t="s">
        <v>120</v>
      </c>
      <c r="AO725" t="s">
        <v>26</v>
      </c>
      <c r="AP725">
        <v>2006</v>
      </c>
      <c r="AQ725" t="s">
        <v>39</v>
      </c>
      <c r="AR725" t="s">
        <v>351</v>
      </c>
      <c r="AS725" t="s">
        <v>307</v>
      </c>
      <c r="AT725" t="s">
        <v>240</v>
      </c>
      <c r="AU725" t="s">
        <v>310</v>
      </c>
      <c r="AV725">
        <v>2.4</v>
      </c>
    </row>
    <row r="726" spans="40:48" x14ac:dyDescent="0.25">
      <c r="AN726" t="s">
        <v>120</v>
      </c>
      <c r="AO726" t="s">
        <v>26</v>
      </c>
      <c r="AP726">
        <v>2006</v>
      </c>
      <c r="AQ726" t="s">
        <v>39</v>
      </c>
      <c r="AR726" t="s">
        <v>351</v>
      </c>
      <c r="AS726" t="s">
        <v>307</v>
      </c>
      <c r="AT726" t="s">
        <v>240</v>
      </c>
      <c r="AU726" t="s">
        <v>311</v>
      </c>
      <c r="AV726">
        <v>7.8</v>
      </c>
    </row>
    <row r="727" spans="40:48" x14ac:dyDescent="0.25">
      <c r="AN727" t="s">
        <v>120</v>
      </c>
      <c r="AO727" t="s">
        <v>26</v>
      </c>
      <c r="AP727">
        <v>2006</v>
      </c>
      <c r="AQ727" t="s">
        <v>39</v>
      </c>
      <c r="AR727" t="s">
        <v>351</v>
      </c>
      <c r="AS727" t="s">
        <v>307</v>
      </c>
      <c r="AT727" t="s">
        <v>240</v>
      </c>
      <c r="AU727" t="s">
        <v>268</v>
      </c>
      <c r="AV727">
        <v>10.199999999999999</v>
      </c>
    </row>
    <row r="728" spans="40:48" x14ac:dyDescent="0.25">
      <c r="AN728" t="s">
        <v>120</v>
      </c>
      <c r="AO728" t="s">
        <v>26</v>
      </c>
      <c r="AP728">
        <v>2006</v>
      </c>
      <c r="AQ728" t="s">
        <v>39</v>
      </c>
      <c r="AR728" t="s">
        <v>351</v>
      </c>
      <c r="AS728" t="s">
        <v>307</v>
      </c>
      <c r="AT728" t="s">
        <v>316</v>
      </c>
      <c r="AU728" t="s">
        <v>310</v>
      </c>
      <c r="AV728">
        <v>2.2999999999999998</v>
      </c>
    </row>
    <row r="729" spans="40:48" x14ac:dyDescent="0.25">
      <c r="AN729" t="s">
        <v>120</v>
      </c>
      <c r="AO729" t="s">
        <v>26</v>
      </c>
      <c r="AP729">
        <v>2006</v>
      </c>
      <c r="AQ729" t="s">
        <v>39</v>
      </c>
      <c r="AR729" t="s">
        <v>351</v>
      </c>
      <c r="AS729" t="s">
        <v>307</v>
      </c>
      <c r="AT729" t="s">
        <v>316</v>
      </c>
      <c r="AU729" t="s">
        <v>311</v>
      </c>
      <c r="AV729">
        <v>7.45</v>
      </c>
    </row>
    <row r="730" spans="40:48" x14ac:dyDescent="0.25">
      <c r="AN730" t="s">
        <v>120</v>
      </c>
      <c r="AO730" t="s">
        <v>26</v>
      </c>
      <c r="AP730">
        <v>2006</v>
      </c>
      <c r="AQ730" t="s">
        <v>39</v>
      </c>
      <c r="AR730" t="s">
        <v>351</v>
      </c>
      <c r="AS730" t="s">
        <v>307</v>
      </c>
      <c r="AT730" t="s">
        <v>316</v>
      </c>
      <c r="AU730" t="s">
        <v>268</v>
      </c>
      <c r="AV730">
        <v>9.75</v>
      </c>
    </row>
    <row r="731" spans="40:48" x14ac:dyDescent="0.25">
      <c r="AN731" t="s">
        <v>120</v>
      </c>
      <c r="AO731" t="s">
        <v>26</v>
      </c>
      <c r="AP731">
        <v>2006</v>
      </c>
      <c r="AQ731" t="s">
        <v>39</v>
      </c>
      <c r="AR731" t="s">
        <v>351</v>
      </c>
      <c r="AS731" t="s">
        <v>307</v>
      </c>
      <c r="AT731" t="s">
        <v>242</v>
      </c>
      <c r="AU731" t="s">
        <v>310</v>
      </c>
      <c r="AV731">
        <v>0</v>
      </c>
    </row>
    <row r="732" spans="40:48" x14ac:dyDescent="0.25">
      <c r="AN732" t="s">
        <v>120</v>
      </c>
      <c r="AO732" t="s">
        <v>26</v>
      </c>
      <c r="AP732">
        <v>2006</v>
      </c>
      <c r="AQ732" t="s">
        <v>39</v>
      </c>
      <c r="AR732" t="s">
        <v>351</v>
      </c>
      <c r="AS732" t="s">
        <v>307</v>
      </c>
      <c r="AT732" t="s">
        <v>242</v>
      </c>
      <c r="AU732" t="s">
        <v>311</v>
      </c>
      <c r="AV732">
        <v>0</v>
      </c>
    </row>
    <row r="733" spans="40:48" x14ac:dyDescent="0.25">
      <c r="AN733" t="s">
        <v>120</v>
      </c>
      <c r="AO733" t="s">
        <v>26</v>
      </c>
      <c r="AP733">
        <v>2006</v>
      </c>
      <c r="AQ733" t="s">
        <v>39</v>
      </c>
      <c r="AR733" t="s">
        <v>351</v>
      </c>
      <c r="AS733" t="s">
        <v>307</v>
      </c>
      <c r="AT733" t="s">
        <v>242</v>
      </c>
      <c r="AU733" t="s">
        <v>268</v>
      </c>
      <c r="AV733">
        <v>0</v>
      </c>
    </row>
    <row r="734" spans="40:48" x14ac:dyDescent="0.25">
      <c r="AN734" t="s">
        <v>120</v>
      </c>
      <c r="AO734" t="s">
        <v>26</v>
      </c>
      <c r="AP734">
        <v>2006</v>
      </c>
      <c r="AQ734" t="s">
        <v>39</v>
      </c>
      <c r="AR734" t="s">
        <v>351</v>
      </c>
      <c r="AS734" t="s">
        <v>307</v>
      </c>
      <c r="AT734" t="s">
        <v>243</v>
      </c>
      <c r="AU734" t="s">
        <v>337</v>
      </c>
      <c r="AV734">
        <v>0</v>
      </c>
    </row>
    <row r="735" spans="40:48" x14ac:dyDescent="0.25">
      <c r="AN735" t="s">
        <v>120</v>
      </c>
      <c r="AO735" t="s">
        <v>26</v>
      </c>
      <c r="AP735">
        <v>2006</v>
      </c>
      <c r="AQ735" t="s">
        <v>39</v>
      </c>
      <c r="AR735" t="s">
        <v>351</v>
      </c>
      <c r="AS735" t="s">
        <v>307</v>
      </c>
      <c r="AT735" t="s">
        <v>243</v>
      </c>
      <c r="AU735" t="s">
        <v>338</v>
      </c>
      <c r="AV735">
        <v>0</v>
      </c>
    </row>
    <row r="736" spans="40:48" x14ac:dyDescent="0.25">
      <c r="AN736" t="s">
        <v>120</v>
      </c>
      <c r="AO736" t="s">
        <v>26</v>
      </c>
      <c r="AP736">
        <v>2006</v>
      </c>
      <c r="AQ736" t="s">
        <v>39</v>
      </c>
      <c r="AR736" t="s">
        <v>351</v>
      </c>
      <c r="AS736" t="s">
        <v>307</v>
      </c>
      <c r="AT736" t="s">
        <v>243</v>
      </c>
      <c r="AU736" t="s">
        <v>349</v>
      </c>
      <c r="AV736">
        <v>47.05</v>
      </c>
    </row>
    <row r="737" spans="40:48" x14ac:dyDescent="0.25">
      <c r="AN737" t="s">
        <v>122</v>
      </c>
      <c r="AO737" t="s">
        <v>26</v>
      </c>
      <c r="AP737">
        <v>2006</v>
      </c>
      <c r="AQ737" t="s">
        <v>124</v>
      </c>
      <c r="AR737" t="s">
        <v>351</v>
      </c>
      <c r="AS737" t="s">
        <v>307</v>
      </c>
      <c r="AT737" t="s">
        <v>218</v>
      </c>
      <c r="AU737" t="s">
        <v>310</v>
      </c>
      <c r="AV737">
        <v>3.1</v>
      </c>
    </row>
    <row r="738" spans="40:48" x14ac:dyDescent="0.25">
      <c r="AN738" t="s">
        <v>122</v>
      </c>
      <c r="AO738" t="s">
        <v>26</v>
      </c>
      <c r="AP738">
        <v>2006</v>
      </c>
      <c r="AQ738" t="s">
        <v>124</v>
      </c>
      <c r="AR738" t="s">
        <v>351</v>
      </c>
      <c r="AS738" t="s">
        <v>307</v>
      </c>
      <c r="AT738" t="s">
        <v>218</v>
      </c>
      <c r="AU738" t="s">
        <v>311</v>
      </c>
      <c r="AV738">
        <v>7.55</v>
      </c>
    </row>
    <row r="739" spans="40:48" x14ac:dyDescent="0.25">
      <c r="AN739" t="s">
        <v>122</v>
      </c>
      <c r="AO739" t="s">
        <v>26</v>
      </c>
      <c r="AP739">
        <v>2006</v>
      </c>
      <c r="AQ739" t="s">
        <v>124</v>
      </c>
      <c r="AR739" t="s">
        <v>351</v>
      </c>
      <c r="AS739" t="s">
        <v>307</v>
      </c>
      <c r="AT739" t="s">
        <v>218</v>
      </c>
      <c r="AU739" t="s">
        <v>268</v>
      </c>
      <c r="AV739">
        <v>10.65</v>
      </c>
    </row>
    <row r="740" spans="40:48" x14ac:dyDescent="0.25">
      <c r="AN740" t="s">
        <v>122</v>
      </c>
      <c r="AO740" t="s">
        <v>26</v>
      </c>
      <c r="AP740">
        <v>2006</v>
      </c>
      <c r="AQ740" t="s">
        <v>124</v>
      </c>
      <c r="AR740" t="s">
        <v>351</v>
      </c>
      <c r="AS740" t="s">
        <v>307</v>
      </c>
      <c r="AT740" t="s">
        <v>238</v>
      </c>
      <c r="AU740" t="s">
        <v>310</v>
      </c>
      <c r="AV740">
        <v>0</v>
      </c>
    </row>
    <row r="741" spans="40:48" x14ac:dyDescent="0.25">
      <c r="AN741" t="s">
        <v>122</v>
      </c>
      <c r="AO741" t="s">
        <v>26</v>
      </c>
      <c r="AP741">
        <v>2006</v>
      </c>
      <c r="AQ741" t="s">
        <v>124</v>
      </c>
      <c r="AR741" t="s">
        <v>351</v>
      </c>
      <c r="AS741" t="s">
        <v>307</v>
      </c>
      <c r="AT741" t="s">
        <v>238</v>
      </c>
      <c r="AU741" t="s">
        <v>311</v>
      </c>
      <c r="AV741">
        <v>0</v>
      </c>
    </row>
    <row r="742" spans="40:48" x14ac:dyDescent="0.25">
      <c r="AN742" t="s">
        <v>122</v>
      </c>
      <c r="AO742" t="s">
        <v>26</v>
      </c>
      <c r="AP742">
        <v>2006</v>
      </c>
      <c r="AQ742" t="s">
        <v>124</v>
      </c>
      <c r="AR742" t="s">
        <v>351</v>
      </c>
      <c r="AS742" t="s">
        <v>307</v>
      </c>
      <c r="AT742" t="s">
        <v>238</v>
      </c>
      <c r="AU742" t="s">
        <v>268</v>
      </c>
      <c r="AV742">
        <v>0</v>
      </c>
    </row>
    <row r="743" spans="40:48" x14ac:dyDescent="0.25">
      <c r="AN743" t="s">
        <v>122</v>
      </c>
      <c r="AO743" t="s">
        <v>26</v>
      </c>
      <c r="AP743">
        <v>2006</v>
      </c>
      <c r="AQ743" t="s">
        <v>124</v>
      </c>
      <c r="AR743" t="s">
        <v>351</v>
      </c>
      <c r="AS743" t="s">
        <v>307</v>
      </c>
      <c r="AT743" t="s">
        <v>239</v>
      </c>
      <c r="AU743" t="s">
        <v>310</v>
      </c>
      <c r="AV743">
        <v>2</v>
      </c>
    </row>
    <row r="744" spans="40:48" x14ac:dyDescent="0.25">
      <c r="AN744" t="s">
        <v>122</v>
      </c>
      <c r="AO744" t="s">
        <v>26</v>
      </c>
      <c r="AP744">
        <v>2006</v>
      </c>
      <c r="AQ744" t="s">
        <v>124</v>
      </c>
      <c r="AR744" t="s">
        <v>351</v>
      </c>
      <c r="AS744" t="s">
        <v>307</v>
      </c>
      <c r="AT744" t="s">
        <v>239</v>
      </c>
      <c r="AU744" t="s">
        <v>311</v>
      </c>
      <c r="AV744">
        <v>7.35</v>
      </c>
    </row>
    <row r="745" spans="40:48" x14ac:dyDescent="0.25">
      <c r="AN745" t="s">
        <v>122</v>
      </c>
      <c r="AO745" t="s">
        <v>26</v>
      </c>
      <c r="AP745">
        <v>2006</v>
      </c>
      <c r="AQ745" t="s">
        <v>124</v>
      </c>
      <c r="AR745" t="s">
        <v>351</v>
      </c>
      <c r="AS745" t="s">
        <v>307</v>
      </c>
      <c r="AT745" t="s">
        <v>239</v>
      </c>
      <c r="AU745" t="s">
        <v>268</v>
      </c>
      <c r="AV745">
        <v>9.35</v>
      </c>
    </row>
    <row r="746" spans="40:48" x14ac:dyDescent="0.25">
      <c r="AN746" t="s">
        <v>122</v>
      </c>
      <c r="AO746" t="s">
        <v>26</v>
      </c>
      <c r="AP746">
        <v>2006</v>
      </c>
      <c r="AQ746" t="s">
        <v>124</v>
      </c>
      <c r="AR746" t="s">
        <v>351</v>
      </c>
      <c r="AS746" t="s">
        <v>307</v>
      </c>
      <c r="AT746" t="s">
        <v>240</v>
      </c>
      <c r="AU746" t="s">
        <v>310</v>
      </c>
      <c r="AV746">
        <v>2.2000000000000002</v>
      </c>
    </row>
    <row r="747" spans="40:48" x14ac:dyDescent="0.25">
      <c r="AN747" t="s">
        <v>122</v>
      </c>
      <c r="AO747" t="s">
        <v>26</v>
      </c>
      <c r="AP747">
        <v>2006</v>
      </c>
      <c r="AQ747" t="s">
        <v>124</v>
      </c>
      <c r="AR747" t="s">
        <v>351</v>
      </c>
      <c r="AS747" t="s">
        <v>307</v>
      </c>
      <c r="AT747" t="s">
        <v>240</v>
      </c>
      <c r="AU747" t="s">
        <v>311</v>
      </c>
      <c r="AV747">
        <v>8.8000000000000007</v>
      </c>
    </row>
    <row r="748" spans="40:48" x14ac:dyDescent="0.25">
      <c r="AN748" t="s">
        <v>122</v>
      </c>
      <c r="AO748" t="s">
        <v>26</v>
      </c>
      <c r="AP748">
        <v>2006</v>
      </c>
      <c r="AQ748" t="s">
        <v>124</v>
      </c>
      <c r="AR748" t="s">
        <v>351</v>
      </c>
      <c r="AS748" t="s">
        <v>307</v>
      </c>
      <c r="AT748" t="s">
        <v>240</v>
      </c>
      <c r="AU748" t="s">
        <v>268</v>
      </c>
      <c r="AV748">
        <v>11</v>
      </c>
    </row>
    <row r="749" spans="40:48" x14ac:dyDescent="0.25">
      <c r="AN749" t="s">
        <v>122</v>
      </c>
      <c r="AO749" t="s">
        <v>26</v>
      </c>
      <c r="AP749">
        <v>2006</v>
      </c>
      <c r="AQ749" t="s">
        <v>124</v>
      </c>
      <c r="AR749" t="s">
        <v>351</v>
      </c>
      <c r="AS749" t="s">
        <v>307</v>
      </c>
      <c r="AT749" t="s">
        <v>316</v>
      </c>
      <c r="AU749" t="s">
        <v>310</v>
      </c>
      <c r="AV749">
        <v>0</v>
      </c>
    </row>
    <row r="750" spans="40:48" x14ac:dyDescent="0.25">
      <c r="AN750" t="s">
        <v>122</v>
      </c>
      <c r="AO750" t="s">
        <v>26</v>
      </c>
      <c r="AP750">
        <v>2006</v>
      </c>
      <c r="AQ750" t="s">
        <v>124</v>
      </c>
      <c r="AR750" t="s">
        <v>351</v>
      </c>
      <c r="AS750" t="s">
        <v>307</v>
      </c>
      <c r="AT750" t="s">
        <v>316</v>
      </c>
      <c r="AU750" t="s">
        <v>311</v>
      </c>
      <c r="AV750">
        <v>0</v>
      </c>
    </row>
    <row r="751" spans="40:48" x14ac:dyDescent="0.25">
      <c r="AN751" t="s">
        <v>122</v>
      </c>
      <c r="AO751" t="s">
        <v>26</v>
      </c>
      <c r="AP751">
        <v>2006</v>
      </c>
      <c r="AQ751" t="s">
        <v>124</v>
      </c>
      <c r="AR751" t="s">
        <v>351</v>
      </c>
      <c r="AS751" t="s">
        <v>307</v>
      </c>
      <c r="AT751" t="s">
        <v>316</v>
      </c>
      <c r="AU751" t="s">
        <v>268</v>
      </c>
      <c r="AV751">
        <v>0</v>
      </c>
    </row>
    <row r="752" spans="40:48" x14ac:dyDescent="0.25">
      <c r="AN752" t="s">
        <v>122</v>
      </c>
      <c r="AO752" t="s">
        <v>26</v>
      </c>
      <c r="AP752">
        <v>2006</v>
      </c>
      <c r="AQ752" t="s">
        <v>124</v>
      </c>
      <c r="AR752" t="s">
        <v>351</v>
      </c>
      <c r="AS752" t="s">
        <v>307</v>
      </c>
      <c r="AT752" t="s">
        <v>242</v>
      </c>
      <c r="AU752" t="s">
        <v>310</v>
      </c>
      <c r="AV752">
        <v>2</v>
      </c>
    </row>
    <row r="753" spans="40:48" x14ac:dyDescent="0.25">
      <c r="AN753" t="s">
        <v>122</v>
      </c>
      <c r="AO753" t="s">
        <v>26</v>
      </c>
      <c r="AP753">
        <v>2006</v>
      </c>
      <c r="AQ753" t="s">
        <v>124</v>
      </c>
      <c r="AR753" t="s">
        <v>351</v>
      </c>
      <c r="AS753" t="s">
        <v>307</v>
      </c>
      <c r="AT753" t="s">
        <v>242</v>
      </c>
      <c r="AU753" t="s">
        <v>311</v>
      </c>
      <c r="AV753">
        <v>6.6</v>
      </c>
    </row>
    <row r="754" spans="40:48" x14ac:dyDescent="0.25">
      <c r="AN754" t="s">
        <v>122</v>
      </c>
      <c r="AO754" t="s">
        <v>26</v>
      </c>
      <c r="AP754">
        <v>2006</v>
      </c>
      <c r="AQ754" t="s">
        <v>124</v>
      </c>
      <c r="AR754" t="s">
        <v>351</v>
      </c>
      <c r="AS754" t="s">
        <v>307</v>
      </c>
      <c r="AT754" t="s">
        <v>242</v>
      </c>
      <c r="AU754" t="s">
        <v>268</v>
      </c>
      <c r="AV754">
        <v>8.6</v>
      </c>
    </row>
    <row r="755" spans="40:48" x14ac:dyDescent="0.25">
      <c r="AN755" t="s">
        <v>122</v>
      </c>
      <c r="AO755" t="s">
        <v>26</v>
      </c>
      <c r="AP755">
        <v>2006</v>
      </c>
      <c r="AQ755" t="s">
        <v>124</v>
      </c>
      <c r="AR755" t="s">
        <v>351</v>
      </c>
      <c r="AS755" t="s">
        <v>307</v>
      </c>
      <c r="AT755" t="s">
        <v>243</v>
      </c>
      <c r="AU755" t="s">
        <v>337</v>
      </c>
      <c r="AV755">
        <v>0</v>
      </c>
    </row>
    <row r="756" spans="40:48" x14ac:dyDescent="0.25">
      <c r="AN756" t="s">
        <v>122</v>
      </c>
      <c r="AO756" t="s">
        <v>26</v>
      </c>
      <c r="AP756">
        <v>2006</v>
      </c>
      <c r="AQ756" t="s">
        <v>124</v>
      </c>
      <c r="AR756" t="s">
        <v>351</v>
      </c>
      <c r="AS756" t="s">
        <v>307</v>
      </c>
      <c r="AT756" t="s">
        <v>243</v>
      </c>
      <c r="AU756" t="s">
        <v>338</v>
      </c>
      <c r="AV756">
        <v>0</v>
      </c>
    </row>
    <row r="757" spans="40:48" x14ac:dyDescent="0.25">
      <c r="AN757" t="s">
        <v>122</v>
      </c>
      <c r="AO757" t="s">
        <v>26</v>
      </c>
      <c r="AP757">
        <v>2006</v>
      </c>
      <c r="AQ757" t="s">
        <v>124</v>
      </c>
      <c r="AR757" t="s">
        <v>351</v>
      </c>
      <c r="AS757" t="s">
        <v>307</v>
      </c>
      <c r="AT757" t="s">
        <v>243</v>
      </c>
      <c r="AU757" t="s">
        <v>349</v>
      </c>
      <c r="AV757">
        <v>39.6</v>
      </c>
    </row>
    <row r="758" spans="40:48" x14ac:dyDescent="0.25">
      <c r="AN758" t="s">
        <v>50</v>
      </c>
      <c r="AO758" t="s">
        <v>26</v>
      </c>
      <c r="AP758">
        <v>2007</v>
      </c>
      <c r="AQ758" t="s">
        <v>36</v>
      </c>
      <c r="AR758" t="s">
        <v>351</v>
      </c>
      <c r="AS758" t="s">
        <v>307</v>
      </c>
      <c r="AT758" t="s">
        <v>218</v>
      </c>
      <c r="AU758" t="s">
        <v>310</v>
      </c>
      <c r="AV758">
        <v>3.9</v>
      </c>
    </row>
    <row r="759" spans="40:48" x14ac:dyDescent="0.25">
      <c r="AN759" t="s">
        <v>50</v>
      </c>
      <c r="AO759" t="s">
        <v>26</v>
      </c>
      <c r="AP759">
        <v>2007</v>
      </c>
      <c r="AQ759" t="s">
        <v>36</v>
      </c>
      <c r="AR759" t="s">
        <v>351</v>
      </c>
      <c r="AS759" t="s">
        <v>307</v>
      </c>
      <c r="AT759" t="s">
        <v>218</v>
      </c>
      <c r="AU759" t="s">
        <v>311</v>
      </c>
      <c r="AV759">
        <v>7.35</v>
      </c>
    </row>
    <row r="760" spans="40:48" x14ac:dyDescent="0.25">
      <c r="AN760" t="s">
        <v>50</v>
      </c>
      <c r="AO760" t="s">
        <v>26</v>
      </c>
      <c r="AP760">
        <v>2007</v>
      </c>
      <c r="AQ760" t="s">
        <v>36</v>
      </c>
      <c r="AR760" t="s">
        <v>351</v>
      </c>
      <c r="AS760" t="s">
        <v>307</v>
      </c>
      <c r="AT760" t="s">
        <v>218</v>
      </c>
      <c r="AU760" t="s">
        <v>268</v>
      </c>
      <c r="AV760">
        <v>11.25</v>
      </c>
    </row>
    <row r="761" spans="40:48" x14ac:dyDescent="0.25">
      <c r="AN761" t="s">
        <v>50</v>
      </c>
      <c r="AO761" t="s">
        <v>26</v>
      </c>
      <c r="AP761">
        <v>2007</v>
      </c>
      <c r="AQ761" t="s">
        <v>36</v>
      </c>
      <c r="AR761" t="s">
        <v>351</v>
      </c>
      <c r="AS761" t="s">
        <v>307</v>
      </c>
      <c r="AT761" t="s">
        <v>238</v>
      </c>
      <c r="AU761" t="s">
        <v>310</v>
      </c>
      <c r="AV761">
        <v>0</v>
      </c>
    </row>
    <row r="762" spans="40:48" x14ac:dyDescent="0.25">
      <c r="AN762" t="s">
        <v>50</v>
      </c>
      <c r="AO762" t="s">
        <v>26</v>
      </c>
      <c r="AP762">
        <v>2007</v>
      </c>
      <c r="AQ762" t="s">
        <v>36</v>
      </c>
      <c r="AR762" t="s">
        <v>351</v>
      </c>
      <c r="AS762" t="s">
        <v>307</v>
      </c>
      <c r="AT762" t="s">
        <v>238</v>
      </c>
      <c r="AU762" t="s">
        <v>311</v>
      </c>
      <c r="AV762">
        <v>0</v>
      </c>
    </row>
    <row r="763" spans="40:48" x14ac:dyDescent="0.25">
      <c r="AN763" t="s">
        <v>50</v>
      </c>
      <c r="AO763" t="s">
        <v>26</v>
      </c>
      <c r="AP763">
        <v>2007</v>
      </c>
      <c r="AQ763" t="s">
        <v>36</v>
      </c>
      <c r="AR763" t="s">
        <v>351</v>
      </c>
      <c r="AS763" t="s">
        <v>307</v>
      </c>
      <c r="AT763" t="s">
        <v>238</v>
      </c>
      <c r="AU763" t="s">
        <v>268</v>
      </c>
      <c r="AV763">
        <v>0</v>
      </c>
    </row>
    <row r="764" spans="40:48" x14ac:dyDescent="0.25">
      <c r="AN764" t="s">
        <v>50</v>
      </c>
      <c r="AO764" t="s">
        <v>26</v>
      </c>
      <c r="AP764">
        <v>2007</v>
      </c>
      <c r="AQ764" t="s">
        <v>36</v>
      </c>
      <c r="AR764" t="s">
        <v>351</v>
      </c>
      <c r="AS764" t="s">
        <v>307</v>
      </c>
      <c r="AT764" t="s">
        <v>239</v>
      </c>
      <c r="AU764" t="s">
        <v>310</v>
      </c>
      <c r="AV764">
        <v>3.7</v>
      </c>
    </row>
    <row r="765" spans="40:48" x14ac:dyDescent="0.25">
      <c r="AN765" t="s">
        <v>50</v>
      </c>
      <c r="AO765" t="s">
        <v>26</v>
      </c>
      <c r="AP765">
        <v>2007</v>
      </c>
      <c r="AQ765" t="s">
        <v>36</v>
      </c>
      <c r="AR765" t="s">
        <v>351</v>
      </c>
      <c r="AS765" t="s">
        <v>307</v>
      </c>
      <c r="AT765" t="s">
        <v>239</v>
      </c>
      <c r="AU765" t="s">
        <v>311</v>
      </c>
      <c r="AV765">
        <v>7.8</v>
      </c>
    </row>
    <row r="766" spans="40:48" x14ac:dyDescent="0.25">
      <c r="AN766" t="s">
        <v>50</v>
      </c>
      <c r="AO766" t="s">
        <v>26</v>
      </c>
      <c r="AP766">
        <v>2007</v>
      </c>
      <c r="AQ766" t="s">
        <v>36</v>
      </c>
      <c r="AR766" t="s">
        <v>351</v>
      </c>
      <c r="AS766" t="s">
        <v>307</v>
      </c>
      <c r="AT766" t="s">
        <v>239</v>
      </c>
      <c r="AU766" t="s">
        <v>268</v>
      </c>
      <c r="AV766">
        <v>11.5</v>
      </c>
    </row>
    <row r="767" spans="40:48" x14ac:dyDescent="0.25">
      <c r="AN767" t="s">
        <v>50</v>
      </c>
      <c r="AO767" t="s">
        <v>26</v>
      </c>
      <c r="AP767">
        <v>2007</v>
      </c>
      <c r="AQ767" t="s">
        <v>36</v>
      </c>
      <c r="AR767" t="s">
        <v>351</v>
      </c>
      <c r="AS767" t="s">
        <v>307</v>
      </c>
      <c r="AT767" t="s">
        <v>240</v>
      </c>
      <c r="AU767" t="s">
        <v>310</v>
      </c>
      <c r="AV767">
        <v>0</v>
      </c>
    </row>
    <row r="768" spans="40:48" x14ac:dyDescent="0.25">
      <c r="AN768" t="s">
        <v>50</v>
      </c>
      <c r="AO768" t="s">
        <v>26</v>
      </c>
      <c r="AP768">
        <v>2007</v>
      </c>
      <c r="AQ768" t="s">
        <v>36</v>
      </c>
      <c r="AR768" t="s">
        <v>351</v>
      </c>
      <c r="AS768" t="s">
        <v>307</v>
      </c>
      <c r="AT768" t="s">
        <v>240</v>
      </c>
      <c r="AU768" t="s">
        <v>311</v>
      </c>
      <c r="AV768">
        <v>0</v>
      </c>
    </row>
    <row r="769" spans="40:48" x14ac:dyDescent="0.25">
      <c r="AN769" t="s">
        <v>50</v>
      </c>
      <c r="AO769" t="s">
        <v>26</v>
      </c>
      <c r="AP769">
        <v>2007</v>
      </c>
      <c r="AQ769" t="s">
        <v>36</v>
      </c>
      <c r="AR769" t="s">
        <v>351</v>
      </c>
      <c r="AS769" t="s">
        <v>307</v>
      </c>
      <c r="AT769" t="s">
        <v>240</v>
      </c>
      <c r="AU769" t="s">
        <v>268</v>
      </c>
      <c r="AV769">
        <v>0</v>
      </c>
    </row>
    <row r="770" spans="40:48" x14ac:dyDescent="0.25">
      <c r="AN770" t="s">
        <v>50</v>
      </c>
      <c r="AO770" t="s">
        <v>26</v>
      </c>
      <c r="AP770">
        <v>2007</v>
      </c>
      <c r="AQ770" t="s">
        <v>36</v>
      </c>
      <c r="AR770" t="s">
        <v>351</v>
      </c>
      <c r="AS770" t="s">
        <v>307</v>
      </c>
      <c r="AT770" t="s">
        <v>316</v>
      </c>
      <c r="AU770" t="s">
        <v>310</v>
      </c>
      <c r="AV770">
        <v>0</v>
      </c>
    </row>
    <row r="771" spans="40:48" x14ac:dyDescent="0.25">
      <c r="AN771" t="s">
        <v>50</v>
      </c>
      <c r="AO771" t="s">
        <v>26</v>
      </c>
      <c r="AP771">
        <v>2007</v>
      </c>
      <c r="AQ771" t="s">
        <v>36</v>
      </c>
      <c r="AR771" t="s">
        <v>351</v>
      </c>
      <c r="AS771" t="s">
        <v>307</v>
      </c>
      <c r="AT771" t="s">
        <v>316</v>
      </c>
      <c r="AU771" t="s">
        <v>311</v>
      </c>
      <c r="AV771">
        <v>0</v>
      </c>
    </row>
    <row r="772" spans="40:48" x14ac:dyDescent="0.25">
      <c r="AN772" t="s">
        <v>50</v>
      </c>
      <c r="AO772" t="s">
        <v>26</v>
      </c>
      <c r="AP772">
        <v>2007</v>
      </c>
      <c r="AQ772" t="s">
        <v>36</v>
      </c>
      <c r="AR772" t="s">
        <v>351</v>
      </c>
      <c r="AS772" t="s">
        <v>307</v>
      </c>
      <c r="AT772" t="s">
        <v>316</v>
      </c>
      <c r="AU772" t="s">
        <v>268</v>
      </c>
      <c r="AV772">
        <v>0</v>
      </c>
    </row>
    <row r="773" spans="40:48" x14ac:dyDescent="0.25">
      <c r="AN773" t="s">
        <v>50</v>
      </c>
      <c r="AO773" t="s">
        <v>26</v>
      </c>
      <c r="AP773">
        <v>2007</v>
      </c>
      <c r="AQ773" t="s">
        <v>36</v>
      </c>
      <c r="AR773" t="s">
        <v>351</v>
      </c>
      <c r="AS773" t="s">
        <v>307</v>
      </c>
      <c r="AT773" t="s">
        <v>242</v>
      </c>
      <c r="AU773" t="s">
        <v>310</v>
      </c>
      <c r="AV773">
        <v>2.7</v>
      </c>
    </row>
    <row r="774" spans="40:48" x14ac:dyDescent="0.25">
      <c r="AN774" t="s">
        <v>50</v>
      </c>
      <c r="AO774" t="s">
        <v>26</v>
      </c>
      <c r="AP774">
        <v>2007</v>
      </c>
      <c r="AQ774" t="s">
        <v>36</v>
      </c>
      <c r="AR774" t="s">
        <v>351</v>
      </c>
      <c r="AS774" t="s">
        <v>307</v>
      </c>
      <c r="AT774" t="s">
        <v>242</v>
      </c>
      <c r="AU774" t="s">
        <v>311</v>
      </c>
      <c r="AV774">
        <v>9.1</v>
      </c>
    </row>
    <row r="775" spans="40:48" x14ac:dyDescent="0.25">
      <c r="AN775" t="s">
        <v>50</v>
      </c>
      <c r="AO775" t="s">
        <v>26</v>
      </c>
      <c r="AP775">
        <v>2007</v>
      </c>
      <c r="AQ775" t="s">
        <v>36</v>
      </c>
      <c r="AR775" t="s">
        <v>351</v>
      </c>
      <c r="AS775" t="s">
        <v>307</v>
      </c>
      <c r="AT775" t="s">
        <v>242</v>
      </c>
      <c r="AU775" t="s">
        <v>268</v>
      </c>
      <c r="AV775">
        <v>11.8</v>
      </c>
    </row>
    <row r="776" spans="40:48" x14ac:dyDescent="0.25">
      <c r="AN776" t="s">
        <v>50</v>
      </c>
      <c r="AO776" t="s">
        <v>26</v>
      </c>
      <c r="AP776">
        <v>2007</v>
      </c>
      <c r="AQ776" t="s">
        <v>36</v>
      </c>
      <c r="AR776" t="s">
        <v>351</v>
      </c>
      <c r="AS776" t="s">
        <v>307</v>
      </c>
      <c r="AT776" t="s">
        <v>243</v>
      </c>
      <c r="AU776" t="s">
        <v>337</v>
      </c>
      <c r="AV776">
        <v>0</v>
      </c>
    </row>
    <row r="777" spans="40:48" x14ac:dyDescent="0.25">
      <c r="AN777" t="s">
        <v>50</v>
      </c>
      <c r="AO777" t="s">
        <v>26</v>
      </c>
      <c r="AP777">
        <v>2007</v>
      </c>
      <c r="AQ777" t="s">
        <v>36</v>
      </c>
      <c r="AR777" t="s">
        <v>351</v>
      </c>
      <c r="AS777" t="s">
        <v>307</v>
      </c>
      <c r="AT777" t="s">
        <v>243</v>
      </c>
      <c r="AU777" t="s">
        <v>338</v>
      </c>
      <c r="AV777">
        <v>0</v>
      </c>
    </row>
    <row r="778" spans="40:48" x14ac:dyDescent="0.25">
      <c r="AN778" t="s">
        <v>50</v>
      </c>
      <c r="AO778" t="s">
        <v>26</v>
      </c>
      <c r="AP778">
        <v>2007</v>
      </c>
      <c r="AQ778" t="s">
        <v>36</v>
      </c>
      <c r="AR778" t="s">
        <v>351</v>
      </c>
      <c r="AS778" t="s">
        <v>307</v>
      </c>
      <c r="AT778" t="s">
        <v>243</v>
      </c>
      <c r="AU778" t="s">
        <v>349</v>
      </c>
      <c r="AV778">
        <v>34.549999999999997</v>
      </c>
    </row>
    <row r="779" spans="40:48" x14ac:dyDescent="0.25">
      <c r="AN779" t="s">
        <v>52</v>
      </c>
      <c r="AO779" t="s">
        <v>26</v>
      </c>
      <c r="AP779">
        <v>2006</v>
      </c>
      <c r="AQ779" t="s">
        <v>36</v>
      </c>
      <c r="AR779" t="s">
        <v>351</v>
      </c>
      <c r="AS779" t="s">
        <v>307</v>
      </c>
      <c r="AT779" t="s">
        <v>218</v>
      </c>
      <c r="AU779" t="s">
        <v>310</v>
      </c>
      <c r="AV779">
        <v>0</v>
      </c>
    </row>
    <row r="780" spans="40:48" x14ac:dyDescent="0.25">
      <c r="AN780" t="s">
        <v>52</v>
      </c>
      <c r="AO780" t="s">
        <v>26</v>
      </c>
      <c r="AP780">
        <v>2006</v>
      </c>
      <c r="AQ780" t="s">
        <v>36</v>
      </c>
      <c r="AR780" t="s">
        <v>351</v>
      </c>
      <c r="AS780" t="s">
        <v>307</v>
      </c>
      <c r="AT780" t="s">
        <v>218</v>
      </c>
      <c r="AU780" t="s">
        <v>311</v>
      </c>
      <c r="AV780">
        <v>0</v>
      </c>
    </row>
    <row r="781" spans="40:48" x14ac:dyDescent="0.25">
      <c r="AN781" t="s">
        <v>52</v>
      </c>
      <c r="AO781" t="s">
        <v>26</v>
      </c>
      <c r="AP781">
        <v>2006</v>
      </c>
      <c r="AQ781" t="s">
        <v>36</v>
      </c>
      <c r="AR781" t="s">
        <v>351</v>
      </c>
      <c r="AS781" t="s">
        <v>307</v>
      </c>
      <c r="AT781" t="s">
        <v>218</v>
      </c>
      <c r="AU781" t="s">
        <v>268</v>
      </c>
      <c r="AV781">
        <v>0</v>
      </c>
    </row>
    <row r="782" spans="40:48" x14ac:dyDescent="0.25">
      <c r="AN782" t="s">
        <v>52</v>
      </c>
      <c r="AO782" t="s">
        <v>26</v>
      </c>
      <c r="AP782">
        <v>2006</v>
      </c>
      <c r="AQ782" t="s">
        <v>36</v>
      </c>
      <c r="AR782" t="s">
        <v>351</v>
      </c>
      <c r="AS782" t="s">
        <v>307</v>
      </c>
      <c r="AT782" t="s">
        <v>238</v>
      </c>
      <c r="AU782" t="s">
        <v>310</v>
      </c>
      <c r="AV782">
        <v>2.2000000000000002</v>
      </c>
    </row>
    <row r="783" spans="40:48" x14ac:dyDescent="0.25">
      <c r="AN783" t="s">
        <v>52</v>
      </c>
      <c r="AO783" t="s">
        <v>26</v>
      </c>
      <c r="AP783">
        <v>2006</v>
      </c>
      <c r="AQ783" t="s">
        <v>36</v>
      </c>
      <c r="AR783" t="s">
        <v>351</v>
      </c>
      <c r="AS783" t="s">
        <v>307</v>
      </c>
      <c r="AT783" t="s">
        <v>238</v>
      </c>
      <c r="AU783" t="s">
        <v>311</v>
      </c>
      <c r="AV783">
        <v>6.2</v>
      </c>
    </row>
    <row r="784" spans="40:48" x14ac:dyDescent="0.25">
      <c r="AN784" t="s">
        <v>52</v>
      </c>
      <c r="AO784" t="s">
        <v>26</v>
      </c>
      <c r="AP784">
        <v>2006</v>
      </c>
      <c r="AQ784" t="s">
        <v>36</v>
      </c>
      <c r="AR784" t="s">
        <v>351</v>
      </c>
      <c r="AS784" t="s">
        <v>307</v>
      </c>
      <c r="AT784" t="s">
        <v>238</v>
      </c>
      <c r="AU784" t="s">
        <v>268</v>
      </c>
      <c r="AV784">
        <v>8.4</v>
      </c>
    </row>
    <row r="785" spans="40:48" x14ac:dyDescent="0.25">
      <c r="AN785" t="s">
        <v>52</v>
      </c>
      <c r="AO785" t="s">
        <v>26</v>
      </c>
      <c r="AP785">
        <v>2006</v>
      </c>
      <c r="AQ785" t="s">
        <v>36</v>
      </c>
      <c r="AR785" t="s">
        <v>351</v>
      </c>
      <c r="AS785" t="s">
        <v>307</v>
      </c>
      <c r="AT785" t="s">
        <v>239</v>
      </c>
      <c r="AU785" t="s">
        <v>310</v>
      </c>
      <c r="AV785">
        <v>0</v>
      </c>
    </row>
    <row r="786" spans="40:48" x14ac:dyDescent="0.25">
      <c r="AN786" t="s">
        <v>52</v>
      </c>
      <c r="AO786" t="s">
        <v>26</v>
      </c>
      <c r="AP786">
        <v>2006</v>
      </c>
      <c r="AQ786" t="s">
        <v>36</v>
      </c>
      <c r="AR786" t="s">
        <v>351</v>
      </c>
      <c r="AS786" t="s">
        <v>307</v>
      </c>
      <c r="AT786" t="s">
        <v>239</v>
      </c>
      <c r="AU786" t="s">
        <v>311</v>
      </c>
      <c r="AV786">
        <v>0</v>
      </c>
    </row>
    <row r="787" spans="40:48" x14ac:dyDescent="0.25">
      <c r="AN787" t="s">
        <v>52</v>
      </c>
      <c r="AO787" t="s">
        <v>26</v>
      </c>
      <c r="AP787">
        <v>2006</v>
      </c>
      <c r="AQ787" t="s">
        <v>36</v>
      </c>
      <c r="AR787" t="s">
        <v>351</v>
      </c>
      <c r="AS787" t="s">
        <v>307</v>
      </c>
      <c r="AT787" t="s">
        <v>239</v>
      </c>
      <c r="AU787" t="s">
        <v>268</v>
      </c>
      <c r="AV787">
        <v>0</v>
      </c>
    </row>
    <row r="788" spans="40:48" x14ac:dyDescent="0.25">
      <c r="AN788" t="s">
        <v>52</v>
      </c>
      <c r="AO788" t="s">
        <v>26</v>
      </c>
      <c r="AP788">
        <v>2006</v>
      </c>
      <c r="AQ788" t="s">
        <v>36</v>
      </c>
      <c r="AR788" t="s">
        <v>351</v>
      </c>
      <c r="AS788" t="s">
        <v>307</v>
      </c>
      <c r="AT788" t="s">
        <v>240</v>
      </c>
      <c r="AU788" t="s">
        <v>310</v>
      </c>
      <c r="AV788">
        <v>1.6</v>
      </c>
    </row>
    <row r="789" spans="40:48" x14ac:dyDescent="0.25">
      <c r="AN789" t="s">
        <v>52</v>
      </c>
      <c r="AO789" t="s">
        <v>26</v>
      </c>
      <c r="AP789">
        <v>2006</v>
      </c>
      <c r="AQ789" t="s">
        <v>36</v>
      </c>
      <c r="AR789" t="s">
        <v>351</v>
      </c>
      <c r="AS789" t="s">
        <v>307</v>
      </c>
      <c r="AT789" t="s">
        <v>240</v>
      </c>
      <c r="AU789" t="s">
        <v>311</v>
      </c>
      <c r="AV789">
        <v>9.4499999999999993</v>
      </c>
    </row>
    <row r="790" spans="40:48" x14ac:dyDescent="0.25">
      <c r="AN790" t="s">
        <v>52</v>
      </c>
      <c r="AO790" t="s">
        <v>26</v>
      </c>
      <c r="AP790">
        <v>2006</v>
      </c>
      <c r="AQ790" t="s">
        <v>36</v>
      </c>
      <c r="AR790" t="s">
        <v>351</v>
      </c>
      <c r="AS790" t="s">
        <v>307</v>
      </c>
      <c r="AT790" t="s">
        <v>240</v>
      </c>
      <c r="AU790" t="s">
        <v>268</v>
      </c>
      <c r="AV790">
        <v>11.05</v>
      </c>
    </row>
    <row r="791" spans="40:48" x14ac:dyDescent="0.25">
      <c r="AN791" t="s">
        <v>52</v>
      </c>
      <c r="AO791" t="s">
        <v>26</v>
      </c>
      <c r="AP791">
        <v>2006</v>
      </c>
      <c r="AQ791" t="s">
        <v>36</v>
      </c>
      <c r="AR791" t="s">
        <v>351</v>
      </c>
      <c r="AS791" t="s">
        <v>307</v>
      </c>
      <c r="AT791" t="s">
        <v>316</v>
      </c>
      <c r="AU791" t="s">
        <v>310</v>
      </c>
      <c r="AV791">
        <v>2.4</v>
      </c>
    </row>
    <row r="792" spans="40:48" x14ac:dyDescent="0.25">
      <c r="AN792" t="s">
        <v>52</v>
      </c>
      <c r="AO792" t="s">
        <v>26</v>
      </c>
      <c r="AP792">
        <v>2006</v>
      </c>
      <c r="AQ792" t="s">
        <v>36</v>
      </c>
      <c r="AR792" t="s">
        <v>351</v>
      </c>
      <c r="AS792" t="s">
        <v>307</v>
      </c>
      <c r="AT792" t="s">
        <v>316</v>
      </c>
      <c r="AU792" t="s">
        <v>311</v>
      </c>
      <c r="AV792">
        <v>9.1</v>
      </c>
    </row>
    <row r="793" spans="40:48" x14ac:dyDescent="0.25">
      <c r="AN793" t="s">
        <v>52</v>
      </c>
      <c r="AO793" t="s">
        <v>26</v>
      </c>
      <c r="AP793">
        <v>2006</v>
      </c>
      <c r="AQ793" t="s">
        <v>36</v>
      </c>
      <c r="AR793" t="s">
        <v>351</v>
      </c>
      <c r="AS793" t="s">
        <v>307</v>
      </c>
      <c r="AT793" t="s">
        <v>316</v>
      </c>
      <c r="AU793" t="s">
        <v>268</v>
      </c>
      <c r="AV793">
        <v>11.5</v>
      </c>
    </row>
    <row r="794" spans="40:48" x14ac:dyDescent="0.25">
      <c r="AN794" t="s">
        <v>52</v>
      </c>
      <c r="AO794" t="s">
        <v>26</v>
      </c>
      <c r="AP794">
        <v>2006</v>
      </c>
      <c r="AQ794" t="s">
        <v>36</v>
      </c>
      <c r="AR794" t="s">
        <v>351</v>
      </c>
      <c r="AS794" t="s">
        <v>307</v>
      </c>
      <c r="AT794" t="s">
        <v>242</v>
      </c>
      <c r="AU794" t="s">
        <v>310</v>
      </c>
      <c r="AV794">
        <v>0</v>
      </c>
    </row>
    <row r="795" spans="40:48" x14ac:dyDescent="0.25">
      <c r="AN795" t="s">
        <v>52</v>
      </c>
      <c r="AO795" t="s">
        <v>26</v>
      </c>
      <c r="AP795">
        <v>2006</v>
      </c>
      <c r="AQ795" t="s">
        <v>36</v>
      </c>
      <c r="AR795" t="s">
        <v>351</v>
      </c>
      <c r="AS795" t="s">
        <v>307</v>
      </c>
      <c r="AT795" t="s">
        <v>242</v>
      </c>
      <c r="AU795" t="s">
        <v>311</v>
      </c>
      <c r="AV795">
        <v>0</v>
      </c>
    </row>
    <row r="796" spans="40:48" x14ac:dyDescent="0.25">
      <c r="AN796" t="s">
        <v>52</v>
      </c>
      <c r="AO796" t="s">
        <v>26</v>
      </c>
      <c r="AP796">
        <v>2006</v>
      </c>
      <c r="AQ796" t="s">
        <v>36</v>
      </c>
      <c r="AR796" t="s">
        <v>351</v>
      </c>
      <c r="AS796" t="s">
        <v>307</v>
      </c>
      <c r="AT796" t="s">
        <v>242</v>
      </c>
      <c r="AU796" t="s">
        <v>268</v>
      </c>
      <c r="AV796">
        <v>0</v>
      </c>
    </row>
    <row r="797" spans="40:48" x14ac:dyDescent="0.25">
      <c r="AN797" t="s">
        <v>52</v>
      </c>
      <c r="AO797" t="s">
        <v>26</v>
      </c>
      <c r="AP797">
        <v>2006</v>
      </c>
      <c r="AQ797" t="s">
        <v>36</v>
      </c>
      <c r="AR797" t="s">
        <v>351</v>
      </c>
      <c r="AS797" t="s">
        <v>307</v>
      </c>
      <c r="AT797" t="s">
        <v>243</v>
      </c>
      <c r="AU797" t="s">
        <v>337</v>
      </c>
      <c r="AV797">
        <v>0</v>
      </c>
    </row>
    <row r="798" spans="40:48" x14ac:dyDescent="0.25">
      <c r="AN798" t="s">
        <v>52</v>
      </c>
      <c r="AO798" t="s">
        <v>26</v>
      </c>
      <c r="AP798">
        <v>2006</v>
      </c>
      <c r="AQ798" t="s">
        <v>36</v>
      </c>
      <c r="AR798" t="s">
        <v>351</v>
      </c>
      <c r="AS798" t="s">
        <v>307</v>
      </c>
      <c r="AT798" t="s">
        <v>243</v>
      </c>
      <c r="AU798" t="s">
        <v>338</v>
      </c>
      <c r="AV798">
        <v>0</v>
      </c>
    </row>
    <row r="799" spans="40:48" x14ac:dyDescent="0.25">
      <c r="AN799" t="s">
        <v>52</v>
      </c>
      <c r="AO799" t="s">
        <v>26</v>
      </c>
      <c r="AP799">
        <v>2006</v>
      </c>
      <c r="AQ799" t="s">
        <v>36</v>
      </c>
      <c r="AR799" t="s">
        <v>351</v>
      </c>
      <c r="AS799" t="s">
        <v>307</v>
      </c>
      <c r="AT799" t="s">
        <v>243</v>
      </c>
      <c r="AU799" t="s">
        <v>349</v>
      </c>
      <c r="AV799">
        <v>30.95</v>
      </c>
    </row>
    <row r="800" spans="40:48" x14ac:dyDescent="0.25">
      <c r="AN800" t="s">
        <v>125</v>
      </c>
      <c r="AO800" t="s">
        <v>26</v>
      </c>
      <c r="AP800">
        <v>2006</v>
      </c>
      <c r="AQ800" t="s">
        <v>67</v>
      </c>
      <c r="AR800" t="s">
        <v>351</v>
      </c>
      <c r="AS800" t="s">
        <v>307</v>
      </c>
      <c r="AT800" t="s">
        <v>218</v>
      </c>
      <c r="AU800" t="s">
        <v>310</v>
      </c>
      <c r="AV800">
        <v>3.5</v>
      </c>
    </row>
    <row r="801" spans="40:48" x14ac:dyDescent="0.25">
      <c r="AN801" t="s">
        <v>125</v>
      </c>
      <c r="AO801" t="s">
        <v>26</v>
      </c>
      <c r="AP801">
        <v>2006</v>
      </c>
      <c r="AQ801" t="s">
        <v>67</v>
      </c>
      <c r="AR801" t="s">
        <v>351</v>
      </c>
      <c r="AS801" t="s">
        <v>307</v>
      </c>
      <c r="AT801" t="s">
        <v>218</v>
      </c>
      <c r="AU801" t="s">
        <v>311</v>
      </c>
      <c r="AV801">
        <v>7.85</v>
      </c>
    </row>
    <row r="802" spans="40:48" x14ac:dyDescent="0.25">
      <c r="AN802" t="s">
        <v>125</v>
      </c>
      <c r="AO802" t="s">
        <v>26</v>
      </c>
      <c r="AP802">
        <v>2006</v>
      </c>
      <c r="AQ802" t="s">
        <v>67</v>
      </c>
      <c r="AR802" t="s">
        <v>351</v>
      </c>
      <c r="AS802" t="s">
        <v>307</v>
      </c>
      <c r="AT802" t="s">
        <v>218</v>
      </c>
      <c r="AU802" t="s">
        <v>268</v>
      </c>
      <c r="AV802">
        <v>11.35</v>
      </c>
    </row>
    <row r="803" spans="40:48" x14ac:dyDescent="0.25">
      <c r="AN803" t="s">
        <v>125</v>
      </c>
      <c r="AO803" t="s">
        <v>26</v>
      </c>
      <c r="AP803">
        <v>2006</v>
      </c>
      <c r="AQ803" t="s">
        <v>67</v>
      </c>
      <c r="AR803" t="s">
        <v>351</v>
      </c>
      <c r="AS803" t="s">
        <v>307</v>
      </c>
      <c r="AT803" t="s">
        <v>238</v>
      </c>
      <c r="AU803" t="s">
        <v>310</v>
      </c>
      <c r="AV803">
        <v>0</v>
      </c>
    </row>
    <row r="804" spans="40:48" x14ac:dyDescent="0.25">
      <c r="AN804" t="s">
        <v>125</v>
      </c>
      <c r="AO804" t="s">
        <v>26</v>
      </c>
      <c r="AP804">
        <v>2006</v>
      </c>
      <c r="AQ804" t="s">
        <v>67</v>
      </c>
      <c r="AR804" t="s">
        <v>351</v>
      </c>
      <c r="AS804" t="s">
        <v>307</v>
      </c>
      <c r="AT804" t="s">
        <v>238</v>
      </c>
      <c r="AU804" t="s">
        <v>311</v>
      </c>
      <c r="AV804">
        <v>0</v>
      </c>
    </row>
    <row r="805" spans="40:48" x14ac:dyDescent="0.25">
      <c r="AN805" t="s">
        <v>125</v>
      </c>
      <c r="AO805" t="s">
        <v>26</v>
      </c>
      <c r="AP805">
        <v>2006</v>
      </c>
      <c r="AQ805" t="s">
        <v>67</v>
      </c>
      <c r="AR805" t="s">
        <v>351</v>
      </c>
      <c r="AS805" t="s">
        <v>307</v>
      </c>
      <c r="AT805" t="s">
        <v>238</v>
      </c>
      <c r="AU805" t="s">
        <v>268</v>
      </c>
      <c r="AV805">
        <v>0</v>
      </c>
    </row>
    <row r="806" spans="40:48" x14ac:dyDescent="0.25">
      <c r="AN806" t="s">
        <v>125</v>
      </c>
      <c r="AO806" t="s">
        <v>26</v>
      </c>
      <c r="AP806">
        <v>2006</v>
      </c>
      <c r="AQ806" t="s">
        <v>67</v>
      </c>
      <c r="AR806" t="s">
        <v>351</v>
      </c>
      <c r="AS806" t="s">
        <v>307</v>
      </c>
      <c r="AT806" t="s">
        <v>239</v>
      </c>
      <c r="AU806" t="s">
        <v>310</v>
      </c>
      <c r="AV806">
        <v>0</v>
      </c>
    </row>
    <row r="807" spans="40:48" x14ac:dyDescent="0.25">
      <c r="AN807" t="s">
        <v>125</v>
      </c>
      <c r="AO807" t="s">
        <v>26</v>
      </c>
      <c r="AP807">
        <v>2006</v>
      </c>
      <c r="AQ807" t="s">
        <v>67</v>
      </c>
      <c r="AR807" t="s">
        <v>351</v>
      </c>
      <c r="AS807" t="s">
        <v>307</v>
      </c>
      <c r="AT807" t="s">
        <v>239</v>
      </c>
      <c r="AU807" t="s">
        <v>311</v>
      </c>
      <c r="AV807">
        <v>0</v>
      </c>
    </row>
    <row r="808" spans="40:48" x14ac:dyDescent="0.25">
      <c r="AN808" t="s">
        <v>125</v>
      </c>
      <c r="AO808" t="s">
        <v>26</v>
      </c>
      <c r="AP808">
        <v>2006</v>
      </c>
      <c r="AQ808" t="s">
        <v>67</v>
      </c>
      <c r="AR808" t="s">
        <v>351</v>
      </c>
      <c r="AS808" t="s">
        <v>307</v>
      </c>
      <c r="AT808" t="s">
        <v>239</v>
      </c>
      <c r="AU808" t="s">
        <v>268</v>
      </c>
      <c r="AV808">
        <v>0</v>
      </c>
    </row>
    <row r="809" spans="40:48" x14ac:dyDescent="0.25">
      <c r="AN809" t="s">
        <v>125</v>
      </c>
      <c r="AO809" t="s">
        <v>26</v>
      </c>
      <c r="AP809">
        <v>2006</v>
      </c>
      <c r="AQ809" t="s">
        <v>67</v>
      </c>
      <c r="AR809" t="s">
        <v>351</v>
      </c>
      <c r="AS809" t="s">
        <v>307</v>
      </c>
      <c r="AT809" t="s">
        <v>240</v>
      </c>
      <c r="AU809" t="s">
        <v>310</v>
      </c>
      <c r="AV809">
        <v>3.2</v>
      </c>
    </row>
    <row r="810" spans="40:48" x14ac:dyDescent="0.25">
      <c r="AN810" t="s">
        <v>125</v>
      </c>
      <c r="AO810" t="s">
        <v>26</v>
      </c>
      <c r="AP810">
        <v>2006</v>
      </c>
      <c r="AQ810" t="s">
        <v>67</v>
      </c>
      <c r="AR810" t="s">
        <v>351</v>
      </c>
      <c r="AS810" t="s">
        <v>307</v>
      </c>
      <c r="AT810" t="s">
        <v>240</v>
      </c>
      <c r="AU810" t="s">
        <v>311</v>
      </c>
      <c r="AV810">
        <v>8.1999999999999993</v>
      </c>
    </row>
    <row r="811" spans="40:48" x14ac:dyDescent="0.25">
      <c r="AN811" t="s">
        <v>125</v>
      </c>
      <c r="AO811" t="s">
        <v>26</v>
      </c>
      <c r="AP811">
        <v>2006</v>
      </c>
      <c r="AQ811" t="s">
        <v>67</v>
      </c>
      <c r="AR811" t="s">
        <v>351</v>
      </c>
      <c r="AS811" t="s">
        <v>307</v>
      </c>
      <c r="AT811" t="s">
        <v>240</v>
      </c>
      <c r="AU811" t="s">
        <v>268</v>
      </c>
      <c r="AV811">
        <v>11.4</v>
      </c>
    </row>
    <row r="812" spans="40:48" x14ac:dyDescent="0.25">
      <c r="AN812" t="s">
        <v>125</v>
      </c>
      <c r="AO812" t="s">
        <v>26</v>
      </c>
      <c r="AP812">
        <v>2006</v>
      </c>
      <c r="AQ812" t="s">
        <v>67</v>
      </c>
      <c r="AR812" t="s">
        <v>351</v>
      </c>
      <c r="AS812" t="s">
        <v>307</v>
      </c>
      <c r="AT812" t="s">
        <v>316</v>
      </c>
      <c r="AU812" t="s">
        <v>310</v>
      </c>
      <c r="AV812">
        <v>0</v>
      </c>
    </row>
    <row r="813" spans="40:48" x14ac:dyDescent="0.25">
      <c r="AN813" t="s">
        <v>125</v>
      </c>
      <c r="AO813" t="s">
        <v>26</v>
      </c>
      <c r="AP813">
        <v>2006</v>
      </c>
      <c r="AQ813" t="s">
        <v>67</v>
      </c>
      <c r="AR813" t="s">
        <v>351</v>
      </c>
      <c r="AS813" t="s">
        <v>307</v>
      </c>
      <c r="AT813" t="s">
        <v>316</v>
      </c>
      <c r="AU813" t="s">
        <v>311</v>
      </c>
      <c r="AV813">
        <v>0</v>
      </c>
    </row>
    <row r="814" spans="40:48" x14ac:dyDescent="0.25">
      <c r="AN814" t="s">
        <v>125</v>
      </c>
      <c r="AO814" t="s">
        <v>26</v>
      </c>
      <c r="AP814">
        <v>2006</v>
      </c>
      <c r="AQ814" t="s">
        <v>67</v>
      </c>
      <c r="AR814" t="s">
        <v>351</v>
      </c>
      <c r="AS814" t="s">
        <v>307</v>
      </c>
      <c r="AT814" t="s">
        <v>316</v>
      </c>
      <c r="AU814" t="s">
        <v>268</v>
      </c>
      <c r="AV814">
        <v>0</v>
      </c>
    </row>
    <row r="815" spans="40:48" x14ac:dyDescent="0.25">
      <c r="AN815" t="s">
        <v>125</v>
      </c>
      <c r="AO815" t="s">
        <v>26</v>
      </c>
      <c r="AP815">
        <v>2006</v>
      </c>
      <c r="AQ815" t="s">
        <v>67</v>
      </c>
      <c r="AR815" t="s">
        <v>351</v>
      </c>
      <c r="AS815" t="s">
        <v>307</v>
      </c>
      <c r="AT815" t="s">
        <v>242</v>
      </c>
      <c r="AU815" t="s">
        <v>310</v>
      </c>
      <c r="AV815">
        <v>0</v>
      </c>
    </row>
    <row r="816" spans="40:48" x14ac:dyDescent="0.25">
      <c r="AN816" t="s">
        <v>125</v>
      </c>
      <c r="AO816" t="s">
        <v>26</v>
      </c>
      <c r="AP816">
        <v>2006</v>
      </c>
      <c r="AQ816" t="s">
        <v>67</v>
      </c>
      <c r="AR816" t="s">
        <v>351</v>
      </c>
      <c r="AS816" t="s">
        <v>307</v>
      </c>
      <c r="AT816" t="s">
        <v>242</v>
      </c>
      <c r="AU816" t="s">
        <v>311</v>
      </c>
      <c r="AV816">
        <v>0</v>
      </c>
    </row>
    <row r="817" spans="40:48" x14ac:dyDescent="0.25">
      <c r="AN817" t="s">
        <v>125</v>
      </c>
      <c r="AO817" t="s">
        <v>26</v>
      </c>
      <c r="AP817">
        <v>2006</v>
      </c>
      <c r="AQ817" t="s">
        <v>67</v>
      </c>
      <c r="AR817" t="s">
        <v>351</v>
      </c>
      <c r="AS817" t="s">
        <v>307</v>
      </c>
      <c r="AT817" t="s">
        <v>242</v>
      </c>
      <c r="AU817" t="s">
        <v>268</v>
      </c>
      <c r="AV817">
        <v>0</v>
      </c>
    </row>
    <row r="818" spans="40:48" x14ac:dyDescent="0.25">
      <c r="AN818" t="s">
        <v>125</v>
      </c>
      <c r="AO818" t="s">
        <v>26</v>
      </c>
      <c r="AP818">
        <v>2006</v>
      </c>
      <c r="AQ818" t="s">
        <v>67</v>
      </c>
      <c r="AR818" t="s">
        <v>351</v>
      </c>
      <c r="AS818" t="s">
        <v>307</v>
      </c>
      <c r="AT818" t="s">
        <v>243</v>
      </c>
      <c r="AU818" t="s">
        <v>337</v>
      </c>
      <c r="AV818">
        <v>0</v>
      </c>
    </row>
    <row r="819" spans="40:48" x14ac:dyDescent="0.25">
      <c r="AN819" t="s">
        <v>125</v>
      </c>
      <c r="AO819" t="s">
        <v>26</v>
      </c>
      <c r="AP819">
        <v>2006</v>
      </c>
      <c r="AQ819" t="s">
        <v>67</v>
      </c>
      <c r="AR819" t="s">
        <v>351</v>
      </c>
      <c r="AS819" t="s">
        <v>307</v>
      </c>
      <c r="AT819" t="s">
        <v>243</v>
      </c>
      <c r="AU819" t="s">
        <v>338</v>
      </c>
      <c r="AV819">
        <v>0</v>
      </c>
    </row>
    <row r="820" spans="40:48" x14ac:dyDescent="0.25">
      <c r="AN820" t="s">
        <v>125</v>
      </c>
      <c r="AO820" t="s">
        <v>26</v>
      </c>
      <c r="AP820">
        <v>2006</v>
      </c>
      <c r="AQ820" t="s">
        <v>67</v>
      </c>
      <c r="AR820" t="s">
        <v>351</v>
      </c>
      <c r="AS820" t="s">
        <v>307</v>
      </c>
      <c r="AT820" t="s">
        <v>243</v>
      </c>
      <c r="AU820" t="s">
        <v>349</v>
      </c>
      <c r="AV820">
        <v>22.75</v>
      </c>
    </row>
  </sheetData>
  <mergeCells count="2">
    <mergeCell ref="AD2:AD8"/>
    <mergeCell ref="AD9:AD15"/>
  </mergeCells>
  <phoneticPr fontId="1" type="noConversion"/>
  <conditionalFormatting sqref="B2:B40">
    <cfRule type="expression" dxfId="187" priority="1">
      <formula>IF($C2="junior",$AB2=MAX(_xlfn._xlws.FILTER($AB$2:$AB$40,$C$2:$C$40="junior")),$AB2=MAX(_xlfn._xlws.FILTER($AB$2:$AB$40,$C$2:$C$40="senior")))</formula>
    </cfRule>
    <cfRule type="expression" dxfId="186" priority="2">
      <formula>IF($C2="junior",$AB2=LARGE(_xlfn._xlws.FILTER($AB$2:$AB$40,$C$2:$C$40="junior"),2),$AB2=LARGE(_xlfn._xlws.FILTER($AB$2:$AB$40,$C$2:$C$40="senior"),2))</formula>
    </cfRule>
    <cfRule type="expression" dxfId="185" priority="3">
      <formula>IF($C2="junior",$AB2=LARGE(_xlfn._xlws.FILTER($AB$2:$AB$40,$C$2:$C$40="junior"),3),$AB2=LARGE(_xlfn._xlws.FILTER($AB$2:$AB$40,$C$2:$C$40="senior"),3))</formula>
    </cfRule>
    <cfRule type="expression" dxfId="184" priority="4">
      <formula>IF($C2="junior",Z2=MAX(_xlfn._xlws.FILTER($Z$2:$Z$40,$C$2:$C$40="junior")),Z2=MAX(_xlfn._xlws.FILTER($Z$2:$Z$40,$C$2:$C$40="senior")))</formula>
    </cfRule>
    <cfRule type="expression" dxfId="183" priority="5">
      <formula>IF($C2="junior",$AA2=MAX(_xlfn._xlws.FILTER($AA$2:$AA$40,$C$2:$C$40="junior")),$AA2=MAX(_xlfn._xlws.FILTER($AA$2:$AA$40,$C$2:$C$40="junior")))</formula>
    </cfRule>
  </conditionalFormatting>
  <conditionalFormatting sqref="H2:H40 K2:K40 N2:N40 Q2:Q40 T2:T40 W2:W40">
    <cfRule type="expression" dxfId="182" priority="28">
      <formula>AND(AND($C2="junior",H2&lt;2.6),H2&gt;0)</formula>
    </cfRule>
    <cfRule type="expression" dxfId="181" priority="29">
      <formula>AND(AND($C2="senior",H2&lt;2.9),H2&gt;0)</formula>
    </cfRule>
  </conditionalFormatting>
  <conditionalFormatting sqref="H2:H40">
    <cfRule type="expression" dxfId="180" priority="26">
      <formula>IF($C2="junior",H2&gt;=$AF$10+$AG$10,H2&gt;=$AF$3+$AG$3)</formula>
    </cfRule>
  </conditionalFormatting>
  <conditionalFormatting sqref="H2:AB40">
    <cfRule type="cellIs" dxfId="179" priority="30" operator="equal">
      <formula>0</formula>
    </cfRule>
  </conditionalFormatting>
  <conditionalFormatting sqref="J2:J40">
    <cfRule type="expression" dxfId="178" priority="25">
      <formula>IF($C2="junior",J2=MAX(_xlfn._xlws.FILTER(J$2:J$40,$C$2:$C$40="junior")),J2=MAX(_xlfn._xlws.FILTER(J$2:J$40,$C$2:$C$40="senior")))</formula>
    </cfRule>
    <cfRule type="expression" dxfId="177" priority="27">
      <formula>IF($C2="junior",J2&gt;=$AJ$10+$AK$10,J2&gt;=$AJ$3+$AK$3)</formula>
    </cfRule>
  </conditionalFormatting>
  <conditionalFormatting sqref="K2:K40">
    <cfRule type="expression" dxfId="176" priority="11">
      <formula>IF($C2="junior",K2&gt;=$AF$13+$AG$13,K2&gt;=$AF$6+$AG$6)</formula>
    </cfRule>
  </conditionalFormatting>
  <conditionalFormatting sqref="M2:M40">
    <cfRule type="expression" dxfId="175" priority="23">
      <formula>IF($C2="junior",M2=MAX(_xlfn._xlws.FILTER(M$2:M$40,$C$2:$C$40="junior")),M2=MAX(_xlfn._xlws.FILTER(M$2:M$40,$C$2:$C$40="senior")))</formula>
    </cfRule>
    <cfRule type="expression" dxfId="174" priority="24">
      <formula>IF($C2="junior",M2&gt;=$AJ$13+$AK$13,M2&gt;=$AJ$6+$AK$6)</formula>
    </cfRule>
  </conditionalFormatting>
  <conditionalFormatting sqref="N2:N40">
    <cfRule type="expression" dxfId="173" priority="10">
      <formula>IF($C2="junior",N2&gt;=$AF$14+$AG$14,N2&gt;=$AF$7+$AG$7)</formula>
    </cfRule>
  </conditionalFormatting>
  <conditionalFormatting sqref="P2:P40">
    <cfRule type="expression" dxfId="172" priority="21">
      <formula>IF($C2="junior",P2=MAX(_xlfn._xlws.FILTER(P$2:P$40,$C$2:$C$40="junior")),P2=MAX(_xlfn._xlws.FILTER(P$2:P$40,$C$2:$C$40="senior")))</formula>
    </cfRule>
    <cfRule type="expression" dxfId="171" priority="22">
      <formula>IF($C2="junior",P2&gt;=$AJ$14+$AK$14,P2&gt;=$AJ$7+$AK$7)</formula>
    </cfRule>
  </conditionalFormatting>
  <conditionalFormatting sqref="Q2:Q40">
    <cfRule type="expression" dxfId="170" priority="9">
      <formula>IF($C2="junior",Q2&gt;=$AF$15+$AG$15,Q2&gt;=$AF$8+$AG$8)</formula>
    </cfRule>
  </conditionalFormatting>
  <conditionalFormatting sqref="S2:S40">
    <cfRule type="expression" dxfId="169" priority="19">
      <formula>IF($C2="junior",S2=MAX(_xlfn._xlws.FILTER(S$2:S$40,$C$2:$C$40="junior")),S2=MAX(_xlfn._xlws.FILTER(S$2:S$40,$C$2:$C$40="senior")))</formula>
    </cfRule>
    <cfRule type="expression" dxfId="168" priority="20">
      <formula>IF($C2="junior",S2&gt;=$AJ$15+$AK$15,S2&gt;=$AJ$8+$AK$8)</formula>
    </cfRule>
  </conditionalFormatting>
  <conditionalFormatting sqref="T2:T40">
    <cfRule type="expression" dxfId="167" priority="8">
      <formula>IF($C2="junior",T2&gt;=$AF$12+$AG$12,T2&gt;=$AF$5+$AG$5)</formula>
    </cfRule>
  </conditionalFormatting>
  <conditionalFormatting sqref="V2:V40">
    <cfRule type="expression" dxfId="166" priority="17">
      <formula>IF($C2="junior",V2=MAX(_xlfn._xlws.FILTER(V$2:V$40,$C$2:$C$40="junior")),V2=MAX(_xlfn._xlws.FILTER(V$2:V$40,$C$2:$C$40="senior")))</formula>
    </cfRule>
    <cfRule type="expression" dxfId="165" priority="18">
      <formula>IF($C2="junior",V2&gt;=$AJ$12+$AK$12,V2&gt;=$AJ$5+$AK$5)</formula>
    </cfRule>
  </conditionalFormatting>
  <conditionalFormatting sqref="W2:W40">
    <cfRule type="expression" dxfId="164" priority="7">
      <formula>IF($C2="junior",W2&gt;=$AF$11+$AG$11,W2&gt;=$AF$4+$AG$4)</formula>
    </cfRule>
  </conditionalFormatting>
  <conditionalFormatting sqref="Y2:Y40">
    <cfRule type="expression" dxfId="163" priority="15">
      <formula>IF($C2="junior",Y2=MAX(_xlfn._xlws.FILTER(Y$2:Y$40,$C$2:$C$40="junior")),Y2=MAX(_xlfn._xlws.FILTER(Y$2:Y$40,$C$2:$C$40="senior")))</formula>
    </cfRule>
    <cfRule type="expression" dxfId="162" priority="16">
      <formula>IF($C2="junior",Y2&gt;=$AJ$11+$AK$11,Y2&gt;=$AJ$4+$AK$4)</formula>
    </cfRule>
  </conditionalFormatting>
  <conditionalFormatting sqref="Z2:Z40">
    <cfRule type="expression" dxfId="161" priority="6">
      <formula>IF($C2="junior",Z2&gt;=$AF$9+$AG$9,Z2&gt;=$AF$2+$AG$2)</formula>
    </cfRule>
  </conditionalFormatting>
  <conditionalFormatting sqref="AA2:AA40">
    <cfRule type="expression" dxfId="160" priority="12">
      <formula>IF($C2="junior",AA2&gt;=$AH$9+$AI$9,AA2&gt;=$AH$2+$AI$2)</formula>
    </cfRule>
  </conditionalFormatting>
  <conditionalFormatting sqref="AB2:AB40">
    <cfRule type="expression" dxfId="159" priority="13">
      <formula>IF($C2="junior",AB2=MAX(_xlfn._xlws.FILTER(AB$2:AB$40,$C$2:$C$40="junior",$G$2:$G$33="Yes")),AB2=MAX(_xlfn._xlws.FILTER(AB$2:AB$40,$C$2:$C$40="senior",$G$2:$G$40="Yes")))</formula>
    </cfRule>
    <cfRule type="expression" dxfId="158" priority="14">
      <formula>IF($C2="junior",AB2&gt;=$AJ$9+$AK$9,AB2&gt;=$AJ$2+$AK$2)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A58739-F7E2-5E4F-B517-6837AF3D2539}">
  <sheetPr codeName="Arkusz5">
    <tabColor theme="4" tint="0.39997558519241921"/>
  </sheetPr>
  <dimension ref="A1:AV694"/>
  <sheetViews>
    <sheetView tabSelected="1" topLeftCell="A16" zoomScale="75" zoomScaleNormal="75" workbookViewId="0">
      <selection activeCell="F36" sqref="F36"/>
    </sheetView>
  </sheetViews>
  <sheetFormatPr defaultColWidth="11" defaultRowHeight="15.75" x14ac:dyDescent="0.25"/>
  <cols>
    <col min="1" max="1" width="14.5" style="2" bestFit="1" customWidth="1"/>
    <col min="2" max="2" width="21.125" bestFit="1" customWidth="1"/>
    <col min="3" max="3" width="14.625" style="2" bestFit="1" customWidth="1"/>
    <col min="4" max="4" width="15.125" style="2" bestFit="1" customWidth="1"/>
    <col min="5" max="5" width="20" style="2" bestFit="1" customWidth="1"/>
    <col min="6" max="6" width="26.625" bestFit="1" customWidth="1"/>
    <col min="7" max="7" width="16.125" customWidth="1"/>
    <col min="8" max="8" width="16.25" style="3" bestFit="1" customWidth="1"/>
    <col min="9" max="9" width="17.125" style="3" bestFit="1" customWidth="1"/>
    <col min="10" max="10" width="26.125" style="3" bestFit="1" customWidth="1"/>
    <col min="11" max="28" width="10.375" style="3" customWidth="1"/>
    <col min="30" max="30" width="18.5" bestFit="1" customWidth="1"/>
    <col min="31" max="31" width="14.5" bestFit="1" customWidth="1"/>
    <col min="32" max="32" width="17.625" bestFit="1" customWidth="1"/>
    <col min="33" max="33" width="21.75" bestFit="1" customWidth="1"/>
    <col min="34" max="34" width="11.125" bestFit="1" customWidth="1"/>
    <col min="35" max="35" width="14" bestFit="1" customWidth="1"/>
  </cols>
  <sheetData>
    <row r="1" spans="1:48" s="2" customFormat="1" x14ac:dyDescent="0.25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243</v>
      </c>
      <c r="H1" s="2" t="s">
        <v>6</v>
      </c>
      <c r="I1" s="2" t="s">
        <v>7</v>
      </c>
      <c r="J1" s="2" t="s">
        <v>8</v>
      </c>
      <c r="K1" s="4" t="s">
        <v>9</v>
      </c>
      <c r="L1" s="2" t="s">
        <v>10</v>
      </c>
      <c r="M1" s="2" t="s">
        <v>11</v>
      </c>
      <c r="N1" s="2" t="s">
        <v>12</v>
      </c>
      <c r="O1" s="2" t="s">
        <v>13</v>
      </c>
      <c r="P1" s="2" t="s">
        <v>14</v>
      </c>
      <c r="Q1" s="2" t="s">
        <v>15</v>
      </c>
      <c r="R1" s="2" t="s">
        <v>16</v>
      </c>
      <c r="S1" s="2" t="s">
        <v>17</v>
      </c>
      <c r="T1" s="2" t="s">
        <v>18</v>
      </c>
      <c r="U1" s="2" t="s">
        <v>19</v>
      </c>
      <c r="V1" s="2" t="s">
        <v>20</v>
      </c>
      <c r="W1" s="2" t="s">
        <v>21</v>
      </c>
      <c r="X1" s="2" t="s">
        <v>22</v>
      </c>
      <c r="Y1" s="2" t="s">
        <v>23</v>
      </c>
      <c r="Z1" s="2" t="s">
        <v>247</v>
      </c>
      <c r="AA1" s="2" t="s">
        <v>248</v>
      </c>
      <c r="AB1" s="2" t="s">
        <v>24</v>
      </c>
      <c r="AD1" s="20" t="s">
        <v>2</v>
      </c>
      <c r="AE1" s="20" t="s">
        <v>217</v>
      </c>
      <c r="AF1" s="20" t="s">
        <v>244</v>
      </c>
      <c r="AG1" s="20" t="s">
        <v>249</v>
      </c>
      <c r="AH1" s="20" t="s">
        <v>245</v>
      </c>
      <c r="AI1" s="20" t="s">
        <v>250</v>
      </c>
      <c r="AJ1" s="20" t="s">
        <v>246</v>
      </c>
      <c r="AK1" s="20" t="s">
        <v>251</v>
      </c>
      <c r="AL1" s="20" t="s">
        <v>252</v>
      </c>
      <c r="AN1" t="s">
        <v>1</v>
      </c>
      <c r="AO1" t="s">
        <v>2</v>
      </c>
      <c r="AP1" t="s">
        <v>3</v>
      </c>
      <c r="AQ1" t="s">
        <v>5</v>
      </c>
      <c r="AR1" t="s">
        <v>243</v>
      </c>
      <c r="AS1" t="s">
        <v>318</v>
      </c>
      <c r="AT1" t="s">
        <v>217</v>
      </c>
      <c r="AU1" t="s">
        <v>315</v>
      </c>
      <c r="AV1" t="s">
        <v>309</v>
      </c>
    </row>
    <row r="2" spans="1:48" x14ac:dyDescent="0.25">
      <c r="A2" s="2">
        <v>1</v>
      </c>
      <c r="B2" t="s">
        <v>63</v>
      </c>
      <c r="C2" s="2" t="s">
        <v>60</v>
      </c>
      <c r="D2" s="2">
        <v>1997</v>
      </c>
      <c r="E2" s="2" t="s">
        <v>64</v>
      </c>
      <c r="F2" t="s">
        <v>39</v>
      </c>
      <c r="G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" s="5">
        <v>5.6</v>
      </c>
      <c r="I2" s="8">
        <v>6.65</v>
      </c>
      <c r="J2" s="8">
        <v>12.25</v>
      </c>
      <c r="K2" s="5">
        <v>4.4000000000000004</v>
      </c>
      <c r="L2" s="8">
        <v>5</v>
      </c>
      <c r="M2" s="8">
        <v>9.4</v>
      </c>
      <c r="N2" s="5">
        <v>4.2</v>
      </c>
      <c r="O2" s="8">
        <v>8</v>
      </c>
      <c r="P2" s="8">
        <v>12.2</v>
      </c>
      <c r="Q2" s="5">
        <v>4.8</v>
      </c>
      <c r="R2" s="8">
        <v>8.3000000000000007</v>
      </c>
      <c r="S2" s="8">
        <v>13.1</v>
      </c>
      <c r="T2" s="5">
        <v>4.2</v>
      </c>
      <c r="U2" s="8">
        <v>9.1999999999999993</v>
      </c>
      <c r="V2" s="8">
        <v>13.4</v>
      </c>
      <c r="W2" s="5">
        <v>4.2</v>
      </c>
      <c r="X2" s="8">
        <v>8</v>
      </c>
      <c r="Y2" s="8">
        <v>12.2</v>
      </c>
      <c r="Z2" s="4">
        <f>IF(Gdansk_result[[#This Row],[All Around]]="Yes",SUM(H2,K2,N2,Q2,T2,W2),0)</f>
        <v>27.4</v>
      </c>
      <c r="AA2" s="7">
        <f>IF(Gdansk_result[[#This Row],[All Around]]="Yes",SUM(I2,L2,O2,R2,U2,X2),0)</f>
        <v>45.15</v>
      </c>
      <c r="AB2" s="7">
        <v>72.55</v>
      </c>
      <c r="AD2" s="41" t="s">
        <v>60</v>
      </c>
      <c r="AE2" s="20" t="s">
        <v>243</v>
      </c>
      <c r="AF2" s="21">
        <f>AVERAGEIFS(Gdansk_result[AA_Dscore],Gdansk_result[[Category]:[Category]],"senior",Gdansk_result[AA_Dscore],"&lt;&gt;0",Gdansk_result[All Around],"Yes")</f>
        <v>22.292307692307695</v>
      </c>
      <c r="AG2" s="21" cm="1">
        <f t="array" ref="AG2">_xlfn.STDEV.S(_xlfn._xlws.FILTER(Gdansk_result[AA_Dscore],(Gdansk_result[Category]="senior")*(Gdansk_result[All Around]="yes"),""))</f>
        <v>4.1867771094366288</v>
      </c>
      <c r="AH2" s="22">
        <f>AVERAGEIFS(Gdansk_result[AA_Escore],Gdansk_result[[Category]:[Category]],"senior",Gdansk_result[AA_Escore],"&lt;&gt;0",Gdansk_result[All Around],"yes")</f>
        <v>43.861538461538466</v>
      </c>
      <c r="AI2" s="22" cm="1">
        <f t="array" ref="AI2">_xlfn.STDEV.S(_xlfn._xlws.FILTER(Gdansk_result[AA_Escore],(Gdansk_result[Category]="senior")*(Gdansk_result[All Around]="yes"),""))</f>
        <v>2.9536103504971845</v>
      </c>
      <c r="AJ2" s="22">
        <f>AVERAGEIFS(Gdansk_result[Total_Score],Gdansk_result[[Category]:[Category]],"senior",Gdansk_result[Total_Score],"&lt;&gt;0",Gdansk_result[All Around],"yes")</f>
        <v>66.15384615384616</v>
      </c>
      <c r="AK2" s="22" cm="1">
        <f t="array" ref="AK2">_xlfn.STDEV.S(_xlfn._xlws.FILTER(Gdansk_result[Total_Score],(Gdansk_result[Category]="senior")*(Gdansk_result[All Around]="yes"),""))</f>
        <v>5.7183717648492953</v>
      </c>
      <c r="AL2" s="22" cm="1">
        <f t="array" ref="AL2">MAX(_xlfn._xlws.FILTER(Gdansk_result[Total_Score],Gdansk_result[Category]="senior"))</f>
        <v>72.55</v>
      </c>
      <c r="AN2" t="s">
        <v>63</v>
      </c>
      <c r="AO2" t="s">
        <v>60</v>
      </c>
      <c r="AP2">
        <v>1997</v>
      </c>
      <c r="AQ2" t="s">
        <v>39</v>
      </c>
      <c r="AR2" t="s">
        <v>306</v>
      </c>
      <c r="AS2" t="s">
        <v>352</v>
      </c>
      <c r="AT2" t="s">
        <v>218</v>
      </c>
      <c r="AU2" t="s">
        <v>310</v>
      </c>
      <c r="AV2">
        <v>5.6</v>
      </c>
    </row>
    <row r="3" spans="1:48" x14ac:dyDescent="0.25">
      <c r="A3" s="2">
        <v>2</v>
      </c>
      <c r="B3" t="s">
        <v>59</v>
      </c>
      <c r="C3" s="2" t="s">
        <v>60</v>
      </c>
      <c r="D3" s="2">
        <v>2002</v>
      </c>
      <c r="E3" s="2" t="s">
        <v>61</v>
      </c>
      <c r="F3" t="s">
        <v>62</v>
      </c>
      <c r="G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" s="4">
        <v>5.4</v>
      </c>
      <c r="I3" s="8">
        <v>7.4</v>
      </c>
      <c r="J3" s="7">
        <v>12.8</v>
      </c>
      <c r="K3" s="5">
        <v>4.9000000000000004</v>
      </c>
      <c r="L3" s="8">
        <v>6</v>
      </c>
      <c r="M3" s="7">
        <v>10.9</v>
      </c>
      <c r="N3" s="5">
        <v>2.8</v>
      </c>
      <c r="O3" s="8">
        <v>9.1999999999999993</v>
      </c>
      <c r="P3" s="7">
        <v>12</v>
      </c>
      <c r="Q3" s="5">
        <v>4.4000000000000004</v>
      </c>
      <c r="R3" s="8">
        <v>8.3000000000000007</v>
      </c>
      <c r="S3" s="7">
        <v>12.7</v>
      </c>
      <c r="T3" s="5">
        <v>5.3</v>
      </c>
      <c r="U3" s="8">
        <v>7</v>
      </c>
      <c r="V3" s="7">
        <v>12.3</v>
      </c>
      <c r="W3" s="5">
        <v>4.9000000000000004</v>
      </c>
      <c r="X3" s="8">
        <v>6.9</v>
      </c>
      <c r="Y3" s="7">
        <v>11.8</v>
      </c>
      <c r="Z3" s="4">
        <f>IF(Gdansk_result[[#This Row],[All Around]]="Yes",SUM(H3,K3,N3,Q3,T3,W3),0)</f>
        <v>27.700000000000003</v>
      </c>
      <c r="AA3" s="7">
        <f>IF(Gdansk_result[[#This Row],[All Around]]="Yes",SUM(I3,L3,O3,R3,U3,X3),0)</f>
        <v>44.800000000000004</v>
      </c>
      <c r="AB3" s="7">
        <v>72.5</v>
      </c>
      <c r="AD3" s="42"/>
      <c r="AE3" s="20" t="s">
        <v>218</v>
      </c>
      <c r="AF3" s="21">
        <f>AVERAGEIFS(Gdansk_result[FX_Dscore],Gdansk_result[[Category]:[Category]],"senior",Gdansk_result[FX_Dscore],"&lt;&gt;0")</f>
        <v>4.276470588235294</v>
      </c>
      <c r="AG3" s="21" cm="1">
        <f t="array" ref="AG3">_xlfn.STDEV.S(_xlfn._xlws.FILTER(_xlfn._xlws.FILTER(Gdansk_result[FX_Dscore],Gdansk_result[Category]="senior",""),_xlfn._xlws.FILTER(Gdansk_result[FX_Dscore],Gdansk_result[Category]="senior","")&lt;&gt;0,""))</f>
        <v>0.77663489794489715</v>
      </c>
      <c r="AH3" s="22">
        <f>AVERAGEIFS(Gdansk_result[FX_Escore],Gdansk_result[[Category]:[Category]],"senior",Gdansk_result[FX_Escore],"&lt;&gt;0")</f>
        <v>6.7235294117647069</v>
      </c>
      <c r="AI3" s="22" cm="1">
        <f t="array" ref="AI3">_xlfn.STDEV.S(_xlfn._xlws.FILTER(_xlfn._xlws.FILTER(Gdansk_result[FX_Escore],Gdansk_result[Category]="senior",""),_xlfn._xlws.FILTER(Gdansk_result[FX_Escore],Gdansk_result[Category]="senior","")&lt;&gt;0,""))</f>
        <v>0.87126302842819747</v>
      </c>
      <c r="AJ3" s="22">
        <f>AVERAGEIFS(Gdansk_result[FX_total_score],Gdansk_result[[Category]:[Category]],"senior",Gdansk_result[FX_total_score],"&lt;&gt;0")</f>
        <v>11.000000000000002</v>
      </c>
      <c r="AK3" s="22" cm="1">
        <f t="array" ref="AK3">_xlfn.STDEV.S(_xlfn._xlws.FILTER(_xlfn._xlws.FILTER(Gdansk_result[FX_total_score],Gdansk_result[Category]="senior",""),_xlfn._xlws.FILTER(Gdansk_result[FX_total_score],Gdansk_result[Category]="senior","")&lt;&gt;0,""))</f>
        <v>0.98915999716931546</v>
      </c>
      <c r="AL3" s="22" cm="1">
        <f t="array" ref="AL3">MAX(_xlfn._xlws.FILTER(Gdansk_result[FX_total_score],Gdansk_result[Category]="senior"))</f>
        <v>12.8</v>
      </c>
      <c r="AN3" t="s">
        <v>63</v>
      </c>
      <c r="AO3" t="s">
        <v>60</v>
      </c>
      <c r="AP3">
        <v>1997</v>
      </c>
      <c r="AQ3" t="s">
        <v>39</v>
      </c>
      <c r="AR3" t="s">
        <v>306</v>
      </c>
      <c r="AS3" t="s">
        <v>352</v>
      </c>
      <c r="AT3" t="s">
        <v>218</v>
      </c>
      <c r="AU3" t="s">
        <v>311</v>
      </c>
      <c r="AV3">
        <v>6.65</v>
      </c>
    </row>
    <row r="4" spans="1:48" x14ac:dyDescent="0.25">
      <c r="A4" s="2">
        <v>3</v>
      </c>
      <c r="B4" t="s">
        <v>116</v>
      </c>
      <c r="C4" s="2" t="s">
        <v>60</v>
      </c>
      <c r="D4" s="2">
        <v>1996</v>
      </c>
      <c r="E4" s="2" t="s">
        <v>117</v>
      </c>
      <c r="F4" t="s">
        <v>62</v>
      </c>
      <c r="G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4" s="5">
        <v>5.8</v>
      </c>
      <c r="I4" s="8">
        <v>5.4</v>
      </c>
      <c r="J4" s="8">
        <v>11.2</v>
      </c>
      <c r="K4" s="5">
        <v>4.0999999999999996</v>
      </c>
      <c r="L4" s="8">
        <v>7.9</v>
      </c>
      <c r="M4" s="8">
        <v>12</v>
      </c>
      <c r="N4" s="5">
        <v>5.3</v>
      </c>
      <c r="O4" s="8">
        <v>6.6</v>
      </c>
      <c r="P4" s="8">
        <v>11.9</v>
      </c>
      <c r="Q4" s="5">
        <v>5.2</v>
      </c>
      <c r="R4" s="8">
        <v>8</v>
      </c>
      <c r="S4" s="8">
        <v>13.2</v>
      </c>
      <c r="T4" s="5">
        <v>4.9000000000000004</v>
      </c>
      <c r="U4" s="8">
        <v>7.4</v>
      </c>
      <c r="V4" s="8">
        <v>12.3</v>
      </c>
      <c r="W4" s="5">
        <v>4.8</v>
      </c>
      <c r="X4" s="8">
        <v>6.3</v>
      </c>
      <c r="Y4" s="8">
        <v>11.1</v>
      </c>
      <c r="Z4" s="4">
        <f>IF(Gdansk_result[[#This Row],[All Around]]="Yes",SUM(H4,K4,N4,Q4,T4,W4),0)</f>
        <v>30.099999999999998</v>
      </c>
      <c r="AA4" s="7">
        <f>IF(Gdansk_result[[#This Row],[All Around]]="Yes",SUM(I4,L4,O4,R4,U4,X4),0)</f>
        <v>41.599999999999994</v>
      </c>
      <c r="AB4" s="7">
        <v>71.7</v>
      </c>
      <c r="AD4" s="42"/>
      <c r="AE4" s="20" t="s">
        <v>242</v>
      </c>
      <c r="AF4" s="21">
        <f>AVERAGEIFS(Gdansk_result[HB_Dscore],Gdansk_result[[Category]:[Category]],"senior",Gdansk_result[HB_Dscore],"&lt;&gt;0")</f>
        <v>3.2461538461538471</v>
      </c>
      <c r="AG4" s="21" cm="1">
        <f t="array" ref="AG4">_xlfn.STDEV.S(_xlfn._xlws.FILTER(_xlfn._xlws.FILTER(Gdansk_result[HB_Dscore],Gdansk_result[Category]="senior",""),_xlfn._xlws.FILTER(Gdansk_result[HB_Dscore],Gdansk_result[Category]="senior","")&lt;&gt;0,""))</f>
        <v>0.96230226074016711</v>
      </c>
      <c r="AH4" s="22">
        <f>AVERAGEIFS(Gdansk_result[HB_Escore],Gdansk_result[[Category]:[Category]],"senior",Gdansk_result[HB_Escore],"&lt;&gt;0")</f>
        <v>6.6769230769230754</v>
      </c>
      <c r="AI4" s="22" cm="1">
        <f t="array" ref="AI4">_xlfn.STDEV.S(_xlfn._xlws.FILTER(_xlfn._xlws.FILTER(Gdansk_result[HB_Escore],Gdansk_result[Category]="senior",""),_xlfn._xlws.FILTER(Gdansk_result[HB_Escore],Gdansk_result[Category]="senior","")&lt;&gt;0,""))</f>
        <v>2.0757142731093214</v>
      </c>
      <c r="AJ4" s="22">
        <f>AVERAGEIFS(Gdansk_result[HB_total_score],Gdansk_result[[Category]:[Category]],"senior",Gdansk_result[HB_total_score],"&lt;&gt;0")</f>
        <v>9.9230769230769251</v>
      </c>
      <c r="AK4" s="22" cm="1">
        <f t="array" ref="AK4">_xlfn.STDEV.S(_xlfn._xlws.FILTER(_xlfn._xlws.FILTER(Gdansk_result[HB_total_score],Gdansk_result[Category]="senior",""),_xlfn._xlws.FILTER(Gdansk_result[HB_total_score],Gdansk_result[Category]="senior","")&lt;&gt;0,""))</f>
        <v>2.606131822629667</v>
      </c>
      <c r="AL4" s="22" cm="1">
        <f t="array" ref="AL4">MAX(_xlfn._xlws.FILTER(Gdansk_result[HB_total_score],Gdansk_result[Category]="senior"))</f>
        <v>12.2</v>
      </c>
      <c r="AN4" t="s">
        <v>63</v>
      </c>
      <c r="AO4" t="s">
        <v>60</v>
      </c>
      <c r="AP4">
        <v>1997</v>
      </c>
      <c r="AQ4" t="s">
        <v>39</v>
      </c>
      <c r="AR4" t="s">
        <v>306</v>
      </c>
      <c r="AS4" t="s">
        <v>352</v>
      </c>
      <c r="AT4" t="s">
        <v>218</v>
      </c>
      <c r="AU4" t="s">
        <v>268</v>
      </c>
      <c r="AV4">
        <v>12.25</v>
      </c>
    </row>
    <row r="5" spans="1:48" x14ac:dyDescent="0.25">
      <c r="A5" s="2">
        <v>4</v>
      </c>
      <c r="B5" t="s">
        <v>65</v>
      </c>
      <c r="C5" s="2" t="s">
        <v>60</v>
      </c>
      <c r="D5" s="2">
        <v>2001</v>
      </c>
      <c r="E5" s="2" t="s">
        <v>66</v>
      </c>
      <c r="F5" t="s">
        <v>67</v>
      </c>
      <c r="G5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5" s="5">
        <v>3.9</v>
      </c>
      <c r="I5" s="8">
        <v>7.3</v>
      </c>
      <c r="J5" s="8">
        <v>11.2</v>
      </c>
      <c r="K5" s="5">
        <v>3.2</v>
      </c>
      <c r="L5" s="8">
        <v>7.8</v>
      </c>
      <c r="M5" s="8">
        <v>11</v>
      </c>
      <c r="N5" s="5">
        <v>3.9</v>
      </c>
      <c r="O5" s="8">
        <v>8.1999999999999993</v>
      </c>
      <c r="P5" s="8">
        <v>12.1</v>
      </c>
      <c r="Q5" s="5">
        <v>4</v>
      </c>
      <c r="R5" s="8">
        <v>8.6999999999999993</v>
      </c>
      <c r="S5" s="8">
        <v>12.7</v>
      </c>
      <c r="T5" s="5">
        <v>3.4</v>
      </c>
      <c r="U5" s="8">
        <v>9</v>
      </c>
      <c r="V5" s="8">
        <v>12.4</v>
      </c>
      <c r="W5" s="5">
        <v>3.6</v>
      </c>
      <c r="X5" s="8">
        <v>8.3000000000000007</v>
      </c>
      <c r="Y5" s="8">
        <v>11.9</v>
      </c>
      <c r="Z5" s="4">
        <f>IF(Gdansk_result[[#This Row],[All Around]]="Yes",SUM(H5,K5,N5,Q5,T5,W5),0)</f>
        <v>22</v>
      </c>
      <c r="AA5" s="7">
        <f>IF(Gdansk_result[[#This Row],[All Around]]="Yes",SUM(I5,L5,O5,R5,U5,X5),0)</f>
        <v>49.3</v>
      </c>
      <c r="AB5" s="7">
        <v>71.3</v>
      </c>
      <c r="AD5" s="42"/>
      <c r="AE5" s="20" t="s">
        <v>241</v>
      </c>
      <c r="AF5" s="21">
        <f>AVERAGEIFS(Gdansk_result[PB_Dscore],Gdansk_result[[Category]:[Category]],"senior",Gdansk_result[PB_Dscore],"&lt;&gt;0")</f>
        <v>3.5117647058823538</v>
      </c>
      <c r="AG5" s="21" cm="1">
        <f t="array" ref="AG5">_xlfn.STDEV.S(_xlfn._xlws.FILTER(_xlfn._xlws.FILTER(Gdansk_result[PB_Dscore],Gdansk_result[Category]="senior",""),_xlfn._xlws.FILTER(Gdansk_result[PB_Dscore],Gdansk_result[Category]="senior","")&lt;&gt;0,""))</f>
        <v>0.82906751303887405</v>
      </c>
      <c r="AH5" s="22">
        <f>AVERAGEIFS(Gdansk_result[PB_Escore],Gdansk_result[[Category]:[Category]],"senior",Gdansk_result[PB_Escore],"&lt;&gt;0")</f>
        <v>7.2058823529411784</v>
      </c>
      <c r="AI5" s="22" cm="1">
        <f t="array" ref="AI5">_xlfn.STDEV.S(_xlfn._xlws.FILTER(_xlfn._xlws.FILTER(Gdansk_result[PB_Escore],Gdansk_result[Category]="senior",""),_xlfn._xlws.FILTER(Gdansk_result[PB_Escore],Gdansk_result[Category]="senior","")&lt;&gt;0,""))</f>
        <v>1.7209991967732237</v>
      </c>
      <c r="AJ5" s="22">
        <f>AVERAGEIFS(Gdansk_result[PB_total_score],Gdansk_result[[Category]:[Category]],"senior",Gdansk_result[PB_total_score],"&lt;&gt;0")</f>
        <v>10.717647058823529</v>
      </c>
      <c r="AK5" s="22" cm="1">
        <f t="array" ref="AK5">_xlfn.STDEV.S(_xlfn._xlws.FILTER(_xlfn._xlws.FILTER(Gdansk_result[PB_total_score],Gdansk_result[Category]="senior",""),_xlfn._xlws.FILTER(Gdansk_result[PB_total_score],Gdansk_result[Category]="senior","")&lt;&gt;0,""))</f>
        <v>2.0329274747631998</v>
      </c>
      <c r="AL5" s="22" cm="1">
        <f t="array" ref="AL5">MAX(_xlfn._xlws.FILTER(Gdansk_result[PB_total_score],Gdansk_result[Category]="senior"))</f>
        <v>13.4</v>
      </c>
      <c r="AN5" t="s">
        <v>63</v>
      </c>
      <c r="AO5" t="s">
        <v>60</v>
      </c>
      <c r="AP5">
        <v>1997</v>
      </c>
      <c r="AQ5" t="s">
        <v>39</v>
      </c>
      <c r="AR5" t="s">
        <v>306</v>
      </c>
      <c r="AS5" t="s">
        <v>352</v>
      </c>
      <c r="AT5" t="s">
        <v>238</v>
      </c>
      <c r="AU5" t="s">
        <v>310</v>
      </c>
      <c r="AV5">
        <v>4.4000000000000004</v>
      </c>
    </row>
    <row r="6" spans="1:48" x14ac:dyDescent="0.25">
      <c r="A6" s="2">
        <v>5</v>
      </c>
      <c r="B6" t="s">
        <v>82</v>
      </c>
      <c r="C6" s="2" t="s">
        <v>60</v>
      </c>
      <c r="D6" s="2">
        <v>2003</v>
      </c>
      <c r="E6" s="2" t="s">
        <v>83</v>
      </c>
      <c r="F6" t="s">
        <v>36</v>
      </c>
      <c r="G6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6" s="5">
        <v>3.9</v>
      </c>
      <c r="I6" s="8">
        <v>7.9</v>
      </c>
      <c r="J6" s="8">
        <v>11.8</v>
      </c>
      <c r="K6" s="5">
        <v>3.4</v>
      </c>
      <c r="L6" s="8">
        <v>6.4</v>
      </c>
      <c r="M6" s="8">
        <v>9.8000000000000007</v>
      </c>
      <c r="N6" s="5">
        <v>3.8</v>
      </c>
      <c r="O6" s="8">
        <v>7.9</v>
      </c>
      <c r="P6" s="8">
        <v>11.7</v>
      </c>
      <c r="Q6" s="5">
        <v>4</v>
      </c>
      <c r="R6" s="8">
        <v>9</v>
      </c>
      <c r="S6" s="8">
        <v>13</v>
      </c>
      <c r="T6" s="5">
        <v>3</v>
      </c>
      <c r="U6" s="8">
        <v>8.8000000000000007</v>
      </c>
      <c r="V6" s="8">
        <v>11.8</v>
      </c>
      <c r="W6" s="5">
        <v>3.3</v>
      </c>
      <c r="X6" s="8">
        <v>8</v>
      </c>
      <c r="Y6" s="8">
        <v>11.3</v>
      </c>
      <c r="Z6" s="4">
        <f>IF(Gdansk_result[[#This Row],[All Around]]="Yes",SUM(H6,K6,N6,Q6,T6,W6),0)</f>
        <v>21.400000000000002</v>
      </c>
      <c r="AA6" s="7">
        <f>IF(Gdansk_result[[#This Row],[All Around]]="Yes",SUM(I6,L6,O6,R6,U6,X6),0)</f>
        <v>48</v>
      </c>
      <c r="AB6" s="7">
        <v>69.400000000000006</v>
      </c>
      <c r="AD6" s="42"/>
      <c r="AE6" s="20" t="s">
        <v>238</v>
      </c>
      <c r="AF6" s="21">
        <f>AVERAGEIFS(Gdansk_result[PH_Dscore],Gdansk_result[[Category]:[Category]],"senior",Gdansk_result[PH_Dscore],"&lt;&gt;0")</f>
        <v>3.5388888888888892</v>
      </c>
      <c r="AG6" s="21" cm="1">
        <f t="array" ref="AG6">_xlfn.STDEV.S(_xlfn._xlws.FILTER(_xlfn._xlws.FILTER(Gdansk_result[PH_Dscore],Gdansk_result[Category]="senior",""),_xlfn._xlws.FILTER(Gdansk_result[PH_Dscore],Gdansk_result[Category]="senior","")&lt;&gt;0,""))</f>
        <v>0.70555684215826386</v>
      </c>
      <c r="AH6" s="22">
        <f>AVERAGEIFS(Gdansk_result[PH_Escore],Gdansk_result[[Category]:[Category]],"senior",Gdansk_result[PH_Escore],"&lt;&gt;0")</f>
        <v>6.7555555555555555</v>
      </c>
      <c r="AI6" s="22" cm="1">
        <f t="array" ref="AI6">_xlfn.STDEV.S(_xlfn._xlws.FILTER(_xlfn._xlws.FILTER(Gdansk_result[PH_Escore],Gdansk_result[Category]="senior",""),_xlfn._xlws.FILTER(Gdansk_result[PH_Escore],Gdansk_result[Category]="senior","")&lt;&gt;0,""))</f>
        <v>1.1495381283353494</v>
      </c>
      <c r="AJ6" s="22">
        <f>AVERAGEIFS(Gdansk_result[PH_Total_Score],Gdansk_result[[Category]:[Category]],"senior",Gdansk_result[PH_Total_Score],"&lt;&gt;0")</f>
        <v>10.294444444444444</v>
      </c>
      <c r="AK6" s="22" cm="1">
        <f t="array" ref="AK6">_xlfn.STDEV.S(_xlfn._xlws.FILTER(_xlfn._xlws.FILTER(Gdansk_result[PH_Total_Score],Gdansk_result[Category]="senior",""),_xlfn._xlws.FILTER(Gdansk_result[PH_Total_Score],Gdansk_result[Category]="senior","")&lt;&gt;0,""))</f>
        <v>1.4069040780974811</v>
      </c>
      <c r="AL6" s="22" cm="1">
        <f t="array" ref="AL6">MAX(_xlfn._xlws.FILTER(Gdansk_result[PH_Total_Score],Gdansk_result[Category]="senior"))</f>
        <v>12.5</v>
      </c>
      <c r="AN6" t="s">
        <v>63</v>
      </c>
      <c r="AO6" t="s">
        <v>60</v>
      </c>
      <c r="AP6">
        <v>1997</v>
      </c>
      <c r="AQ6" t="s">
        <v>39</v>
      </c>
      <c r="AR6" t="s">
        <v>306</v>
      </c>
      <c r="AS6" t="s">
        <v>352</v>
      </c>
      <c r="AT6" t="s">
        <v>238</v>
      </c>
      <c r="AU6" t="s">
        <v>311</v>
      </c>
      <c r="AV6">
        <v>5</v>
      </c>
    </row>
    <row r="7" spans="1:48" x14ac:dyDescent="0.25">
      <c r="A7" s="2">
        <v>6</v>
      </c>
      <c r="B7" t="s">
        <v>70</v>
      </c>
      <c r="C7" s="2" t="s">
        <v>60</v>
      </c>
      <c r="D7" s="2">
        <v>2001</v>
      </c>
      <c r="E7" s="2" t="s">
        <v>71</v>
      </c>
      <c r="F7" t="s">
        <v>72</v>
      </c>
      <c r="G7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7" s="5">
        <v>5.0999999999999996</v>
      </c>
      <c r="I7" s="8">
        <v>6.8</v>
      </c>
      <c r="J7" s="8">
        <v>11.9</v>
      </c>
      <c r="K7" s="5">
        <v>2.7</v>
      </c>
      <c r="L7" s="8">
        <v>6</v>
      </c>
      <c r="M7" s="8">
        <v>8.6999999999999993</v>
      </c>
      <c r="N7" s="5">
        <v>3.4</v>
      </c>
      <c r="O7" s="8">
        <v>7.7</v>
      </c>
      <c r="P7" s="8">
        <v>11.1</v>
      </c>
      <c r="Q7" s="5">
        <v>5.2</v>
      </c>
      <c r="R7" s="8">
        <v>8.1999999999999993</v>
      </c>
      <c r="S7" s="8">
        <v>13.4</v>
      </c>
      <c r="T7" s="5">
        <v>4.3</v>
      </c>
      <c r="U7" s="8">
        <v>8</v>
      </c>
      <c r="V7" s="8">
        <v>12.3</v>
      </c>
      <c r="W7" s="5">
        <v>3.7</v>
      </c>
      <c r="X7" s="8">
        <v>7.3</v>
      </c>
      <c r="Y7" s="8">
        <v>11</v>
      </c>
      <c r="Z7" s="4">
        <f>IF(Gdansk_result[[#This Row],[All Around]]="Yes",SUM(H7,K7,N7,Q7,T7,W7),0)</f>
        <v>24.4</v>
      </c>
      <c r="AA7" s="7">
        <f>IF(Gdansk_result[[#This Row],[All Around]]="Yes",SUM(I7,L7,O7,R7,U7,X7),0)</f>
        <v>44</v>
      </c>
      <c r="AB7" s="7">
        <v>68.400000000000006</v>
      </c>
      <c r="AD7" s="42"/>
      <c r="AE7" s="20" t="s">
        <v>239</v>
      </c>
      <c r="AF7" s="21">
        <f>AVERAGEIFS(Gdansk_result[SR_Dscore],Gdansk_result[[Category]:[Category]],"senior",Gdansk_result[SR_Dscore],"&lt;&gt;0")</f>
        <v>3.5400000000000005</v>
      </c>
      <c r="AG7" s="21" cm="1">
        <f t="array" ref="AG7">_xlfn.STDEV.S(_xlfn._xlws.FILTER(_xlfn._xlws.FILTER(Gdansk_result[SR_Dscore],Gdansk_result[Category]="senior",""),_xlfn._xlws.FILTER(Gdansk_result[SR_Dscore],Gdansk_result[Category]="senior","")&lt;&gt;0,""))</f>
        <v>0.78540253555558281</v>
      </c>
      <c r="AH7" s="22">
        <f>AVERAGEIFS(Gdansk_result[SR_Escore],Gdansk_result[[Category]:[Category]],"senior",Gdansk_result[SR_Escore],"&lt;&gt;0")</f>
        <v>7.4866666666666672</v>
      </c>
      <c r="AI7" s="22" cm="1">
        <f t="array" ref="AI7">_xlfn.STDEV.S(_xlfn._xlws.FILTER(_xlfn._xlws.FILTER(Gdansk_result[SR_Escore],Gdansk_result[Category]="senior",""),_xlfn._xlws.FILTER(Gdansk_result[SR_Escore],Gdansk_result[Category]="senior","")&lt;&gt;0,""))</f>
        <v>0.84504155998106012</v>
      </c>
      <c r="AJ7" s="22">
        <f>AVERAGEIFS(Gdansk_result[SR_Total_Score],Gdansk_result[[Category]:[Category]],"senior",Gdansk_result[SR_Total_Score],"&lt;&gt;0")</f>
        <v>11.026666666666667</v>
      </c>
      <c r="AK7" s="22" cm="1">
        <f t="array" ref="AK7">_xlfn.STDEV.S(_xlfn._xlws.FILTER(_xlfn._xlws.FILTER(Gdansk_result[SR_Total_Score],Gdansk_result[Category]="senior",""),_xlfn._xlws.FILTER(Gdansk_result[SR_Total_Score],Gdansk_result[Category]="senior","")&lt;&gt;0,""))</f>
        <v>1.0832930395436913</v>
      </c>
      <c r="AL7" s="22" cm="1">
        <f t="array" ref="AL7">MAX(_xlfn._xlws.FILTER(Gdansk_result[SR_Total_Score],Gdansk_result[Category]="senior"))</f>
        <v>12.2</v>
      </c>
      <c r="AN7" t="s">
        <v>63</v>
      </c>
      <c r="AO7" t="s">
        <v>60</v>
      </c>
      <c r="AP7">
        <v>1997</v>
      </c>
      <c r="AQ7" t="s">
        <v>39</v>
      </c>
      <c r="AR7" t="s">
        <v>306</v>
      </c>
      <c r="AS7" t="s">
        <v>352</v>
      </c>
      <c r="AT7" t="s">
        <v>238</v>
      </c>
      <c r="AU7" t="s">
        <v>268</v>
      </c>
      <c r="AV7">
        <v>9.4</v>
      </c>
    </row>
    <row r="8" spans="1:48" x14ac:dyDescent="0.25">
      <c r="A8" s="2">
        <v>7</v>
      </c>
      <c r="B8" t="s">
        <v>118</v>
      </c>
      <c r="C8" s="2" t="s">
        <v>60</v>
      </c>
      <c r="D8" s="2">
        <v>2000</v>
      </c>
      <c r="E8" s="2" t="s">
        <v>119</v>
      </c>
      <c r="F8" t="s">
        <v>31</v>
      </c>
      <c r="G8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8" s="4">
        <v>4.2</v>
      </c>
      <c r="I8" s="7">
        <v>6.2</v>
      </c>
      <c r="J8" s="7">
        <v>10.4</v>
      </c>
      <c r="K8" s="4">
        <v>3.3</v>
      </c>
      <c r="L8" s="7">
        <v>7.4</v>
      </c>
      <c r="M8" s="7">
        <v>10.7</v>
      </c>
      <c r="N8" s="4">
        <v>4.0999999999999996</v>
      </c>
      <c r="O8" s="7">
        <v>7.5</v>
      </c>
      <c r="P8" s="7">
        <v>11.6</v>
      </c>
      <c r="Q8" s="4">
        <v>4</v>
      </c>
      <c r="R8" s="7">
        <v>8.9</v>
      </c>
      <c r="S8" s="7">
        <v>12.9</v>
      </c>
      <c r="T8" s="4">
        <v>3.6</v>
      </c>
      <c r="U8" s="7">
        <v>7</v>
      </c>
      <c r="V8" s="7">
        <v>10.6</v>
      </c>
      <c r="W8" s="4">
        <v>3.3</v>
      </c>
      <c r="X8" s="7">
        <v>7.4</v>
      </c>
      <c r="Y8" s="7">
        <v>10.7</v>
      </c>
      <c r="Z8" s="4">
        <f>IF(Gdansk_result[[#This Row],[All Around]]="Yes",SUM(H8,K8,N8,Q8,T8,W8),0)</f>
        <v>22.5</v>
      </c>
      <c r="AA8" s="7">
        <f>IF(Gdansk_result[[#This Row],[All Around]]="Yes",SUM(I8,L8,O8,R8,U8,X8),0)</f>
        <v>44.4</v>
      </c>
      <c r="AB8" s="7">
        <v>66.900000000000006</v>
      </c>
      <c r="AD8" s="43"/>
      <c r="AE8" s="20" t="s">
        <v>240</v>
      </c>
      <c r="AF8" s="21">
        <f>AVERAGEIFS(Gdansk_result[VT_Dscore],Gdansk_result[[Category]:[Category]],"senior",Gdansk_result[VT_Dscore],"&lt;&gt;0")</f>
        <v>3.8399999999999994</v>
      </c>
      <c r="AG8" s="21" cm="1">
        <f t="array" ref="AG8">_xlfn.STDEV.S(_xlfn._xlws.FILTER(_xlfn._xlws.FILTER(Gdansk_result[VT_Dscore],Gdansk_result[Category]="senior",""),_xlfn._xlws.FILTER(Gdansk_result[VT_Dscore],Gdansk_result[Category]="senior","")&lt;&gt;0,""))</f>
        <v>0.89186802354865113</v>
      </c>
      <c r="AH8" s="22">
        <f>AVERAGEIFS(Gdansk_result[VT_Escore],Gdansk_result[[Category]:[Category]],"senior",Gdansk_result[VT_Escore],"&lt;&gt;0")</f>
        <v>8.4666666666666668</v>
      </c>
      <c r="AI8" s="22" cm="1">
        <f t="array" ref="AI8">_xlfn.STDEV.S(_xlfn._xlws.FILTER(_xlfn._xlws.FILTER(Gdansk_result[VT_Escore],Gdansk_result[Category]="senior",""),_xlfn._xlws.FILTER(Gdansk_result[VT_Escore],Gdansk_result[Category]="senior","")&lt;&gt;0,""))</f>
        <v>0.33309515300043158</v>
      </c>
      <c r="AJ8" s="22">
        <f>AVERAGEIFS(Gdansk_result[VT_total_score],Gdansk_result[[Category]:[Category]],"senior",Gdansk_result[VT_total_score],"&lt;&gt;0")</f>
        <v>12.306666666666667</v>
      </c>
      <c r="AK8" s="22" cm="1">
        <f t="array" ref="AK8">_xlfn.STDEV.S(_xlfn._xlws.FILTER(_xlfn._xlws.FILTER(Gdansk_result[VT_total_score],Gdansk_result[Category]="senior",""),_xlfn._xlws.FILTER(Gdansk_result[VT_total_score],Gdansk_result[Category]="senior","")&lt;&gt;0,""))</f>
        <v>0.98159248648500241</v>
      </c>
      <c r="AL8" s="22" cm="1">
        <f t="array" ref="AL8">MAX(_xlfn._xlws.FILTER(Gdansk_result[VT_total_score],Gdansk_result[Category]="senior"))</f>
        <v>13.4</v>
      </c>
      <c r="AN8" t="s">
        <v>63</v>
      </c>
      <c r="AO8" t="s">
        <v>60</v>
      </c>
      <c r="AP8">
        <v>1997</v>
      </c>
      <c r="AQ8" t="s">
        <v>39</v>
      </c>
      <c r="AR8" t="s">
        <v>306</v>
      </c>
      <c r="AS8" t="s">
        <v>352</v>
      </c>
      <c r="AT8" t="s">
        <v>239</v>
      </c>
      <c r="AU8" t="s">
        <v>310</v>
      </c>
      <c r="AV8">
        <v>4.2</v>
      </c>
    </row>
    <row r="9" spans="1:48" x14ac:dyDescent="0.25">
      <c r="A9" s="2">
        <v>8</v>
      </c>
      <c r="B9" t="s">
        <v>84</v>
      </c>
      <c r="C9" s="2" t="s">
        <v>60</v>
      </c>
      <c r="D9" s="2">
        <v>2004</v>
      </c>
      <c r="E9" s="2" t="s">
        <v>85</v>
      </c>
      <c r="F9" t="s">
        <v>39</v>
      </c>
      <c r="G9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9" s="5">
        <v>4.0999999999999996</v>
      </c>
      <c r="I9" s="8">
        <v>7.3</v>
      </c>
      <c r="J9" s="8">
        <v>11.4</v>
      </c>
      <c r="K9" s="5">
        <v>3.5</v>
      </c>
      <c r="L9" s="8">
        <v>5.5</v>
      </c>
      <c r="M9" s="8">
        <v>9</v>
      </c>
      <c r="N9" s="5">
        <v>3.1</v>
      </c>
      <c r="O9" s="8">
        <v>7.3</v>
      </c>
      <c r="P9" s="8">
        <v>10.4</v>
      </c>
      <c r="Q9" s="5">
        <v>3.2</v>
      </c>
      <c r="R9" s="8">
        <v>8.3000000000000007</v>
      </c>
      <c r="S9" s="8">
        <v>11.5</v>
      </c>
      <c r="T9" s="5">
        <v>4.2</v>
      </c>
      <c r="U9" s="8">
        <v>7.7</v>
      </c>
      <c r="V9" s="8">
        <v>11.9</v>
      </c>
      <c r="W9" s="5">
        <v>2.5</v>
      </c>
      <c r="X9" s="8">
        <v>8.6999999999999993</v>
      </c>
      <c r="Y9" s="8">
        <v>11.2</v>
      </c>
      <c r="Z9" s="4">
        <f>IF(Gdansk_result[[#This Row],[All Around]]="Yes",SUM(H9,K9,N9,Q9,T9,W9),0)</f>
        <v>20.599999999999998</v>
      </c>
      <c r="AA9" s="7">
        <f>IF(Gdansk_result[[#This Row],[All Around]]="Yes",SUM(I9,L9,O9,R9,U9,X9),0)</f>
        <v>44.8</v>
      </c>
      <c r="AB9" s="7">
        <v>65.400000000000006</v>
      </c>
      <c r="AD9" s="41" t="s">
        <v>26</v>
      </c>
      <c r="AE9" s="20" t="s">
        <v>243</v>
      </c>
      <c r="AF9" s="21">
        <f>AVERAGEIFS(Gdansk_result[AA_Dscore],Gdansk_result[[Category]:[Category]],"junior",Gdansk_result[AA_Dscore],"&lt;&gt;0",Gdansk_result[All Around],"Yes")</f>
        <v>17.400000000000002</v>
      </c>
      <c r="AG9" s="21" cm="1">
        <f t="array" ref="AG9">_xlfn.STDEV.S(_xlfn._xlws.FILTER(Gdansk_result[AA_Dscore],(Gdansk_result[Category]="junior")*(Gdansk_result[All Around]="Yes")))</f>
        <v>2.6955518915428121</v>
      </c>
      <c r="AH9" s="22">
        <f>AVERAGEIFS(Gdansk_result[AA_Escore],Gdansk_result[[Category]:[Category]],"junior",Gdansk_result[AA_Escore],"&lt;&gt;0",Gdansk_result[All Around],"yes")</f>
        <v>46.172727272727279</v>
      </c>
      <c r="AI9" s="22" cm="1">
        <f t="array" ref="AI9">_xlfn.STDEV.S(_xlfn._xlws.FILTER(Gdansk_result[AA_Escore],(Gdansk_result[Category]="junior")*(Gdansk_result[All Around]="Yes")))</f>
        <v>2.6736083890842779</v>
      </c>
      <c r="AJ9" s="22">
        <f>AVERAGEIFS(Gdansk_result[Total_Score],Gdansk_result[[Category]:[Category]],"junior",Gdansk_result[Total_Score],"&lt;&gt;0",Gdansk_result[All Around],"yes")</f>
        <v>63.572727272727278</v>
      </c>
      <c r="AK9" s="22" cm="1">
        <f t="array" ref="AK9">_xlfn.STDEV.S(_xlfn._xlws.FILTER(Gdansk_result[Total_Score],(Gdansk_result[Category]="junior")*(Gdansk_result[All Around]="Yes")))</f>
        <v>4.1854727114367645</v>
      </c>
      <c r="AL9" s="22" cm="1">
        <f t="array" ref="AL9">MAX(_xlfn._xlws.FILTER(Gdansk_result[Total_Score],Gdansk_result[Category]="junior"))</f>
        <v>70</v>
      </c>
      <c r="AN9" t="s">
        <v>63</v>
      </c>
      <c r="AO9" t="s">
        <v>60</v>
      </c>
      <c r="AP9">
        <v>1997</v>
      </c>
      <c r="AQ9" t="s">
        <v>39</v>
      </c>
      <c r="AR9" t="s">
        <v>306</v>
      </c>
      <c r="AS9" t="s">
        <v>352</v>
      </c>
      <c r="AT9" t="s">
        <v>239</v>
      </c>
      <c r="AU9" t="s">
        <v>311</v>
      </c>
      <c r="AV9">
        <v>8</v>
      </c>
    </row>
    <row r="10" spans="1:48" x14ac:dyDescent="0.25">
      <c r="A10" s="2">
        <v>9</v>
      </c>
      <c r="B10" t="s">
        <v>68</v>
      </c>
      <c r="C10" s="2" t="s">
        <v>60</v>
      </c>
      <c r="D10" s="2">
        <v>2004</v>
      </c>
      <c r="E10" s="2" t="s">
        <v>69</v>
      </c>
      <c r="F10" t="s">
        <v>31</v>
      </c>
      <c r="G10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0" s="5">
        <v>4</v>
      </c>
      <c r="I10" s="8">
        <v>6.3</v>
      </c>
      <c r="J10" s="8">
        <v>10.3</v>
      </c>
      <c r="K10" s="5">
        <v>3.2</v>
      </c>
      <c r="L10" s="8">
        <v>7.4</v>
      </c>
      <c r="M10" s="8">
        <v>10.6</v>
      </c>
      <c r="N10" s="5">
        <v>3.7</v>
      </c>
      <c r="O10" s="8">
        <v>7.3</v>
      </c>
      <c r="P10" s="8">
        <v>11</v>
      </c>
      <c r="Q10" s="5">
        <v>4</v>
      </c>
      <c r="R10" s="8">
        <v>8.8000000000000007</v>
      </c>
      <c r="S10" s="8">
        <v>12.8</v>
      </c>
      <c r="T10" s="5">
        <v>3.2</v>
      </c>
      <c r="U10" s="8">
        <v>5.8</v>
      </c>
      <c r="V10" s="8">
        <v>9</v>
      </c>
      <c r="W10" s="5">
        <v>2.6</v>
      </c>
      <c r="X10" s="8">
        <v>7.6</v>
      </c>
      <c r="Y10" s="8">
        <v>10.199999999999999</v>
      </c>
      <c r="Z10" s="4">
        <f>IF(Gdansk_result[[#This Row],[All Around]]="Yes",SUM(H10,K10,N10,Q10,T10,W10),0)</f>
        <v>20.700000000000003</v>
      </c>
      <c r="AA10" s="7">
        <f>IF(Gdansk_result[[#This Row],[All Around]]="Yes",SUM(I10,L10,O10,R10,U10,X10),0)</f>
        <v>43.2</v>
      </c>
      <c r="AB10" s="7">
        <v>63.9</v>
      </c>
      <c r="AD10" s="42"/>
      <c r="AE10" s="20" t="s">
        <v>218</v>
      </c>
      <c r="AF10" s="21">
        <f>AVERAGEIFS(Gdansk_result[FX_Dscore],Gdansk_result[[Category]:[Category]],"junior",Gdansk_result[FX_Dscore],"&lt;&gt;0")</f>
        <v>3.5461538461538469</v>
      </c>
      <c r="AG10" s="21" cm="1">
        <f t="array" ref="AG10">_xlfn.STDEV.S(_xlfn._xlws.FILTER(Gdansk_result[FX_Dscore],(Gdansk_result[Category]="junior")*(Gdansk_result[FX_Dscore]&gt;0)))</f>
        <v>0.47366546671566478</v>
      </c>
      <c r="AH10" s="22">
        <f>AVERAGEIFS(Gdansk_result[FX_Escore],Gdansk_result[[Category]:[Category]],"junior",Gdansk_result[FX_Escore],"&lt;&gt;0")</f>
        <v>7.2692307692307692</v>
      </c>
      <c r="AI10" s="22" cm="1">
        <f t="array" ref="AI10">_xlfn.STDEV.S(_xlfn._xlws.FILTER(Gdansk_result[FX_Escore],(Gdansk_result[Category]="junior")*(Gdansk_result[FX_Escore]&gt;0)))</f>
        <v>0.610170215847752</v>
      </c>
      <c r="AJ10" s="22">
        <f>AVERAGEIFS(Gdansk_result[FX_total_score],Gdansk_result[[Category]:[Category]],"junior",Gdansk_result[FX_total_score],"&lt;&gt;0")</f>
        <v>10.815384615384614</v>
      </c>
      <c r="AK10" s="22" cm="1">
        <f t="array" ref="AK10">_xlfn.STDEV.S(_xlfn._xlws.FILTER(Gdansk_result[FX_total_score],(Gdansk_result[Category]="junior")*(Gdansk_result[FX_total_score]&gt;0)))</f>
        <v>0.77765261508181793</v>
      </c>
      <c r="AL10" s="22" cm="1">
        <f t="array" ref="AL10">MAX(_xlfn._xlws.FILTER(Gdansk_result[FX_total_score],Gdansk_result[Category]="junior"))</f>
        <v>11.9</v>
      </c>
      <c r="AN10" t="s">
        <v>63</v>
      </c>
      <c r="AO10" t="s">
        <v>60</v>
      </c>
      <c r="AP10">
        <v>1997</v>
      </c>
      <c r="AQ10" t="s">
        <v>39</v>
      </c>
      <c r="AR10" t="s">
        <v>306</v>
      </c>
      <c r="AS10" t="s">
        <v>352</v>
      </c>
      <c r="AT10" t="s">
        <v>239</v>
      </c>
      <c r="AU10" t="s">
        <v>268</v>
      </c>
      <c r="AV10">
        <v>12.2</v>
      </c>
    </row>
    <row r="11" spans="1:48" x14ac:dyDescent="0.25">
      <c r="A11" s="2">
        <v>10</v>
      </c>
      <c r="B11" t="s">
        <v>73</v>
      </c>
      <c r="C11" s="2" t="s">
        <v>60</v>
      </c>
      <c r="D11" s="2">
        <v>2001</v>
      </c>
      <c r="E11" s="2" t="s">
        <v>74</v>
      </c>
      <c r="F11" t="s">
        <v>62</v>
      </c>
      <c r="G11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1" s="5">
        <v>4.7</v>
      </c>
      <c r="I11" s="8">
        <v>6.7</v>
      </c>
      <c r="J11" s="8">
        <v>11.4</v>
      </c>
      <c r="K11" s="5">
        <v>2.9</v>
      </c>
      <c r="L11" s="8">
        <v>7.1</v>
      </c>
      <c r="M11" s="8">
        <v>10</v>
      </c>
      <c r="N11" s="5">
        <v>2.7</v>
      </c>
      <c r="O11" s="8">
        <v>7.4</v>
      </c>
      <c r="P11" s="8">
        <v>10.1</v>
      </c>
      <c r="Q11" s="5">
        <v>4</v>
      </c>
      <c r="R11" s="8">
        <v>8.6999999999999993</v>
      </c>
      <c r="S11" s="8">
        <v>12.7</v>
      </c>
      <c r="T11" s="5">
        <v>3.6</v>
      </c>
      <c r="U11" s="8">
        <v>7.4</v>
      </c>
      <c r="V11" s="8">
        <v>11</v>
      </c>
      <c r="W11" s="5">
        <v>2.6</v>
      </c>
      <c r="X11" s="8">
        <v>5.8</v>
      </c>
      <c r="Y11" s="8">
        <v>8.4</v>
      </c>
      <c r="Z11" s="4">
        <f>IF(Gdansk_result[[#This Row],[All Around]]="Yes",SUM(H11,K11,N11,Q11,T11,W11),0)</f>
        <v>20.500000000000004</v>
      </c>
      <c r="AA11" s="7">
        <f>IF(Gdansk_result[[#This Row],[All Around]]="Yes",SUM(I11,L11,O11,R11,U11,X11),0)</f>
        <v>43.1</v>
      </c>
      <c r="AB11" s="7">
        <v>63.6</v>
      </c>
      <c r="AD11" s="42"/>
      <c r="AE11" s="20" t="s">
        <v>242</v>
      </c>
      <c r="AF11" s="21">
        <f>AVERAGEIFS(Gdansk_result[HB_Dscore],Gdansk_result[[Category]:[Category]],"junior",Gdansk_result[HB_Dscore],"&lt;&gt;0")</f>
        <v>2.3916666666666671</v>
      </c>
      <c r="AG11" s="21" cm="1">
        <f t="array" ref="AG11">_xlfn.STDEV.S(_xlfn._xlws.FILTER(Gdansk_result[HB_Dscore],(Gdansk_result[Category]="junior")*(Gdansk_result[HB_Dscore]&gt;0)))</f>
        <v>0.53164980499527492</v>
      </c>
      <c r="AH11" s="22">
        <f>AVERAGEIFS(Gdansk_result[HB_Escore],Gdansk_result[[Category]:[Category]],"junior",Gdansk_result[HB_Escore],"&lt;&gt;0")</f>
        <v>7.0666666666666673</v>
      </c>
      <c r="AI11" s="22" cm="1">
        <f t="array" ref="AI11">_xlfn.STDEV.S(_xlfn._xlws.FILTER(Gdansk_result[HB_Escore],(Gdansk_result[Category]="junior")*(Gdansk_result[HB_Escore]&gt;0)))</f>
        <v>1.6554775929036456</v>
      </c>
      <c r="AJ11" s="22">
        <f>AVERAGEIFS(Gdansk_result[HB_total_score],Gdansk_result[[Category]:[Category]],"junior",Gdansk_result[HB_total_score],"&lt;&gt;0")</f>
        <v>9.4583333333333321</v>
      </c>
      <c r="AK11" s="22" cm="1">
        <f t="array" ref="AK11">_xlfn.STDEV.S(_xlfn._xlws.FILTER(Gdansk_result[HB_total_score],(Gdansk_result[Category]="junior")*(Gdansk_result[HB_total_score]&gt;0)))</f>
        <v>1.8860532785944848</v>
      </c>
      <c r="AL11" s="22" cm="1">
        <f t="array" ref="AL11">MAX(_xlfn._xlws.FILTER(Gdansk_result[HB_total_score],Gdansk_result[Category]="junior"))</f>
        <v>12</v>
      </c>
      <c r="AN11" t="s">
        <v>63</v>
      </c>
      <c r="AO11" t="s">
        <v>60</v>
      </c>
      <c r="AP11">
        <v>1997</v>
      </c>
      <c r="AQ11" t="s">
        <v>39</v>
      </c>
      <c r="AR11" t="s">
        <v>306</v>
      </c>
      <c r="AS11" t="s">
        <v>352</v>
      </c>
      <c r="AT11" t="s">
        <v>240</v>
      </c>
      <c r="AU11" t="s">
        <v>310</v>
      </c>
      <c r="AV11">
        <v>4.8</v>
      </c>
    </row>
    <row r="12" spans="1:48" x14ac:dyDescent="0.25">
      <c r="A12" s="2">
        <v>11</v>
      </c>
      <c r="B12" t="s">
        <v>77</v>
      </c>
      <c r="C12" s="2" t="s">
        <v>60</v>
      </c>
      <c r="D12" s="2">
        <v>2002</v>
      </c>
      <c r="E12" s="2" t="s">
        <v>78</v>
      </c>
      <c r="F12" t="s">
        <v>79</v>
      </c>
      <c r="G1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2" s="5">
        <v>3.8</v>
      </c>
      <c r="I12" s="8">
        <v>7.4</v>
      </c>
      <c r="J12" s="8">
        <v>11.2</v>
      </c>
      <c r="K12" s="5">
        <v>3.1</v>
      </c>
      <c r="L12" s="8">
        <v>7.6</v>
      </c>
      <c r="M12" s="8">
        <v>10.7</v>
      </c>
      <c r="N12" s="5">
        <v>3.4</v>
      </c>
      <c r="O12" s="8">
        <v>6</v>
      </c>
      <c r="P12" s="8">
        <v>9.4</v>
      </c>
      <c r="Q12" s="5">
        <v>3.2</v>
      </c>
      <c r="R12" s="8">
        <v>8.3000000000000007</v>
      </c>
      <c r="S12" s="8">
        <v>11.5</v>
      </c>
      <c r="T12" s="5">
        <v>3.1</v>
      </c>
      <c r="U12" s="8">
        <v>6.9</v>
      </c>
      <c r="V12" s="8">
        <v>10</v>
      </c>
      <c r="W12" s="5">
        <v>2.6</v>
      </c>
      <c r="X12" s="8">
        <v>7.3</v>
      </c>
      <c r="Y12" s="8">
        <v>9.9</v>
      </c>
      <c r="Z12" s="4">
        <f>IF(Gdansk_result[[#This Row],[All Around]]="Yes",SUM(H12,K12,N12,Q12,T12,W12),0)</f>
        <v>19.200000000000003</v>
      </c>
      <c r="AA12" s="7">
        <f>IF(Gdansk_result[[#This Row],[All Around]]="Yes",SUM(I12,L12,O12,R12,U12,X12),0)</f>
        <v>43.5</v>
      </c>
      <c r="AB12" s="7">
        <v>62.7</v>
      </c>
      <c r="AD12" s="42"/>
      <c r="AE12" s="20" t="s">
        <v>241</v>
      </c>
      <c r="AF12" s="21">
        <f>AVERAGEIFS(Gdansk_result[PB_Dscore],Gdansk_result[[Category]:[Category]],"junior",Gdansk_result[PB_Dscore],"&lt;&gt;0")</f>
        <v>2.9538461538461531</v>
      </c>
      <c r="AG12" s="21" cm="1">
        <f t="array" ref="AG12">_xlfn.STDEV.S(_xlfn._xlws.FILTER(Gdansk_result[PB_Dscore],(Gdansk_result[Category]="junior")*(Gdansk_result[PB_Dscore]&gt;0)))</f>
        <v>0.57244415246582303</v>
      </c>
      <c r="AH12" s="22">
        <f>AVERAGEIFS(Gdansk_result[PB_Escore],Gdansk_result[[Category]:[Category]],"junior",Gdansk_result[PB_Escore],"&lt;&gt;0")</f>
        <v>8.2692307692307683</v>
      </c>
      <c r="AI12" s="22" cm="1">
        <f t="array" ref="AI12">_xlfn.STDEV.S(_xlfn._xlws.FILTER(Gdansk_result[PB_Escore],(Gdansk_result[Category]="junior")*(Gdansk_result[PB_Escore]&gt;0)))</f>
        <v>0.66003107929932037</v>
      </c>
      <c r="AJ12" s="22">
        <f>AVERAGEIFS(Gdansk_result[PB_total_score],Gdansk_result[[Category]:[Category]],"junior",Gdansk_result[PB_total_score],"&lt;&gt;0")</f>
        <v>11.223076923076924</v>
      </c>
      <c r="AK12" s="22" cm="1">
        <f t="array" ref="AK12">_xlfn.STDEV.S(_xlfn._xlws.FILTER(Gdansk_result[PB_total_score],(Gdansk_result[Category]="junior")*(Gdansk_result[PB_total_score]&gt;0)))</f>
        <v>0.52939249168873792</v>
      </c>
      <c r="AL12" s="22" cm="1">
        <f t="array" ref="AL12">MAX(_xlfn._xlws.FILTER(Gdansk_result[PB_total_score],Gdansk_result[Category]="junior"))</f>
        <v>12</v>
      </c>
      <c r="AN12" t="s">
        <v>63</v>
      </c>
      <c r="AO12" t="s">
        <v>60</v>
      </c>
      <c r="AP12">
        <v>1997</v>
      </c>
      <c r="AQ12" t="s">
        <v>39</v>
      </c>
      <c r="AR12" t="s">
        <v>306</v>
      </c>
      <c r="AS12" t="s">
        <v>352</v>
      </c>
      <c r="AT12" t="s">
        <v>240</v>
      </c>
      <c r="AU12" t="s">
        <v>311</v>
      </c>
      <c r="AV12">
        <v>8.3000000000000007</v>
      </c>
    </row>
    <row r="13" spans="1:48" x14ac:dyDescent="0.25">
      <c r="A13" s="2">
        <v>12</v>
      </c>
      <c r="B13" t="s">
        <v>80</v>
      </c>
      <c r="C13" s="2" t="s">
        <v>60</v>
      </c>
      <c r="D13" s="2">
        <v>2004</v>
      </c>
      <c r="E13" s="2" t="s">
        <v>81</v>
      </c>
      <c r="F13" t="s">
        <v>62</v>
      </c>
      <c r="G1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3" s="5">
        <v>3.6</v>
      </c>
      <c r="I13" s="8">
        <v>7.45</v>
      </c>
      <c r="J13" s="8">
        <v>11.05</v>
      </c>
      <c r="K13" s="5">
        <v>4.0999999999999996</v>
      </c>
      <c r="L13" s="8">
        <v>6.7</v>
      </c>
      <c r="M13" s="8">
        <v>10.8</v>
      </c>
      <c r="N13" s="5">
        <v>3.5</v>
      </c>
      <c r="O13" s="8">
        <v>8.3000000000000007</v>
      </c>
      <c r="P13" s="8">
        <v>11.8</v>
      </c>
      <c r="Q13" s="5">
        <v>2.4</v>
      </c>
      <c r="R13" s="8">
        <v>8.3000000000000007</v>
      </c>
      <c r="S13" s="8">
        <v>10.7</v>
      </c>
      <c r="T13" s="5">
        <v>2.7</v>
      </c>
      <c r="U13" s="8">
        <v>6</v>
      </c>
      <c r="V13" s="8">
        <v>8.6999999999999993</v>
      </c>
      <c r="W13" s="5">
        <v>2.2000000000000002</v>
      </c>
      <c r="X13" s="8">
        <v>1</v>
      </c>
      <c r="Y13" s="8">
        <v>3.2</v>
      </c>
      <c r="Z13" s="4">
        <f>IF(Gdansk_result[[#This Row],[All Around]]="Yes",SUM(H13,K13,N13,Q13,T13,W13),0)</f>
        <v>18.5</v>
      </c>
      <c r="AA13" s="7">
        <f>IF(Gdansk_result[[#This Row],[All Around]]="Yes",SUM(I13,L13,O13,R13,U13,X13),0)</f>
        <v>37.75</v>
      </c>
      <c r="AB13" s="7">
        <v>56.25</v>
      </c>
      <c r="AD13" s="42"/>
      <c r="AE13" s="20" t="s">
        <v>238</v>
      </c>
      <c r="AF13" s="21">
        <f>AVERAGEIFS(Gdansk_result[PH_Dscore],Gdansk_result[[Category]:[Category]],"junior",Gdansk_result[PH_Dscore],"&lt;&gt;0")</f>
        <v>3.0076923076923077</v>
      </c>
      <c r="AG13" s="21" cm="1">
        <f t="array" ref="AG13">_xlfn.STDEV.S(_xlfn._xlws.FILTER(Gdansk_result[PH_Dscore],(Gdansk_result[Category]="junior")*(Gdansk_result[PH_Dscore]&gt;0)))</f>
        <v>0.5950651763484095</v>
      </c>
      <c r="AH13" s="22">
        <f>AVERAGEIFS(Gdansk_result[PH_Escore],Gdansk_result[[Category]:[Category]],"junior",Gdansk_result[PH_Escore],"&lt;&gt;0")</f>
        <v>7.0923076923076929</v>
      </c>
      <c r="AI13" s="22" cm="1">
        <f t="array" ref="AI13">_xlfn.STDEV.S(_xlfn._xlws.FILTER(Gdansk_result[PH_Escore],(Gdansk_result[Category]="junior")*(Gdansk_result[PH_Escore]&gt;0)))</f>
        <v>1.5190246533338123</v>
      </c>
      <c r="AJ13" s="22">
        <f>AVERAGEIFS(Gdansk_result[PH_Total_Score],Gdansk_result[[Category]:[Category]],"junior",Gdansk_result[PH_Total_Score],"&lt;&gt;0")</f>
        <v>10.099999999999998</v>
      </c>
      <c r="AK13" s="22" cm="1">
        <f t="array" ref="AK13">_xlfn.STDEV.S(_xlfn._xlws.FILTER(Gdansk_result[PH_Total_Score],(Gdansk_result[Category]="junior")*(Gdansk_result[PH_Total_Score]&gt;0)))</f>
        <v>1.9874606914351858</v>
      </c>
      <c r="AL13" s="22" cm="1">
        <f t="array" ref="AL13">MAX(_xlfn._xlws.FILTER(Gdansk_result[PH_Total_Score],Gdansk_result[Category]="junior"))</f>
        <v>12.5</v>
      </c>
      <c r="AN13" t="s">
        <v>63</v>
      </c>
      <c r="AO13" t="s">
        <v>60</v>
      </c>
      <c r="AP13">
        <v>1997</v>
      </c>
      <c r="AQ13" t="s">
        <v>39</v>
      </c>
      <c r="AR13" t="s">
        <v>306</v>
      </c>
      <c r="AS13" t="s">
        <v>352</v>
      </c>
      <c r="AT13" t="s">
        <v>240</v>
      </c>
      <c r="AU13" t="s">
        <v>268</v>
      </c>
      <c r="AV13">
        <v>13.1</v>
      </c>
    </row>
    <row r="14" spans="1:48" x14ac:dyDescent="0.25">
      <c r="A14" s="2">
        <v>13</v>
      </c>
      <c r="B14" t="s">
        <v>88</v>
      </c>
      <c r="C14" s="2" t="s">
        <v>60</v>
      </c>
      <c r="D14" s="2">
        <v>2003</v>
      </c>
      <c r="E14" s="2" t="s">
        <v>89</v>
      </c>
      <c r="F14" t="s">
        <v>36</v>
      </c>
      <c r="G1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14" s="5">
        <v>3.2</v>
      </c>
      <c r="I14" s="8">
        <v>7</v>
      </c>
      <c r="J14" s="8">
        <v>10.199999999999999</v>
      </c>
      <c r="K14" s="5">
        <v>2.4</v>
      </c>
      <c r="L14" s="8">
        <v>5.8</v>
      </c>
      <c r="M14" s="8">
        <v>8.1999999999999993</v>
      </c>
      <c r="N14" s="5">
        <v>2.2000000000000002</v>
      </c>
      <c r="O14" s="8">
        <v>7.7</v>
      </c>
      <c r="P14" s="8">
        <v>9.9</v>
      </c>
      <c r="Q14" s="5">
        <v>2.4</v>
      </c>
      <c r="R14" s="8">
        <v>8</v>
      </c>
      <c r="S14" s="8">
        <v>10.4</v>
      </c>
      <c r="T14" s="5">
        <v>2.7</v>
      </c>
      <c r="U14" s="8">
        <v>7.9</v>
      </c>
      <c r="V14" s="8">
        <v>10.6</v>
      </c>
      <c r="W14" s="5">
        <v>1.9</v>
      </c>
      <c r="X14" s="8">
        <v>4.2</v>
      </c>
      <c r="Y14" s="8">
        <v>6.1</v>
      </c>
      <c r="Z14" s="4">
        <f>IF(Gdansk_result[[#This Row],[All Around]]="Yes",SUM(H14,K14,N14,Q14,T14,W14),0)</f>
        <v>14.799999999999999</v>
      </c>
      <c r="AA14" s="7">
        <f>IF(Gdansk_result[[#This Row],[All Around]]="Yes",SUM(I14,L14,O14,R14,U14,X14),0)</f>
        <v>40.6</v>
      </c>
      <c r="AB14" s="7">
        <v>55.4</v>
      </c>
      <c r="AD14" s="42"/>
      <c r="AE14" s="20" t="s">
        <v>239</v>
      </c>
      <c r="AF14" s="21">
        <f>AVERAGEIFS(Gdansk_result[SR_Dscore],Gdansk_result[[Category]:[Category]],"junior",Gdansk_result[SR_Dscore],"&lt;&gt;0")</f>
        <v>2.5363636363636357</v>
      </c>
      <c r="AG14" s="21" cm="1">
        <f t="array" ref="AG14">_xlfn.STDEV.S(_xlfn._xlws.FILTER(Gdansk_result[SR_Dscore],(Gdansk_result[Category]="junior")*(Gdansk_result[SR_Dscore]&gt;0)))</f>
        <v>0.59375538275072326</v>
      </c>
      <c r="AH14" s="22">
        <f>AVERAGEIFS(Gdansk_result[SR_Escore],Gdansk_result[[Category]:[Category]],"junior",Gdansk_result[SR_Escore],"&lt;&gt;0")</f>
        <v>7.754545454545454</v>
      </c>
      <c r="AI14" s="22" cm="1">
        <f t="array" ref="AI14">_xlfn.STDEV.S(_xlfn._xlws.FILTER(Gdansk_result[SR_Escore],(Gdansk_result[Category]="junior")*(Gdansk_result[SR_Escore]&gt;0)))</f>
        <v>0.6593385114850131</v>
      </c>
      <c r="AJ14" s="22">
        <f>AVERAGEIFS(Gdansk_result[SR_Total_Score],Gdansk_result[[Category]:[Category]],"junior",Gdansk_result[SR_Total_Score],"&lt;&gt;0")</f>
        <v>10.290909090909093</v>
      </c>
      <c r="AK14" s="22" cm="1">
        <f t="array" ref="AK14">_xlfn.STDEV.S(_xlfn._xlws.FILTER(Gdansk_result[SR_Total_Score],(Gdansk_result[Category]="junior")*(Gdansk_result[SR_Total_Score]&gt;0)))</f>
        <v>0.69635414187688316</v>
      </c>
      <c r="AL14" s="22" cm="1">
        <f t="array" ref="AL14">MAX(_xlfn._xlws.FILTER(Gdansk_result[SR_Total_Score],Gdansk_result[Category]="junior"))</f>
        <v>11.2</v>
      </c>
      <c r="AN14" t="s">
        <v>63</v>
      </c>
      <c r="AO14" t="s">
        <v>60</v>
      </c>
      <c r="AP14">
        <v>1997</v>
      </c>
      <c r="AQ14" t="s">
        <v>39</v>
      </c>
      <c r="AR14" t="s">
        <v>306</v>
      </c>
      <c r="AS14" t="s">
        <v>352</v>
      </c>
      <c r="AT14" t="s">
        <v>316</v>
      </c>
      <c r="AU14" t="s">
        <v>310</v>
      </c>
      <c r="AV14">
        <v>4.2</v>
      </c>
    </row>
    <row r="15" spans="1:48" x14ac:dyDescent="0.25">
      <c r="A15" s="2">
        <v>14</v>
      </c>
      <c r="B15" t="s">
        <v>86</v>
      </c>
      <c r="C15" s="2" t="s">
        <v>60</v>
      </c>
      <c r="D15" s="2">
        <v>2003</v>
      </c>
      <c r="E15" s="2" t="s">
        <v>87</v>
      </c>
      <c r="F15" t="s">
        <v>72</v>
      </c>
      <c r="G15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5" s="5">
        <v>3.9</v>
      </c>
      <c r="I15" s="8">
        <v>7.2</v>
      </c>
      <c r="J15" s="8">
        <v>11.1</v>
      </c>
      <c r="K15" s="5">
        <v>3.8</v>
      </c>
      <c r="L15" s="8">
        <v>7.6</v>
      </c>
      <c r="M15" s="8">
        <v>11.4</v>
      </c>
      <c r="N15" s="5">
        <v>2.7</v>
      </c>
      <c r="O15" s="8">
        <v>6</v>
      </c>
      <c r="P15" s="8">
        <v>8.6999999999999993</v>
      </c>
      <c r="Q15" s="5">
        <v>2.8</v>
      </c>
      <c r="R15" s="8">
        <v>8.3000000000000007</v>
      </c>
      <c r="S15" s="8">
        <v>11.1</v>
      </c>
      <c r="T15" s="5">
        <v>2.4</v>
      </c>
      <c r="U15" s="8">
        <v>4</v>
      </c>
      <c r="V15" s="8">
        <v>6.4</v>
      </c>
      <c r="W15" s="5">
        <v>0</v>
      </c>
      <c r="X15" s="8">
        <v>0</v>
      </c>
      <c r="Y15" s="8">
        <v>0</v>
      </c>
      <c r="Z15" s="4">
        <f>IF(Gdansk_result[[#This Row],[All Around]]="Yes",SUM(H15,K15,N15,Q15,T15,W15),0)</f>
        <v>0</v>
      </c>
      <c r="AA15" s="7">
        <f>IF(Gdansk_result[[#This Row],[All Around]]="Yes",SUM(I15,L15,O15,R15,U15,X15),0)</f>
        <v>0</v>
      </c>
      <c r="AB15" s="7">
        <v>48.7</v>
      </c>
      <c r="AD15" s="43"/>
      <c r="AE15" s="20" t="s">
        <v>240</v>
      </c>
      <c r="AF15" s="21">
        <f>AVERAGEIFS(Gdansk_result[VT_Dscore],Gdansk_result[[Category]:[Category]],"junior",Gdansk_result[VT_Dscore],"&lt;&gt;0")</f>
        <v>2.5384615384615392</v>
      </c>
      <c r="AG15" s="21" cm="1">
        <f t="array" ref="AG15">_xlfn.STDEV.S(_xlfn._xlws.FILTER(Gdansk_result[VT_Dscore],(Gdansk_result[Category]="junior")*(Gdansk_result[VT_Dscore]&gt;0)))</f>
        <v>0.78053236270558801</v>
      </c>
      <c r="AH15" s="22">
        <f>AVERAGEIFS(Gdansk_result[VT_Escore],Gdansk_result[[Category]:[Category]],"junior",Gdansk_result[VT_Escore],"&lt;&gt;0")</f>
        <v>8.4384615384615387</v>
      </c>
      <c r="AI15" s="22" cm="1">
        <f t="array" ref="AI15">_xlfn.STDEV.S(_xlfn._xlws.FILTER(Gdansk_result[VT_Escore],(Gdansk_result[Category]="junior")*(Gdansk_result[VT_Escore]&gt;0)))</f>
        <v>0.4407162003271145</v>
      </c>
      <c r="AJ15" s="22">
        <f>AVERAGEIFS(Gdansk_result[VT_total_score],Gdansk_result[[Category]:[Category]],"junior",Gdansk_result[VT_total_score],"&lt;&gt;0")</f>
        <v>10.976923076923079</v>
      </c>
      <c r="AK15" s="22" cm="1">
        <f t="array" ref="AK15">_xlfn.STDEV.S(_xlfn._xlws.FILTER(Gdansk_result[VT_total_score],(Gdansk_result[Category]="junior")*(Gdansk_result[VT_total_score]&gt;0)))</f>
        <v>0.9496963077337286</v>
      </c>
      <c r="AL15" s="22" cm="1">
        <f t="array" ref="AL15">MAX(_xlfn._xlws.FILTER(Gdansk_result[VT_total_score],Gdansk_result[Category]="junior"))</f>
        <v>12.9</v>
      </c>
      <c r="AN15" t="s">
        <v>63</v>
      </c>
      <c r="AO15" t="s">
        <v>60</v>
      </c>
      <c r="AP15">
        <v>1997</v>
      </c>
      <c r="AQ15" t="s">
        <v>39</v>
      </c>
      <c r="AR15" t="s">
        <v>306</v>
      </c>
      <c r="AS15" t="s">
        <v>352</v>
      </c>
      <c r="AT15" t="s">
        <v>316</v>
      </c>
      <c r="AU15" t="s">
        <v>311</v>
      </c>
      <c r="AV15">
        <v>9.1999999999999993</v>
      </c>
    </row>
    <row r="16" spans="1:48" x14ac:dyDescent="0.25">
      <c r="A16" s="2">
        <v>15</v>
      </c>
      <c r="B16" t="s">
        <v>90</v>
      </c>
      <c r="C16" s="2" t="s">
        <v>60</v>
      </c>
      <c r="D16" s="2">
        <v>2004</v>
      </c>
      <c r="E16" s="2" t="s">
        <v>91</v>
      </c>
      <c r="F16" t="s">
        <v>36</v>
      </c>
      <c r="G16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6" s="5">
        <v>3.6</v>
      </c>
      <c r="I16" s="8">
        <v>5.7</v>
      </c>
      <c r="J16" s="8">
        <v>9.3000000000000007</v>
      </c>
      <c r="K16" s="5">
        <v>3.4</v>
      </c>
      <c r="L16" s="8">
        <v>8.4</v>
      </c>
      <c r="M16" s="8">
        <v>11.8</v>
      </c>
      <c r="N16" s="5">
        <v>0</v>
      </c>
      <c r="O16" s="8">
        <v>0</v>
      </c>
      <c r="P16" s="8">
        <v>0</v>
      </c>
      <c r="Q16" s="5">
        <v>4</v>
      </c>
      <c r="R16" s="8">
        <v>8.9</v>
      </c>
      <c r="S16" s="8">
        <v>12.9</v>
      </c>
      <c r="T16" s="5">
        <v>0</v>
      </c>
      <c r="U16" s="8">
        <v>0</v>
      </c>
      <c r="V16" s="8">
        <v>0</v>
      </c>
      <c r="W16" s="5">
        <v>0</v>
      </c>
      <c r="X16" s="8">
        <v>0</v>
      </c>
      <c r="Y16" s="8">
        <v>0</v>
      </c>
      <c r="Z16" s="4">
        <f>IF(Gdansk_result[[#This Row],[All Around]]="Yes",SUM(H16,K16,N16,Q16,T16,W16),0)</f>
        <v>0</v>
      </c>
      <c r="AA16" s="7">
        <f>IF(Gdansk_result[[#This Row],[All Around]]="Yes",SUM(I16,L16,O16,R16,U16,X16),0)</f>
        <v>0</v>
      </c>
      <c r="AB16" s="7">
        <v>34</v>
      </c>
      <c r="AF16" s="38" t="s">
        <v>217</v>
      </c>
      <c r="AG16" t="s">
        <v>350</v>
      </c>
      <c r="AN16" t="s">
        <v>63</v>
      </c>
      <c r="AO16" t="s">
        <v>60</v>
      </c>
      <c r="AP16">
        <v>1997</v>
      </c>
      <c r="AQ16" t="s">
        <v>39</v>
      </c>
      <c r="AR16" t="s">
        <v>306</v>
      </c>
      <c r="AS16" t="s">
        <v>352</v>
      </c>
      <c r="AT16" t="s">
        <v>316</v>
      </c>
      <c r="AU16" t="s">
        <v>268</v>
      </c>
      <c r="AV16">
        <v>13.4</v>
      </c>
    </row>
    <row r="17" spans="1:48" x14ac:dyDescent="0.25">
      <c r="A17" s="2">
        <v>16</v>
      </c>
      <c r="B17" t="s">
        <v>98</v>
      </c>
      <c r="C17" s="2" t="s">
        <v>60</v>
      </c>
      <c r="D17" s="2">
        <v>2003</v>
      </c>
      <c r="E17" s="2" t="s">
        <v>99</v>
      </c>
      <c r="F17" t="s">
        <v>72</v>
      </c>
      <c r="G17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7" s="5">
        <v>3.5</v>
      </c>
      <c r="I17" s="8">
        <v>7.1</v>
      </c>
      <c r="J17" s="8">
        <v>10.6</v>
      </c>
      <c r="K17" s="5">
        <v>2.6</v>
      </c>
      <c r="L17" s="8">
        <v>4.4000000000000004</v>
      </c>
      <c r="M17" s="8">
        <v>7</v>
      </c>
      <c r="N17" s="5">
        <v>0</v>
      </c>
      <c r="O17" s="8">
        <v>0</v>
      </c>
      <c r="P17" s="8">
        <v>0</v>
      </c>
      <c r="Q17" s="5">
        <v>0</v>
      </c>
      <c r="R17" s="8">
        <v>0</v>
      </c>
      <c r="S17" s="8">
        <v>0</v>
      </c>
      <c r="T17" s="5">
        <v>2.5</v>
      </c>
      <c r="U17" s="8">
        <v>8.4</v>
      </c>
      <c r="V17" s="8">
        <v>10.9</v>
      </c>
      <c r="W17" s="5">
        <v>0</v>
      </c>
      <c r="X17" s="8">
        <v>0</v>
      </c>
      <c r="Y17" s="8">
        <v>0</v>
      </c>
      <c r="Z17" s="4">
        <f>IF(Gdansk_result[[#This Row],[All Around]]="Yes",SUM(H17,K17,N17,Q17,T17,W17),0)</f>
        <v>0</v>
      </c>
      <c r="AA17" s="7">
        <f>IF(Gdansk_result[[#This Row],[All Around]]="Yes",SUM(I17,L17,O17,R17,U17,X17),0)</f>
        <v>0</v>
      </c>
      <c r="AB17" s="7">
        <v>28.5</v>
      </c>
      <c r="AD17" s="28" t="s">
        <v>296</v>
      </c>
      <c r="AN17" t="s">
        <v>63</v>
      </c>
      <c r="AO17" t="s">
        <v>60</v>
      </c>
      <c r="AP17">
        <v>1997</v>
      </c>
      <c r="AQ17" t="s">
        <v>39</v>
      </c>
      <c r="AR17" t="s">
        <v>306</v>
      </c>
      <c r="AS17" t="s">
        <v>352</v>
      </c>
      <c r="AT17" t="s">
        <v>242</v>
      </c>
      <c r="AU17" t="s">
        <v>310</v>
      </c>
      <c r="AV17">
        <v>4.2</v>
      </c>
    </row>
    <row r="18" spans="1:48" x14ac:dyDescent="0.25">
      <c r="A18" s="2">
        <v>17</v>
      </c>
      <c r="B18" t="s">
        <v>75</v>
      </c>
      <c r="C18" s="2" t="s">
        <v>60</v>
      </c>
      <c r="D18" s="2">
        <v>2003</v>
      </c>
      <c r="E18" s="2" t="s">
        <v>76</v>
      </c>
      <c r="F18" t="s">
        <v>28</v>
      </c>
      <c r="G18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8" s="5">
        <v>0</v>
      </c>
      <c r="I18" s="8">
        <v>0</v>
      </c>
      <c r="J18" s="8">
        <v>0</v>
      </c>
      <c r="K18" s="5">
        <v>4.2</v>
      </c>
      <c r="L18" s="8">
        <v>8.3000000000000007</v>
      </c>
      <c r="M18" s="8">
        <v>12.5</v>
      </c>
      <c r="N18" s="5">
        <v>0</v>
      </c>
      <c r="O18" s="8">
        <v>0</v>
      </c>
      <c r="P18" s="8">
        <v>0</v>
      </c>
      <c r="Q18" s="5">
        <v>0</v>
      </c>
      <c r="R18" s="8">
        <v>0</v>
      </c>
      <c r="S18" s="8">
        <v>0</v>
      </c>
      <c r="T18" s="5">
        <v>3.1</v>
      </c>
      <c r="U18" s="8">
        <v>9</v>
      </c>
      <c r="V18" s="8">
        <v>12.1</v>
      </c>
      <c r="W18" s="5">
        <v>0</v>
      </c>
      <c r="X18" s="8">
        <v>0</v>
      </c>
      <c r="Y18" s="8">
        <v>0</v>
      </c>
      <c r="Z18" s="4">
        <f>IF(Gdansk_result[[#This Row],[All Around]]="Yes",SUM(H18,K18,N18,Q18,T18,W18),0)</f>
        <v>0</v>
      </c>
      <c r="AA18" s="7">
        <f>IF(Gdansk_result[[#This Row],[All Around]]="Yes",SUM(I18,L18,O18,R18,U18,X18),0)</f>
        <v>0</v>
      </c>
      <c r="AB18" s="7">
        <v>24.6</v>
      </c>
      <c r="AD18" s="29" t="s">
        <v>297</v>
      </c>
      <c r="AF18" s="38" t="s">
        <v>313</v>
      </c>
      <c r="AG18" s="38" t="s">
        <v>308</v>
      </c>
      <c r="AN18" t="s">
        <v>63</v>
      </c>
      <c r="AO18" t="s">
        <v>60</v>
      </c>
      <c r="AP18">
        <v>1997</v>
      </c>
      <c r="AQ18" t="s">
        <v>39</v>
      </c>
      <c r="AR18" t="s">
        <v>306</v>
      </c>
      <c r="AS18" t="s">
        <v>352</v>
      </c>
      <c r="AT18" t="s">
        <v>242</v>
      </c>
      <c r="AU18" t="s">
        <v>311</v>
      </c>
      <c r="AV18">
        <v>8</v>
      </c>
    </row>
    <row r="19" spans="1:48" x14ac:dyDescent="0.25">
      <c r="A19" s="2">
        <v>18</v>
      </c>
      <c r="B19" t="s">
        <v>96</v>
      </c>
      <c r="C19" s="2" t="s">
        <v>60</v>
      </c>
      <c r="D19" s="2">
        <v>2002</v>
      </c>
      <c r="E19" s="2" t="s">
        <v>97</v>
      </c>
      <c r="F19" t="s">
        <v>62</v>
      </c>
      <c r="G19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19" s="5">
        <v>0</v>
      </c>
      <c r="I19" s="8">
        <v>0</v>
      </c>
      <c r="J19" s="8">
        <v>0</v>
      </c>
      <c r="K19" s="5">
        <v>4.5</v>
      </c>
      <c r="L19" s="8">
        <v>6.3</v>
      </c>
      <c r="M19" s="8">
        <v>10.8</v>
      </c>
      <c r="N19" s="5">
        <v>0</v>
      </c>
      <c r="O19" s="8">
        <v>0</v>
      </c>
      <c r="P19" s="8">
        <v>0</v>
      </c>
      <c r="Q19" s="5">
        <v>0</v>
      </c>
      <c r="R19" s="8">
        <v>0</v>
      </c>
      <c r="S19" s="8">
        <v>0</v>
      </c>
      <c r="T19" s="5">
        <v>3.5</v>
      </c>
      <c r="U19" s="8">
        <v>3</v>
      </c>
      <c r="V19" s="8">
        <v>6.5</v>
      </c>
      <c r="W19" s="5">
        <v>0</v>
      </c>
      <c r="X19" s="8">
        <v>0</v>
      </c>
      <c r="Y19" s="8">
        <v>0</v>
      </c>
      <c r="Z19" s="4">
        <f>IF(Gdansk_result[[#This Row],[All Around]]="Yes",SUM(H19,K19,N19,Q19,T19,W19),0)</f>
        <v>0</v>
      </c>
      <c r="AA19" s="7">
        <f>IF(Gdansk_result[[#This Row],[All Around]]="Yes",SUM(I19,L19,O19,R19,U19,X19),0)</f>
        <v>0</v>
      </c>
      <c r="AB19" s="7">
        <v>17.3</v>
      </c>
      <c r="AD19" s="30" t="s">
        <v>298</v>
      </c>
      <c r="AF19" s="38" t="s">
        <v>305</v>
      </c>
      <c r="AG19" t="s">
        <v>26</v>
      </c>
      <c r="AH19" t="s">
        <v>60</v>
      </c>
      <c r="AI19" t="s">
        <v>312</v>
      </c>
      <c r="AN19" t="s">
        <v>63</v>
      </c>
      <c r="AO19" t="s">
        <v>60</v>
      </c>
      <c r="AP19">
        <v>1997</v>
      </c>
      <c r="AQ19" t="s">
        <v>39</v>
      </c>
      <c r="AR19" t="s">
        <v>306</v>
      </c>
      <c r="AS19" t="s">
        <v>352</v>
      </c>
      <c r="AT19" t="s">
        <v>242</v>
      </c>
      <c r="AU19" t="s">
        <v>268</v>
      </c>
      <c r="AV19">
        <v>12.2</v>
      </c>
    </row>
    <row r="20" spans="1:48" x14ac:dyDescent="0.25">
      <c r="A20" s="2">
        <v>19</v>
      </c>
      <c r="B20" t="s">
        <v>94</v>
      </c>
      <c r="C20" s="2" t="s">
        <v>60</v>
      </c>
      <c r="D20" s="2">
        <v>2002</v>
      </c>
      <c r="E20" s="2" t="s">
        <v>95</v>
      </c>
      <c r="F20" t="s">
        <v>72</v>
      </c>
      <c r="G20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20" s="5">
        <v>0</v>
      </c>
      <c r="I20" s="8">
        <v>0</v>
      </c>
      <c r="J20" s="8">
        <v>0</v>
      </c>
      <c r="K20" s="5">
        <v>0</v>
      </c>
      <c r="L20" s="8">
        <v>0</v>
      </c>
      <c r="M20" s="8">
        <v>0</v>
      </c>
      <c r="N20" s="5">
        <v>4.3</v>
      </c>
      <c r="O20" s="8">
        <v>7.2</v>
      </c>
      <c r="P20" s="8">
        <v>11.5</v>
      </c>
      <c r="Q20" s="5">
        <v>0</v>
      </c>
      <c r="R20" s="8">
        <v>0</v>
      </c>
      <c r="S20" s="8">
        <v>0</v>
      </c>
      <c r="T20" s="5">
        <v>0</v>
      </c>
      <c r="U20" s="8">
        <v>0</v>
      </c>
      <c r="V20" s="8">
        <v>0</v>
      </c>
      <c r="W20" s="5">
        <v>0</v>
      </c>
      <c r="X20" s="8">
        <v>0</v>
      </c>
      <c r="Y20" s="8">
        <v>0</v>
      </c>
      <c r="Z20" s="4">
        <f>IF(Gdansk_result[[#This Row],[All Around]]="Yes",SUM(H20,K20,N20,Q20,T20,W20),0)</f>
        <v>0</v>
      </c>
      <c r="AA20" s="7">
        <f>IF(Gdansk_result[[#This Row],[All Around]]="Yes",SUM(I20,L20,O20,R20,U20,X20),0)</f>
        <v>0</v>
      </c>
      <c r="AB20" s="7">
        <v>11.5</v>
      </c>
      <c r="AD20" s="31" t="s">
        <v>300</v>
      </c>
      <c r="AF20" s="39" t="s">
        <v>310</v>
      </c>
      <c r="AG20">
        <v>75</v>
      </c>
      <c r="AH20">
        <v>95</v>
      </c>
      <c r="AI20">
        <v>170</v>
      </c>
      <c r="AN20" t="s">
        <v>63</v>
      </c>
      <c r="AO20" t="s">
        <v>60</v>
      </c>
      <c r="AP20">
        <v>1997</v>
      </c>
      <c r="AQ20" t="s">
        <v>39</v>
      </c>
      <c r="AR20" t="s">
        <v>306</v>
      </c>
      <c r="AS20" t="s">
        <v>352</v>
      </c>
      <c r="AT20" t="s">
        <v>243</v>
      </c>
      <c r="AU20" t="s">
        <v>337</v>
      </c>
      <c r="AV20">
        <v>27.4</v>
      </c>
    </row>
    <row r="21" spans="1:48" x14ac:dyDescent="0.25">
      <c r="A21" s="2">
        <v>20</v>
      </c>
      <c r="B21" t="s">
        <v>104</v>
      </c>
      <c r="C21" s="2" t="s">
        <v>60</v>
      </c>
      <c r="D21" s="2">
        <v>2004</v>
      </c>
      <c r="E21" s="2" t="s">
        <v>105</v>
      </c>
      <c r="F21" t="s">
        <v>28</v>
      </c>
      <c r="G21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21" s="5">
        <v>4.4000000000000004</v>
      </c>
      <c r="I21" s="8">
        <v>4.5</v>
      </c>
      <c r="J21" s="8">
        <v>8.9</v>
      </c>
      <c r="K21" s="5">
        <v>0</v>
      </c>
      <c r="L21" s="8">
        <v>0</v>
      </c>
      <c r="M21" s="8">
        <v>0</v>
      </c>
      <c r="N21" s="5">
        <v>0</v>
      </c>
      <c r="O21" s="8">
        <v>0</v>
      </c>
      <c r="P21" s="8">
        <v>0</v>
      </c>
      <c r="Q21" s="5">
        <v>0</v>
      </c>
      <c r="R21" s="8">
        <v>0</v>
      </c>
      <c r="S21" s="8">
        <v>0</v>
      </c>
      <c r="T21" s="5">
        <v>0</v>
      </c>
      <c r="U21" s="8">
        <v>0</v>
      </c>
      <c r="V21" s="8">
        <v>0</v>
      </c>
      <c r="W21" s="5">
        <v>0</v>
      </c>
      <c r="X21" s="8">
        <v>0</v>
      </c>
      <c r="Y21" s="8">
        <v>0</v>
      </c>
      <c r="Z21" s="4">
        <f>IF(Gdansk_result[[#This Row],[All Around]]="Yes",SUM(H21,K21,N21,Q21,T21,W21),0)</f>
        <v>0</v>
      </c>
      <c r="AA21" s="7">
        <f>IF(Gdansk_result[[#This Row],[All Around]]="Yes",SUM(I21,L21,O21,R21,U21,X21),0)</f>
        <v>0</v>
      </c>
      <c r="AB21" s="7">
        <v>8.9</v>
      </c>
      <c r="AD21" s="32" t="s">
        <v>299</v>
      </c>
      <c r="AF21" s="40" t="s">
        <v>317</v>
      </c>
      <c r="AG21">
        <v>28</v>
      </c>
      <c r="AH21">
        <v>9</v>
      </c>
      <c r="AI21">
        <v>37</v>
      </c>
      <c r="AN21" t="s">
        <v>63</v>
      </c>
      <c r="AO21" t="s">
        <v>60</v>
      </c>
      <c r="AP21">
        <v>1997</v>
      </c>
      <c r="AQ21" t="s">
        <v>39</v>
      </c>
      <c r="AR21" t="s">
        <v>306</v>
      </c>
      <c r="AS21" t="s">
        <v>352</v>
      </c>
      <c r="AT21" t="s">
        <v>243</v>
      </c>
      <c r="AU21" t="s">
        <v>338</v>
      </c>
      <c r="AV21">
        <v>45.15</v>
      </c>
    </row>
    <row r="22" spans="1:48" x14ac:dyDescent="0.25">
      <c r="A22" s="2">
        <v>1</v>
      </c>
      <c r="B22" t="s">
        <v>25</v>
      </c>
      <c r="C22" s="2" t="s">
        <v>26</v>
      </c>
      <c r="D22" s="2">
        <v>2008</v>
      </c>
      <c r="E22" s="2" t="s">
        <v>27</v>
      </c>
      <c r="F22" t="s">
        <v>28</v>
      </c>
      <c r="G2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2" s="5">
        <v>4</v>
      </c>
      <c r="I22" s="8">
        <v>7.9</v>
      </c>
      <c r="J22" s="8">
        <v>11.9</v>
      </c>
      <c r="K22" s="5">
        <v>3.7</v>
      </c>
      <c r="L22" s="8">
        <v>8.8000000000000007</v>
      </c>
      <c r="M22" s="8">
        <v>12.5</v>
      </c>
      <c r="N22" s="5">
        <v>2.8</v>
      </c>
      <c r="O22" s="8">
        <v>8.4</v>
      </c>
      <c r="P22" s="8">
        <v>11.2</v>
      </c>
      <c r="Q22" s="5">
        <v>2.2000000000000002</v>
      </c>
      <c r="R22" s="8">
        <v>8.3000000000000007</v>
      </c>
      <c r="S22" s="8">
        <v>10.5</v>
      </c>
      <c r="T22" s="5">
        <v>4.2</v>
      </c>
      <c r="U22" s="8">
        <v>7.7</v>
      </c>
      <c r="V22" s="8">
        <v>11.9</v>
      </c>
      <c r="W22" s="5">
        <v>2.7</v>
      </c>
      <c r="X22" s="8">
        <v>9.3000000000000007</v>
      </c>
      <c r="Y22" s="8">
        <v>12</v>
      </c>
      <c r="Z22" s="4">
        <f>IF(Gdansk_result[[#This Row],[All Around]]="Yes",SUM(H22,K22,N22,Q22,T22,W22),0)</f>
        <v>19.599999999999998</v>
      </c>
      <c r="AA22" s="7">
        <f>IF(Gdansk_result[[#This Row],[All Around]]="Yes",SUM(I22,L22,O22,R22,U22,X22),0)</f>
        <v>50.400000000000006</v>
      </c>
      <c r="AB22" s="7">
        <v>70</v>
      </c>
      <c r="AD22" s="33" t="s">
        <v>252</v>
      </c>
      <c r="AF22" s="40" t="s">
        <v>320</v>
      </c>
      <c r="AG22">
        <v>18</v>
      </c>
      <c r="AH22">
        <v>13</v>
      </c>
      <c r="AI22">
        <v>31</v>
      </c>
      <c r="AN22" t="s">
        <v>63</v>
      </c>
      <c r="AO22" t="s">
        <v>60</v>
      </c>
      <c r="AP22">
        <v>1997</v>
      </c>
      <c r="AQ22" t="s">
        <v>39</v>
      </c>
      <c r="AR22" t="s">
        <v>306</v>
      </c>
      <c r="AS22" t="s">
        <v>352</v>
      </c>
      <c r="AT22" t="s">
        <v>243</v>
      </c>
      <c r="AU22" t="s">
        <v>349</v>
      </c>
      <c r="AV22">
        <v>72.55</v>
      </c>
    </row>
    <row r="23" spans="1:48" x14ac:dyDescent="0.25">
      <c r="A23" s="2">
        <v>2</v>
      </c>
      <c r="B23" t="s">
        <v>32</v>
      </c>
      <c r="C23" s="2" t="s">
        <v>26</v>
      </c>
      <c r="D23" s="2">
        <v>2005</v>
      </c>
      <c r="E23" s="2" t="s">
        <v>33</v>
      </c>
      <c r="F23" t="s">
        <v>31</v>
      </c>
      <c r="G2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3" s="5">
        <v>4.0999999999999996</v>
      </c>
      <c r="I23" s="8">
        <v>7.8</v>
      </c>
      <c r="J23" s="8">
        <v>11.9</v>
      </c>
      <c r="K23" s="5">
        <v>3.6</v>
      </c>
      <c r="L23" s="8">
        <v>8.3000000000000007</v>
      </c>
      <c r="M23" s="8">
        <v>11.9</v>
      </c>
      <c r="N23" s="5">
        <v>3.3</v>
      </c>
      <c r="O23" s="8">
        <v>7.9</v>
      </c>
      <c r="P23" s="8">
        <v>11.2</v>
      </c>
      <c r="Q23" s="5">
        <v>2.8</v>
      </c>
      <c r="R23" s="8">
        <v>8.8000000000000007</v>
      </c>
      <c r="S23" s="8">
        <v>11.6</v>
      </c>
      <c r="T23" s="5">
        <v>3.4</v>
      </c>
      <c r="U23" s="8">
        <v>7.3</v>
      </c>
      <c r="V23" s="8">
        <v>10.7</v>
      </c>
      <c r="W23" s="5">
        <v>2.9</v>
      </c>
      <c r="X23" s="8">
        <v>6.2</v>
      </c>
      <c r="Y23" s="8">
        <v>9.1</v>
      </c>
      <c r="Z23" s="4">
        <f>IF(Gdansk_result[[#This Row],[All Around]]="Yes",SUM(H23,K23,N23,Q23,T23,W23),0)</f>
        <v>20.099999999999998</v>
      </c>
      <c r="AA23" s="7">
        <f>IF(Gdansk_result[[#This Row],[All Around]]="Yes",SUM(I23,L23,O23,R23,U23,X23),0)</f>
        <v>46.3</v>
      </c>
      <c r="AB23" s="7">
        <v>66.400000000000006</v>
      </c>
      <c r="AD23" s="34" t="s">
        <v>301</v>
      </c>
      <c r="AF23" s="40" t="s">
        <v>321</v>
      </c>
      <c r="AG23">
        <v>16</v>
      </c>
      <c r="AH23">
        <v>22</v>
      </c>
      <c r="AI23">
        <v>38</v>
      </c>
      <c r="AN23" t="s">
        <v>59</v>
      </c>
      <c r="AO23" t="s">
        <v>60</v>
      </c>
      <c r="AP23">
        <v>2002</v>
      </c>
      <c r="AQ23" t="s">
        <v>62</v>
      </c>
      <c r="AR23" t="s">
        <v>306</v>
      </c>
      <c r="AS23" t="s">
        <v>352</v>
      </c>
      <c r="AT23" t="s">
        <v>218</v>
      </c>
      <c r="AU23" t="s">
        <v>310</v>
      </c>
      <c r="AV23">
        <v>5.4</v>
      </c>
    </row>
    <row r="24" spans="1:48" x14ac:dyDescent="0.25">
      <c r="A24" s="2">
        <v>3</v>
      </c>
      <c r="B24" t="s">
        <v>29</v>
      </c>
      <c r="C24" s="2" t="s">
        <v>26</v>
      </c>
      <c r="D24" s="2">
        <v>2005</v>
      </c>
      <c r="E24" s="2" t="s">
        <v>30</v>
      </c>
      <c r="F24" t="s">
        <v>31</v>
      </c>
      <c r="G2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4" s="5">
        <v>4.4000000000000004</v>
      </c>
      <c r="I24" s="8">
        <v>7.5</v>
      </c>
      <c r="J24" s="8">
        <v>11.9</v>
      </c>
      <c r="K24" s="5">
        <v>3.6</v>
      </c>
      <c r="L24" s="8">
        <v>6.3</v>
      </c>
      <c r="M24" s="8">
        <v>9.9</v>
      </c>
      <c r="N24" s="5">
        <v>2.2999999999999998</v>
      </c>
      <c r="O24" s="8">
        <v>8.6</v>
      </c>
      <c r="P24" s="8">
        <v>10.9</v>
      </c>
      <c r="Q24" s="5">
        <v>4</v>
      </c>
      <c r="R24" s="8">
        <v>8.6</v>
      </c>
      <c r="S24" s="8">
        <v>12.6</v>
      </c>
      <c r="T24" s="5">
        <v>3.4</v>
      </c>
      <c r="U24" s="8">
        <v>8.1999999999999993</v>
      </c>
      <c r="V24" s="8">
        <v>11.6</v>
      </c>
      <c r="W24" s="5">
        <v>2.7</v>
      </c>
      <c r="X24" s="8">
        <v>6.7</v>
      </c>
      <c r="Y24" s="8">
        <v>9.4</v>
      </c>
      <c r="Z24" s="4">
        <f>IF(Gdansk_result[[#This Row],[All Around]]="Yes",SUM(H24,K24,N24,Q24,T24,W24),0)</f>
        <v>20.399999999999999</v>
      </c>
      <c r="AA24" s="7">
        <f>IF(Gdansk_result[[#This Row],[All Around]]="Yes",SUM(I24,L24,O24,R24,U24,X24),0)</f>
        <v>45.900000000000006</v>
      </c>
      <c r="AB24" s="7">
        <v>66.3</v>
      </c>
      <c r="AD24" s="37" t="s">
        <v>304</v>
      </c>
      <c r="AF24" s="40" t="s">
        <v>322</v>
      </c>
      <c r="AG24">
        <v>9</v>
      </c>
      <c r="AH24">
        <v>21</v>
      </c>
      <c r="AI24">
        <v>30</v>
      </c>
      <c r="AN24" t="s">
        <v>59</v>
      </c>
      <c r="AO24" t="s">
        <v>60</v>
      </c>
      <c r="AP24">
        <v>2002</v>
      </c>
      <c r="AQ24" t="s">
        <v>62</v>
      </c>
      <c r="AR24" t="s">
        <v>306</v>
      </c>
      <c r="AS24" t="s">
        <v>352</v>
      </c>
      <c r="AT24" t="s">
        <v>218</v>
      </c>
      <c r="AU24" t="s">
        <v>311</v>
      </c>
      <c r="AV24">
        <v>7.4</v>
      </c>
    </row>
    <row r="25" spans="1:48" x14ac:dyDescent="0.25">
      <c r="A25" s="2">
        <v>4</v>
      </c>
      <c r="B25" t="s">
        <v>34</v>
      </c>
      <c r="C25" s="2" t="s">
        <v>26</v>
      </c>
      <c r="D25" s="2">
        <v>2006</v>
      </c>
      <c r="E25" s="2" t="s">
        <v>35</v>
      </c>
      <c r="F25" t="s">
        <v>36</v>
      </c>
      <c r="G25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5" s="5">
        <v>3.6</v>
      </c>
      <c r="I25" s="8">
        <v>7.4</v>
      </c>
      <c r="J25" s="8">
        <v>11</v>
      </c>
      <c r="K25" s="5">
        <v>3.6</v>
      </c>
      <c r="L25" s="8">
        <v>8.3000000000000007</v>
      </c>
      <c r="M25" s="8">
        <v>11.9</v>
      </c>
      <c r="N25" s="5">
        <v>3.4</v>
      </c>
      <c r="O25" s="8">
        <v>7.7</v>
      </c>
      <c r="P25" s="8">
        <v>11.1</v>
      </c>
      <c r="Q25" s="5">
        <v>2.4</v>
      </c>
      <c r="R25" s="8">
        <v>7.2</v>
      </c>
      <c r="S25" s="8">
        <v>9.6</v>
      </c>
      <c r="T25" s="5">
        <v>3.4</v>
      </c>
      <c r="U25" s="8">
        <v>7.3</v>
      </c>
      <c r="V25" s="8">
        <v>10.7</v>
      </c>
      <c r="W25" s="5">
        <v>2.7</v>
      </c>
      <c r="X25" s="8">
        <v>7.5</v>
      </c>
      <c r="Y25" s="8">
        <v>10.199999999999999</v>
      </c>
      <c r="Z25" s="4">
        <f>IF(Gdansk_result[[#This Row],[All Around]]="Yes",SUM(H25,K25,N25,Q25,T25,W25),0)</f>
        <v>19.099999999999998</v>
      </c>
      <c r="AA25" s="7">
        <f>IF(Gdansk_result[[#This Row],[All Around]]="Yes",SUM(I25,L25,O25,R25,U25,X25),0)</f>
        <v>45.4</v>
      </c>
      <c r="AB25" s="7">
        <v>64.5</v>
      </c>
      <c r="AD25" s="35" t="s">
        <v>302</v>
      </c>
      <c r="AF25" s="40" t="s">
        <v>323</v>
      </c>
      <c r="AG25">
        <v>4</v>
      </c>
      <c r="AH25">
        <v>16</v>
      </c>
      <c r="AI25">
        <v>20</v>
      </c>
      <c r="AN25" t="s">
        <v>59</v>
      </c>
      <c r="AO25" t="s">
        <v>60</v>
      </c>
      <c r="AP25">
        <v>2002</v>
      </c>
      <c r="AQ25" t="s">
        <v>62</v>
      </c>
      <c r="AR25" t="s">
        <v>306</v>
      </c>
      <c r="AS25" t="s">
        <v>352</v>
      </c>
      <c r="AT25" t="s">
        <v>218</v>
      </c>
      <c r="AU25" t="s">
        <v>268</v>
      </c>
      <c r="AV25">
        <v>12.8</v>
      </c>
    </row>
    <row r="26" spans="1:48" x14ac:dyDescent="0.25">
      <c r="A26" s="2">
        <v>5</v>
      </c>
      <c r="B26" t="s">
        <v>44</v>
      </c>
      <c r="C26" s="2" t="s">
        <v>26</v>
      </c>
      <c r="D26" s="2">
        <v>2007</v>
      </c>
      <c r="E26" s="2" t="s">
        <v>45</v>
      </c>
      <c r="F26" t="s">
        <v>39</v>
      </c>
      <c r="G26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6" s="5">
        <v>3.3</v>
      </c>
      <c r="I26" s="8">
        <v>7.2</v>
      </c>
      <c r="J26" s="8">
        <v>10.5</v>
      </c>
      <c r="K26" s="5">
        <v>2.8</v>
      </c>
      <c r="L26" s="8">
        <v>8.5</v>
      </c>
      <c r="M26" s="8">
        <v>11.3</v>
      </c>
      <c r="N26" s="5">
        <v>2.2999999999999998</v>
      </c>
      <c r="O26" s="8">
        <v>8</v>
      </c>
      <c r="P26" s="8">
        <v>10.3</v>
      </c>
      <c r="Q26" s="5">
        <v>2.4</v>
      </c>
      <c r="R26" s="8">
        <v>8.4</v>
      </c>
      <c r="S26" s="8">
        <v>10.8</v>
      </c>
      <c r="T26" s="5">
        <v>2.6</v>
      </c>
      <c r="U26" s="8">
        <v>8.9</v>
      </c>
      <c r="V26" s="8">
        <v>11.5</v>
      </c>
      <c r="W26" s="5">
        <v>2.2999999999999998</v>
      </c>
      <c r="X26" s="8">
        <v>7.5</v>
      </c>
      <c r="Y26" s="8">
        <v>9.8000000000000007</v>
      </c>
      <c r="Z26" s="4">
        <f>IF(Gdansk_result[[#This Row],[All Around]]="Yes",SUM(H26,K26,N26,Q26,T26,W26),0)</f>
        <v>15.7</v>
      </c>
      <c r="AA26" s="7">
        <f>IF(Gdansk_result[[#This Row],[All Around]]="Yes",SUM(I26,L26,O26,R26,U26,X26),0)</f>
        <v>48.5</v>
      </c>
      <c r="AB26" s="7">
        <v>64.2</v>
      </c>
      <c r="AD26" s="36" t="s">
        <v>303</v>
      </c>
      <c r="AF26" s="40" t="s">
        <v>324</v>
      </c>
      <c r="AH26">
        <v>6</v>
      </c>
      <c r="AI26">
        <v>6</v>
      </c>
      <c r="AN26" t="s">
        <v>59</v>
      </c>
      <c r="AO26" t="s">
        <v>60</v>
      </c>
      <c r="AP26">
        <v>2002</v>
      </c>
      <c r="AQ26" t="s">
        <v>62</v>
      </c>
      <c r="AR26" t="s">
        <v>306</v>
      </c>
      <c r="AS26" t="s">
        <v>352</v>
      </c>
      <c r="AT26" t="s">
        <v>238</v>
      </c>
      <c r="AU26" t="s">
        <v>310</v>
      </c>
      <c r="AV26">
        <v>4.9000000000000004</v>
      </c>
    </row>
    <row r="27" spans="1:48" x14ac:dyDescent="0.25">
      <c r="A27" s="2">
        <v>6</v>
      </c>
      <c r="B27" t="s">
        <v>40</v>
      </c>
      <c r="C27" s="2" t="s">
        <v>26</v>
      </c>
      <c r="D27" s="2">
        <v>2007</v>
      </c>
      <c r="E27" s="2" t="s">
        <v>41</v>
      </c>
      <c r="F27" t="s">
        <v>39</v>
      </c>
      <c r="G27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7" s="4">
        <v>3.1</v>
      </c>
      <c r="I27" s="7">
        <v>7.3</v>
      </c>
      <c r="J27" s="7">
        <v>10.4</v>
      </c>
      <c r="K27" s="4">
        <v>2.9</v>
      </c>
      <c r="L27" s="7">
        <v>8.1</v>
      </c>
      <c r="M27" s="7">
        <v>11</v>
      </c>
      <c r="N27" s="4">
        <v>3.4</v>
      </c>
      <c r="O27" s="7">
        <v>6</v>
      </c>
      <c r="P27" s="7">
        <v>9.4</v>
      </c>
      <c r="Q27" s="4">
        <v>2.8</v>
      </c>
      <c r="R27" s="7">
        <v>8.6</v>
      </c>
      <c r="S27" s="7">
        <v>11.4</v>
      </c>
      <c r="T27" s="4">
        <v>3</v>
      </c>
      <c r="U27" s="7">
        <v>9</v>
      </c>
      <c r="V27" s="7">
        <v>12</v>
      </c>
      <c r="W27" s="4">
        <v>2.4</v>
      </c>
      <c r="X27" s="7">
        <v>7.2</v>
      </c>
      <c r="Y27" s="7">
        <v>9.6</v>
      </c>
      <c r="Z27" s="4">
        <f>IF(Gdansk_result[[#This Row],[All Around]]="Yes",SUM(H27,K27,N27,Q27,T27,W27),0)</f>
        <v>17.599999999999998</v>
      </c>
      <c r="AA27" s="7">
        <f>IF(Gdansk_result[[#This Row],[All Around]]="Yes",SUM(I27,L27,O27,R27,U27,X27),0)</f>
        <v>46.2</v>
      </c>
      <c r="AB27" s="7">
        <v>63.8</v>
      </c>
      <c r="AF27" s="40" t="s">
        <v>325</v>
      </c>
      <c r="AH27">
        <v>6</v>
      </c>
      <c r="AI27">
        <v>6</v>
      </c>
      <c r="AN27" t="s">
        <v>59</v>
      </c>
      <c r="AO27" t="s">
        <v>60</v>
      </c>
      <c r="AP27">
        <v>2002</v>
      </c>
      <c r="AQ27" t="s">
        <v>62</v>
      </c>
      <c r="AR27" t="s">
        <v>306</v>
      </c>
      <c r="AS27" t="s">
        <v>352</v>
      </c>
      <c r="AT27" t="s">
        <v>238</v>
      </c>
      <c r="AU27" t="s">
        <v>311</v>
      </c>
      <c r="AV27">
        <v>6</v>
      </c>
    </row>
    <row r="28" spans="1:48" x14ac:dyDescent="0.25">
      <c r="A28" s="2">
        <v>7</v>
      </c>
      <c r="B28" t="s">
        <v>112</v>
      </c>
      <c r="C28" s="2" t="s">
        <v>26</v>
      </c>
      <c r="D28" s="2">
        <v>2005</v>
      </c>
      <c r="E28" s="2" t="s">
        <v>113</v>
      </c>
      <c r="F28" t="s">
        <v>31</v>
      </c>
      <c r="G28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8" s="5">
        <v>4.2</v>
      </c>
      <c r="I28" s="8">
        <v>6.3</v>
      </c>
      <c r="J28" s="8">
        <v>10.5</v>
      </c>
      <c r="K28" s="5">
        <v>2.7</v>
      </c>
      <c r="L28" s="8">
        <v>6</v>
      </c>
      <c r="M28" s="8">
        <v>8.6999999999999993</v>
      </c>
      <c r="N28" s="5">
        <v>2.2000000000000002</v>
      </c>
      <c r="O28" s="8">
        <v>7.7</v>
      </c>
      <c r="P28" s="8">
        <v>9.9</v>
      </c>
      <c r="Q28" s="5">
        <v>4</v>
      </c>
      <c r="R28" s="8">
        <v>8.9</v>
      </c>
      <c r="S28" s="8">
        <v>12.9</v>
      </c>
      <c r="T28" s="5">
        <v>3.2</v>
      </c>
      <c r="U28" s="8">
        <v>7.4</v>
      </c>
      <c r="V28" s="8">
        <v>10.6</v>
      </c>
      <c r="W28" s="5">
        <v>3.2</v>
      </c>
      <c r="X28" s="8">
        <v>7.5</v>
      </c>
      <c r="Y28" s="8">
        <v>10.7</v>
      </c>
      <c r="Z28" s="4">
        <f>IF(Gdansk_result[[#This Row],[All Around]]="Yes",SUM(H28,K28,N28,Q28,T28,W28),0)</f>
        <v>19.5</v>
      </c>
      <c r="AA28" s="7">
        <f>IF(Gdansk_result[[#This Row],[All Around]]="Yes",SUM(I28,L28,O28,R28,U28,X28),0)</f>
        <v>43.8</v>
      </c>
      <c r="AB28" s="7">
        <v>63.3</v>
      </c>
      <c r="AF28" s="40" t="s">
        <v>326</v>
      </c>
      <c r="AH28">
        <v>2</v>
      </c>
      <c r="AI28">
        <v>2</v>
      </c>
      <c r="AN28" t="s">
        <v>59</v>
      </c>
      <c r="AO28" t="s">
        <v>60</v>
      </c>
      <c r="AP28">
        <v>2002</v>
      </c>
      <c r="AQ28" t="s">
        <v>62</v>
      </c>
      <c r="AR28" t="s">
        <v>306</v>
      </c>
      <c r="AS28" t="s">
        <v>352</v>
      </c>
      <c r="AT28" t="s">
        <v>238</v>
      </c>
      <c r="AU28" t="s">
        <v>268</v>
      </c>
      <c r="AV28">
        <v>10.9</v>
      </c>
    </row>
    <row r="29" spans="1:48" x14ac:dyDescent="0.25">
      <c r="A29" s="2">
        <v>8</v>
      </c>
      <c r="B29" t="s">
        <v>37</v>
      </c>
      <c r="C29" s="2" t="s">
        <v>26</v>
      </c>
      <c r="D29" s="2">
        <v>2006</v>
      </c>
      <c r="E29" s="2" t="s">
        <v>38</v>
      </c>
      <c r="F29" t="s">
        <v>39</v>
      </c>
      <c r="G29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29" s="5">
        <v>3.3</v>
      </c>
      <c r="I29" s="8">
        <v>5.9</v>
      </c>
      <c r="J29" s="8">
        <v>9.1999999999999993</v>
      </c>
      <c r="K29" s="5">
        <v>3.9</v>
      </c>
      <c r="L29" s="8">
        <v>8.1999999999999993</v>
      </c>
      <c r="M29" s="8">
        <v>12.1</v>
      </c>
      <c r="N29" s="5">
        <v>2.2999999999999998</v>
      </c>
      <c r="O29" s="8">
        <v>7.8</v>
      </c>
      <c r="P29" s="8">
        <v>10.1</v>
      </c>
      <c r="Q29" s="5">
        <v>2.4</v>
      </c>
      <c r="R29" s="8">
        <v>8.1999999999999993</v>
      </c>
      <c r="S29" s="8">
        <v>10.6</v>
      </c>
      <c r="T29" s="5">
        <v>3.2</v>
      </c>
      <c r="U29" s="8">
        <v>8.6</v>
      </c>
      <c r="V29" s="8">
        <v>11.8</v>
      </c>
      <c r="W29" s="5">
        <v>2.8</v>
      </c>
      <c r="X29" s="8">
        <v>6.5</v>
      </c>
      <c r="Y29" s="8">
        <v>9.3000000000000007</v>
      </c>
      <c r="Z29" s="4">
        <f>IF(Gdansk_result[[#This Row],[All Around]]="Yes",SUM(H29,K29,N29,Q29,T29,W29),0)</f>
        <v>17.900000000000002</v>
      </c>
      <c r="AA29" s="7">
        <f>IF(Gdansk_result[[#This Row],[All Around]]="Yes",SUM(I29,L29,O29,R29,U29,X29),0)</f>
        <v>45.199999999999996</v>
      </c>
      <c r="AB29" s="7">
        <v>63.1</v>
      </c>
      <c r="AF29" s="39" t="s">
        <v>312</v>
      </c>
      <c r="AG29">
        <v>75</v>
      </c>
      <c r="AH29">
        <v>95</v>
      </c>
      <c r="AI29">
        <v>170</v>
      </c>
      <c r="AN29" t="s">
        <v>59</v>
      </c>
      <c r="AO29" t="s">
        <v>60</v>
      </c>
      <c r="AP29">
        <v>2002</v>
      </c>
      <c r="AQ29" t="s">
        <v>62</v>
      </c>
      <c r="AR29" t="s">
        <v>306</v>
      </c>
      <c r="AS29" t="s">
        <v>352</v>
      </c>
      <c r="AT29" t="s">
        <v>239</v>
      </c>
      <c r="AU29" t="s">
        <v>310</v>
      </c>
      <c r="AV29">
        <v>2.8</v>
      </c>
    </row>
    <row r="30" spans="1:48" x14ac:dyDescent="0.25">
      <c r="A30" s="2">
        <v>9</v>
      </c>
      <c r="B30" t="s">
        <v>42</v>
      </c>
      <c r="C30" s="2" t="s">
        <v>26</v>
      </c>
      <c r="D30" s="2">
        <v>2007</v>
      </c>
      <c r="E30" s="2" t="s">
        <v>43</v>
      </c>
      <c r="F30" t="s">
        <v>36</v>
      </c>
      <c r="G30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0" s="5">
        <v>3.4</v>
      </c>
      <c r="I30" s="8">
        <v>7.5</v>
      </c>
      <c r="J30" s="8">
        <v>10.9</v>
      </c>
      <c r="K30" s="5">
        <v>2.6</v>
      </c>
      <c r="L30" s="8">
        <v>7.2</v>
      </c>
      <c r="M30" s="8">
        <v>9.8000000000000007</v>
      </c>
      <c r="N30" s="5">
        <v>2</v>
      </c>
      <c r="O30" s="8">
        <v>7.9</v>
      </c>
      <c r="P30" s="8">
        <v>9.9</v>
      </c>
      <c r="Q30" s="5">
        <v>2.8</v>
      </c>
      <c r="R30" s="8">
        <v>8.4</v>
      </c>
      <c r="S30" s="8">
        <v>11.2</v>
      </c>
      <c r="T30" s="5">
        <v>2.4</v>
      </c>
      <c r="U30" s="8">
        <v>8.8000000000000007</v>
      </c>
      <c r="V30" s="8">
        <v>11.2</v>
      </c>
      <c r="W30" s="5">
        <v>1.8</v>
      </c>
      <c r="X30" s="8">
        <v>7.9</v>
      </c>
      <c r="Y30" s="8">
        <v>9.6999999999999993</v>
      </c>
      <c r="Z30" s="4">
        <f>IF(Gdansk_result[[#This Row],[All Around]]="Yes",SUM(H30,K30,N30,Q30,T30,W30),0)</f>
        <v>15.000000000000002</v>
      </c>
      <c r="AA30" s="7">
        <f>IF(Gdansk_result[[#This Row],[All Around]]="Yes",SUM(I30,L30,O30,R30,U30,X30),0)</f>
        <v>47.699999999999996</v>
      </c>
      <c r="AB30" s="7">
        <v>62.7</v>
      </c>
      <c r="AN30" t="s">
        <v>59</v>
      </c>
      <c r="AO30" t="s">
        <v>60</v>
      </c>
      <c r="AP30">
        <v>2002</v>
      </c>
      <c r="AQ30" t="s">
        <v>62</v>
      </c>
      <c r="AR30" t="s">
        <v>306</v>
      </c>
      <c r="AS30" t="s">
        <v>352</v>
      </c>
      <c r="AT30" t="s">
        <v>239</v>
      </c>
      <c r="AU30" t="s">
        <v>311</v>
      </c>
      <c r="AV30">
        <v>9.1999999999999993</v>
      </c>
    </row>
    <row r="31" spans="1:48" x14ac:dyDescent="0.25">
      <c r="A31" s="2">
        <v>10</v>
      </c>
      <c r="B31" t="s">
        <v>48</v>
      </c>
      <c r="C31" s="2" t="s">
        <v>26</v>
      </c>
      <c r="D31" s="2">
        <v>2006</v>
      </c>
      <c r="E31" s="2" t="s">
        <v>49</v>
      </c>
      <c r="F31" t="s">
        <v>36</v>
      </c>
      <c r="G31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1" s="5">
        <v>3.2</v>
      </c>
      <c r="I31" s="8">
        <v>7.9</v>
      </c>
      <c r="J31" s="8">
        <v>11.1</v>
      </c>
      <c r="K31" s="5">
        <v>2.6</v>
      </c>
      <c r="L31" s="8">
        <v>7</v>
      </c>
      <c r="M31" s="8">
        <v>9.6</v>
      </c>
      <c r="N31" s="5">
        <v>2.2000000000000002</v>
      </c>
      <c r="O31" s="8">
        <v>7.6</v>
      </c>
      <c r="P31" s="8">
        <v>9.8000000000000007</v>
      </c>
      <c r="Q31" s="5">
        <v>1.6</v>
      </c>
      <c r="R31" s="8">
        <v>8.5</v>
      </c>
      <c r="S31" s="8">
        <v>10.1</v>
      </c>
      <c r="T31" s="5">
        <v>2.4</v>
      </c>
      <c r="U31" s="8">
        <v>9</v>
      </c>
      <c r="V31" s="8">
        <v>11.4</v>
      </c>
      <c r="W31" s="5">
        <v>1.9</v>
      </c>
      <c r="X31" s="8">
        <v>8.1999999999999993</v>
      </c>
      <c r="Y31" s="8">
        <v>10.1</v>
      </c>
      <c r="Z31" s="4">
        <f>IF(Gdansk_result[[#This Row],[All Around]]="Yes",SUM(H31,K31,N31,Q31,T31,W31),0)</f>
        <v>13.9</v>
      </c>
      <c r="AA31" s="7">
        <f>IF(Gdansk_result[[#This Row],[All Around]]="Yes",SUM(I31,L31,O31,R31,U31,X31),0)</f>
        <v>48.2</v>
      </c>
      <c r="AB31" s="7">
        <v>62.1</v>
      </c>
      <c r="AN31" t="s">
        <v>59</v>
      </c>
      <c r="AO31" t="s">
        <v>60</v>
      </c>
      <c r="AP31">
        <v>2002</v>
      </c>
      <c r="AQ31" t="s">
        <v>62</v>
      </c>
      <c r="AR31" t="s">
        <v>306</v>
      </c>
      <c r="AS31" t="s">
        <v>352</v>
      </c>
      <c r="AT31" t="s">
        <v>239</v>
      </c>
      <c r="AU31" t="s">
        <v>268</v>
      </c>
      <c r="AV31">
        <v>12</v>
      </c>
    </row>
    <row r="32" spans="1:48" x14ac:dyDescent="0.25">
      <c r="A32" s="2">
        <v>11</v>
      </c>
      <c r="B32" t="s">
        <v>46</v>
      </c>
      <c r="C32" s="2" t="s">
        <v>26</v>
      </c>
      <c r="D32" s="2">
        <v>2006</v>
      </c>
      <c r="E32" s="2" t="s">
        <v>47</v>
      </c>
      <c r="F32" t="s">
        <v>36</v>
      </c>
      <c r="G32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Yes</v>
      </c>
      <c r="H32" s="5">
        <v>2.9</v>
      </c>
      <c r="I32" s="8">
        <v>7.8</v>
      </c>
      <c r="J32" s="8">
        <v>10.7</v>
      </c>
      <c r="K32" s="5">
        <v>2.5</v>
      </c>
      <c r="L32" s="8">
        <v>5.5</v>
      </c>
      <c r="M32" s="8">
        <v>8</v>
      </c>
      <c r="N32" s="5">
        <v>1.7</v>
      </c>
      <c r="O32" s="8">
        <v>7.7</v>
      </c>
      <c r="P32" s="8">
        <v>9.4</v>
      </c>
      <c r="Q32" s="5">
        <v>1.6</v>
      </c>
      <c r="R32" s="8">
        <v>8.8000000000000007</v>
      </c>
      <c r="S32" s="8">
        <v>10.4</v>
      </c>
      <c r="T32" s="5">
        <v>2.4</v>
      </c>
      <c r="U32" s="8">
        <v>8</v>
      </c>
      <c r="V32" s="8">
        <v>10.4</v>
      </c>
      <c r="W32" s="5">
        <v>1.5</v>
      </c>
      <c r="X32" s="8">
        <v>2.5</v>
      </c>
      <c r="Y32" s="8">
        <v>4</v>
      </c>
      <c r="Z32" s="4">
        <f>IF(Gdansk_result[[#This Row],[All Around]]="Yes",SUM(H32,K32,N32,Q32,T32,W32),0)</f>
        <v>12.600000000000001</v>
      </c>
      <c r="AA32" s="7">
        <f>IF(Gdansk_result[[#This Row],[All Around]]="Yes",SUM(I32,L32,O32,R32,U32,X32),0)</f>
        <v>40.299999999999997</v>
      </c>
      <c r="AB32" s="7">
        <v>52.9</v>
      </c>
      <c r="AN32" t="s">
        <v>59</v>
      </c>
      <c r="AO32" t="s">
        <v>60</v>
      </c>
      <c r="AP32">
        <v>2002</v>
      </c>
      <c r="AQ32" t="s">
        <v>62</v>
      </c>
      <c r="AR32" t="s">
        <v>306</v>
      </c>
      <c r="AS32" t="s">
        <v>352</v>
      </c>
      <c r="AT32" t="s">
        <v>240</v>
      </c>
      <c r="AU32" t="s">
        <v>310</v>
      </c>
      <c r="AV32">
        <v>4.4000000000000004</v>
      </c>
    </row>
    <row r="33" spans="1:48" x14ac:dyDescent="0.25">
      <c r="A33" s="2">
        <v>12</v>
      </c>
      <c r="B33" t="s">
        <v>114</v>
      </c>
      <c r="C33" s="2" t="s">
        <v>26</v>
      </c>
      <c r="D33" s="2">
        <v>2006</v>
      </c>
      <c r="E33" s="2" t="s">
        <v>115</v>
      </c>
      <c r="F33" t="s">
        <v>36</v>
      </c>
      <c r="G33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33" s="5">
        <v>3.4</v>
      </c>
      <c r="I33" s="8">
        <v>7.1</v>
      </c>
      <c r="J33" s="8">
        <v>10.5</v>
      </c>
      <c r="K33" s="5">
        <v>2.6</v>
      </c>
      <c r="L33" s="8">
        <v>6.5</v>
      </c>
      <c r="M33" s="8">
        <v>9.1</v>
      </c>
      <c r="N33" s="5">
        <v>0</v>
      </c>
      <c r="O33" s="8">
        <v>0</v>
      </c>
      <c r="P33" s="8">
        <v>0</v>
      </c>
      <c r="Q33" s="5">
        <v>1.6</v>
      </c>
      <c r="R33" s="8">
        <v>8.8000000000000007</v>
      </c>
      <c r="S33" s="8">
        <v>10.4</v>
      </c>
      <c r="T33" s="5">
        <v>2.4</v>
      </c>
      <c r="U33" s="8">
        <v>8.8000000000000007</v>
      </c>
      <c r="V33" s="8">
        <v>11.2</v>
      </c>
      <c r="W33" s="5">
        <v>1.8</v>
      </c>
      <c r="X33" s="8">
        <v>7.8</v>
      </c>
      <c r="Y33" s="8">
        <v>9.6</v>
      </c>
      <c r="Z33" s="4">
        <f>IF(Gdansk_result[[#This Row],[All Around]]="Yes",SUM(H33,K33,N33,Q33,T33,W33),0)</f>
        <v>0</v>
      </c>
      <c r="AA33" s="7">
        <f>IF(Gdansk_result[[#This Row],[All Around]]="Yes",SUM(I33,L33,O33,R33,U33,X33),0)</f>
        <v>0</v>
      </c>
      <c r="AB33" s="7">
        <v>50.8</v>
      </c>
      <c r="AN33" t="s">
        <v>59</v>
      </c>
      <c r="AO33" t="s">
        <v>60</v>
      </c>
      <c r="AP33">
        <v>2002</v>
      </c>
      <c r="AQ33" t="s">
        <v>62</v>
      </c>
      <c r="AR33" t="s">
        <v>306</v>
      </c>
      <c r="AS33" t="s">
        <v>352</v>
      </c>
      <c r="AT33" t="s">
        <v>240</v>
      </c>
      <c r="AU33" t="s">
        <v>311</v>
      </c>
      <c r="AV33">
        <v>8.3000000000000007</v>
      </c>
    </row>
    <row r="34" spans="1:48" x14ac:dyDescent="0.25">
      <c r="A34" s="2">
        <v>13</v>
      </c>
      <c r="B34" t="s">
        <v>52</v>
      </c>
      <c r="C34" s="2" t="s">
        <v>26</v>
      </c>
      <c r="D34" s="2">
        <v>2006</v>
      </c>
      <c r="E34" s="2" t="s">
        <v>53</v>
      </c>
      <c r="F34" t="s">
        <v>36</v>
      </c>
      <c r="G34" s="2" t="str">
        <f>IF((COUNTIF(Gdansk_result[[#This Row],[FX_total_score]],"&gt;0")+COUNTIF(Gdansk_result[[#This Row],[PH_Total_Score]],"&gt;0")+COUNTIF(Gdansk_result[[#This Row],[SR_Total_Score]],"&gt;0")+COUNTIF(Gdansk_result[[#This Row],[VT_total_score]],"&gt;0")+COUNTIF(Gdansk_result[[#This Row],[PB_total_score]],"&gt;0")+COUNTIF(Gdansk_result[[#This Row],[HB_total_score]],"&gt;0"))=6,"Yes","No")</f>
        <v>No</v>
      </c>
      <c r="H34" s="5">
        <v>3.2</v>
      </c>
      <c r="I34" s="8">
        <v>6.9</v>
      </c>
      <c r="J34" s="8">
        <v>10.1</v>
      </c>
      <c r="K34" s="5">
        <v>2</v>
      </c>
      <c r="L34" s="8">
        <v>3.5</v>
      </c>
      <c r="M34" s="8">
        <v>5.5</v>
      </c>
      <c r="N34" s="5">
        <v>0</v>
      </c>
      <c r="O34" s="8">
        <v>0</v>
      </c>
      <c r="P34" s="8">
        <v>0</v>
      </c>
      <c r="Q34" s="5">
        <v>2.4</v>
      </c>
      <c r="R34" s="8">
        <v>8.1999999999999993</v>
      </c>
      <c r="S34" s="8">
        <v>10.6</v>
      </c>
      <c r="T34" s="5">
        <v>2.4</v>
      </c>
      <c r="U34" s="8">
        <v>8.5</v>
      </c>
      <c r="V34" s="8">
        <v>10.9</v>
      </c>
      <c r="W34" s="5">
        <v>0</v>
      </c>
      <c r="X34" s="8">
        <v>0</v>
      </c>
      <c r="Y34" s="8">
        <v>0</v>
      </c>
      <c r="Z34" s="4">
        <f>IF(Gdansk_result[[#This Row],[All Around]]="Yes",SUM(H34,K34,N34,Q34,T34,W34),0)</f>
        <v>0</v>
      </c>
      <c r="AA34" s="7">
        <f>IF(Gdansk_result[[#This Row],[All Around]]="Yes",SUM(I34,L34,O34,R34,U34,X34),0)</f>
        <v>0</v>
      </c>
      <c r="AB34" s="7">
        <v>37.1</v>
      </c>
      <c r="AN34" t="s">
        <v>59</v>
      </c>
      <c r="AO34" t="s">
        <v>60</v>
      </c>
      <c r="AP34">
        <v>2002</v>
      </c>
      <c r="AQ34" t="s">
        <v>62</v>
      </c>
      <c r="AR34" t="s">
        <v>306</v>
      </c>
      <c r="AS34" t="s">
        <v>352</v>
      </c>
      <c r="AT34" t="s">
        <v>240</v>
      </c>
      <c r="AU34" t="s">
        <v>268</v>
      </c>
      <c r="AV34">
        <v>12.7</v>
      </c>
    </row>
    <row r="35" spans="1:48" x14ac:dyDescent="0.25">
      <c r="AN35" t="s">
        <v>59</v>
      </c>
      <c r="AO35" t="s">
        <v>60</v>
      </c>
      <c r="AP35">
        <v>2002</v>
      </c>
      <c r="AQ35" t="s">
        <v>62</v>
      </c>
      <c r="AR35" t="s">
        <v>306</v>
      </c>
      <c r="AS35" t="s">
        <v>352</v>
      </c>
      <c r="AT35" t="s">
        <v>316</v>
      </c>
      <c r="AU35" t="s">
        <v>310</v>
      </c>
      <c r="AV35">
        <v>5.3</v>
      </c>
    </row>
    <row r="36" spans="1:48" x14ac:dyDescent="0.25">
      <c r="K36" s="5"/>
      <c r="L36" s="8"/>
      <c r="M36" s="8"/>
      <c r="N36" s="5"/>
      <c r="O36" s="8"/>
      <c r="P36" s="8"/>
      <c r="Q36" s="5"/>
      <c r="R36" s="8"/>
      <c r="S36" s="8"/>
      <c r="T36" s="5"/>
      <c r="U36" s="8"/>
      <c r="V36" s="8"/>
      <c r="W36" s="8"/>
      <c r="X36" s="8"/>
      <c r="Y36" s="8"/>
      <c r="Z36" s="8"/>
      <c r="AA36" s="8"/>
      <c r="AB36" s="8"/>
      <c r="AN36" t="s">
        <v>59</v>
      </c>
      <c r="AO36" t="s">
        <v>60</v>
      </c>
      <c r="AP36">
        <v>2002</v>
      </c>
      <c r="AQ36" t="s">
        <v>62</v>
      </c>
      <c r="AR36" t="s">
        <v>306</v>
      </c>
      <c r="AS36" t="s">
        <v>352</v>
      </c>
      <c r="AT36" t="s">
        <v>316</v>
      </c>
      <c r="AU36" t="s">
        <v>311</v>
      </c>
      <c r="AV36">
        <v>7</v>
      </c>
    </row>
    <row r="37" spans="1:48" ht="35.25" customHeight="1" x14ac:dyDescent="0.25">
      <c r="A37" s="2" t="s">
        <v>2</v>
      </c>
      <c r="B37" s="10" t="s">
        <v>217</v>
      </c>
      <c r="C37" s="10" t="s">
        <v>244</v>
      </c>
      <c r="D37" s="10" t="s">
        <v>249</v>
      </c>
      <c r="E37" s="10" t="s">
        <v>245</v>
      </c>
      <c r="F37" s="10" t="s">
        <v>250</v>
      </c>
      <c r="G37" s="10" t="s">
        <v>246</v>
      </c>
      <c r="H37" s="10" t="s">
        <v>251</v>
      </c>
      <c r="I37" s="10" t="s">
        <v>252</v>
      </c>
      <c r="J37" s="10" t="s">
        <v>253</v>
      </c>
      <c r="K37" s="5"/>
      <c r="L37" s="8"/>
      <c r="M37" s="8"/>
      <c r="N37" s="5"/>
      <c r="O37" s="8"/>
      <c r="P37" s="8"/>
      <c r="Q37" s="5"/>
      <c r="R37" s="8"/>
      <c r="S37" s="8"/>
      <c r="T37" s="5"/>
      <c r="U37" s="8"/>
      <c r="V37" s="8"/>
      <c r="W37" s="8"/>
      <c r="X37" s="8"/>
      <c r="Y37" s="8"/>
      <c r="Z37" s="8"/>
      <c r="AA37" s="8"/>
      <c r="AB37" s="8"/>
      <c r="AN37" t="s">
        <v>59</v>
      </c>
      <c r="AO37" t="s">
        <v>60</v>
      </c>
      <c r="AP37">
        <v>2002</v>
      </c>
      <c r="AQ37" t="s">
        <v>62</v>
      </c>
      <c r="AR37" t="s">
        <v>306</v>
      </c>
      <c r="AS37" t="s">
        <v>352</v>
      </c>
      <c r="AT37" t="s">
        <v>316</v>
      </c>
      <c r="AU37" t="s">
        <v>268</v>
      </c>
      <c r="AV37">
        <v>12.3</v>
      </c>
    </row>
    <row r="38" spans="1:48" ht="35.25" customHeight="1" x14ac:dyDescent="0.25">
      <c r="A38" s="2" t="s">
        <v>60</v>
      </c>
      <c r="B38" s="10" t="s">
        <v>243</v>
      </c>
      <c r="C38" s="11">
        <f>AVERAGEIFS(Gdansk_result[AA_Dscore],Gdansk_result[[Category]:[Category]],"senior",Gdansk_result[AA_Dscore],"&lt;&gt;0",Gdansk_result[All Around],"Yes")</f>
        <v>22.292307692307695</v>
      </c>
      <c r="D38" s="11" cm="1">
        <f t="array" ref="D38">_xlfn.STDEV.S(_xlfn._xlws.FILTER(Gdansk_result[AA_Dscore],(Gdansk_result[Category]="senior")*(Gdansk_result[All Around]="yes"),""))</f>
        <v>4.1867771094366288</v>
      </c>
      <c r="E38" s="12">
        <f>AVERAGEIFS(Gdansk_result[AA_Escore],Gdansk_result[[Category]:[Category]],"senior",Gdansk_result[AA_Escore],"&lt;&gt;0",Gdansk_result[All Around],"yes")</f>
        <v>43.861538461538466</v>
      </c>
      <c r="F38" s="12" cm="1">
        <f t="array" ref="F38">_xlfn.STDEV.S(_xlfn._xlws.FILTER(Gdansk_result[AA_Escore],(Gdansk_result[Category]="senior")*(Gdansk_result[All Around]="yes"),""))</f>
        <v>2.9536103504971845</v>
      </c>
      <c r="G38" s="12">
        <f>AVERAGEIFS(Gdansk_result[Total_Score],Gdansk_result[[Category]:[Category]],"senior",Gdansk_result[Total_Score],"&lt;&gt;0",Gdansk_result[All Around],"yes")</f>
        <v>66.15384615384616</v>
      </c>
      <c r="H38" s="12" cm="1">
        <f t="array" ref="H38">_xlfn.STDEV.S(_xlfn._xlws.FILTER(Gdansk_result[Total_Score],(Gdansk_result[Category]="senior")*(Gdansk_result[All Around]="yes"),""))</f>
        <v>5.7183717648492953</v>
      </c>
      <c r="I38" s="12" cm="1">
        <f t="array" ref="I38">MAX(_xlfn._xlws.FILTER(Gdansk_result[Total_Score],Gdansk_result[Category]="senior"))</f>
        <v>72.55</v>
      </c>
      <c r="J38" s="10" t="str" cm="1">
        <f t="array" ref="J38">IF(COUNTIFS(Gdansk_result[Total_Score],I38,Gdansk_result[Category],"senior")&gt;1,_xlfn.XLOOKUP(I38,_xlfn._xlws.FILTER(Gdansk_result[Total_Score],Gdansk_result[Category]="senior"),_xlfn._xlws.FILTER(Gdansk_result[Name],Gdansk_result[Category]="senior"),0)&amp;" and "&amp;(COUNTIFS(Gdansk_result[Total_Score],I38,Gdansk_result[Category],"senior")-1)&amp;" more",_xlfn.XLOOKUP(I38,_xlfn._xlws.FILTER(Gdansk_result[Total_Score],Gdansk_result[Category]="senior"),_xlfn._xlws.FILTER(Gdansk_result[Name],Gdansk_result[Category]="senior"),0))</f>
        <v>SASNAL Filip</v>
      </c>
      <c r="T38" s="13"/>
      <c r="U38" s="13"/>
      <c r="V38" s="8"/>
      <c r="W38" s="5"/>
      <c r="X38" s="8"/>
      <c r="Y38" s="8"/>
      <c r="Z38" s="8"/>
      <c r="AA38" s="8"/>
      <c r="AB38" s="8"/>
      <c r="AN38" t="s">
        <v>59</v>
      </c>
      <c r="AO38" t="s">
        <v>60</v>
      </c>
      <c r="AP38">
        <v>2002</v>
      </c>
      <c r="AQ38" t="s">
        <v>62</v>
      </c>
      <c r="AR38" t="s">
        <v>306</v>
      </c>
      <c r="AS38" t="s">
        <v>352</v>
      </c>
      <c r="AT38" t="s">
        <v>242</v>
      </c>
      <c r="AU38" t="s">
        <v>310</v>
      </c>
      <c r="AV38">
        <v>4.9000000000000004</v>
      </c>
    </row>
    <row r="39" spans="1:48" ht="35.25" customHeight="1" x14ac:dyDescent="0.25">
      <c r="A39" s="2" t="s">
        <v>60</v>
      </c>
      <c r="B39" s="10" t="s">
        <v>218</v>
      </c>
      <c r="C39" s="11">
        <f>AVERAGEIFS(Gdansk_result[FX_Dscore],Gdansk_result[[Category]:[Category]],"senior",Gdansk_result[FX_Dscore],"&lt;&gt;0")</f>
        <v>4.276470588235294</v>
      </c>
      <c r="D39" s="11" cm="1">
        <f t="array" ref="D39">_xlfn.STDEV.S(_xlfn._xlws.FILTER(_xlfn._xlws.FILTER(Gdansk_result[FX_Dscore],Gdansk_result[Category]="senior",""),_xlfn._xlws.FILTER(Gdansk_result[FX_Dscore],Gdansk_result[Category]="senior","")&lt;&gt;0,""))</f>
        <v>0.77663489794489715</v>
      </c>
      <c r="E39" s="12">
        <f>AVERAGEIFS(Gdansk_result[FX_Escore],Gdansk_result[[Category]:[Category]],"senior",Gdansk_result[FX_Escore],"&lt;&gt;0")</f>
        <v>6.7235294117647069</v>
      </c>
      <c r="F39" s="12" cm="1">
        <f t="array" ref="F39">_xlfn.STDEV.S(_xlfn._xlws.FILTER(_xlfn._xlws.FILTER(Gdansk_result[FX_Escore],Gdansk_result[Category]="senior",""),_xlfn._xlws.FILTER(Gdansk_result[FX_Escore],Gdansk_result[Category]="senior","")&lt;&gt;0,""))</f>
        <v>0.87126302842819747</v>
      </c>
      <c r="G39" s="12">
        <f>AVERAGEIFS(Gdansk_result[FX_total_score],Gdansk_result[[Category]:[Category]],"senior",Gdansk_result[FX_total_score],"&lt;&gt;0")</f>
        <v>11.000000000000002</v>
      </c>
      <c r="H39" s="12" cm="1">
        <f t="array" ref="H39">_xlfn.STDEV.S(_xlfn._xlws.FILTER(_xlfn._xlws.FILTER(Gdansk_result[FX_total_score],Gdansk_result[Category]="senior",""),_xlfn._xlws.FILTER(Gdansk_result[FX_total_score],Gdansk_result[Category]="senior","")&lt;&gt;0,""))</f>
        <v>0.98915999716931546</v>
      </c>
      <c r="I39" s="12" cm="1">
        <f t="array" ref="I39">MAX(_xlfn._xlws.FILTER(Gdansk_result[FX_total_score],Gdansk_result[Category]="senior"))</f>
        <v>12.8</v>
      </c>
      <c r="J39" s="10" t="str" cm="1">
        <f t="array" ref="J39">IF(COUNTIFS(Gdansk_result[FX_total_score],I39,Gdansk_result[Category],"senior")&gt;1,_xlfn.XLOOKUP(I39,_xlfn._xlws.FILTER(Gdansk_result[FX_total_score],Gdansk_result[Category]="senior"),_xlfn._xlws.FILTER(Gdansk_result[Name],Gdansk_result[Category]="senior"),0)&amp;" and "&amp;(COUNTIFS(Gdansk_result[FX_total_score],I39,Gdansk_result[Category],"senior")-1)&amp;" more",_xlfn.XLOOKUP(I39,_xlfn._xlws.FILTER(Gdansk_result[FX_total_score],Gdansk_result[Category]="senior"),_xlfn._xlws.FILTER(Gdansk_result[Name],Gdansk_result[Category]="senior"),0))</f>
        <v>GARNCZAREK Kacper</v>
      </c>
      <c r="V39" s="5"/>
      <c r="W39" s="5"/>
      <c r="X39" s="5"/>
      <c r="Y39" s="5"/>
      <c r="Z39" s="5"/>
      <c r="AA39" s="5"/>
      <c r="AB39" s="5"/>
      <c r="AN39" t="s">
        <v>59</v>
      </c>
      <c r="AO39" t="s">
        <v>60</v>
      </c>
      <c r="AP39">
        <v>2002</v>
      </c>
      <c r="AQ39" t="s">
        <v>62</v>
      </c>
      <c r="AR39" t="s">
        <v>306</v>
      </c>
      <c r="AS39" t="s">
        <v>352</v>
      </c>
      <c r="AT39" t="s">
        <v>242</v>
      </c>
      <c r="AU39" t="s">
        <v>311</v>
      </c>
      <c r="AV39">
        <v>6.9</v>
      </c>
    </row>
    <row r="40" spans="1:48" ht="35.25" customHeight="1" x14ac:dyDescent="0.25">
      <c r="A40" s="2" t="s">
        <v>60</v>
      </c>
      <c r="B40" s="10" t="s">
        <v>242</v>
      </c>
      <c r="C40" s="11">
        <f>AVERAGEIFS(Gdansk_result[HB_Dscore],Gdansk_result[[Category]:[Category]],"senior",Gdansk_result[HB_Dscore],"&lt;&gt;0")</f>
        <v>3.2461538461538471</v>
      </c>
      <c r="D40" s="11" cm="1">
        <f t="array" ref="D40">_xlfn.STDEV.S(_xlfn._xlws.FILTER(_xlfn._xlws.FILTER(Gdansk_result[HB_Dscore],Gdansk_result[Category]="senior",""),_xlfn._xlws.FILTER(Gdansk_result[HB_Dscore],Gdansk_result[Category]="senior","")&lt;&gt;0,""))</f>
        <v>0.96230226074016711</v>
      </c>
      <c r="E40" s="12">
        <f>AVERAGEIFS(Gdansk_result[HB_Escore],Gdansk_result[[Category]:[Category]],"senior",Gdansk_result[HB_Escore],"&lt;&gt;0")</f>
        <v>6.6769230769230754</v>
      </c>
      <c r="F40" s="12" cm="1">
        <f t="array" ref="F40">_xlfn.STDEV.S(_xlfn._xlws.FILTER(_xlfn._xlws.FILTER(Gdansk_result[HB_Escore],Gdansk_result[Category]="senior",""),_xlfn._xlws.FILTER(Gdansk_result[HB_Escore],Gdansk_result[Category]="senior","")&lt;&gt;0,""))</f>
        <v>2.0757142731093214</v>
      </c>
      <c r="G40" s="12">
        <f>AVERAGEIFS(Gdansk_result[HB_total_score],Gdansk_result[[Category]:[Category]],"senior",Gdansk_result[HB_total_score],"&lt;&gt;0")</f>
        <v>9.9230769230769251</v>
      </c>
      <c r="H40" s="12" cm="1">
        <f t="array" ref="H40">_xlfn.STDEV.S(_xlfn._xlws.FILTER(_xlfn._xlws.FILTER(Gdansk_result[HB_total_score],Gdansk_result[Category]="senior",""),_xlfn._xlws.FILTER(Gdansk_result[HB_total_score],Gdansk_result[Category]="senior","")&lt;&gt;0,""))</f>
        <v>2.606131822629667</v>
      </c>
      <c r="I40" s="12" cm="1">
        <f t="array" ref="I40">MAX(_xlfn._xlws.FILTER(Gdansk_result[HB_total_score],Gdansk_result[Category]="senior"))</f>
        <v>12.2</v>
      </c>
      <c r="J40" s="10" t="str" cm="1">
        <f t="array" ref="J40">IF(COUNTIFS(Gdansk_result[HB_total_score],I40,Gdansk_result[Category],"senior")&gt;1,_xlfn.XLOOKUP(I40,_xlfn._xlws.FILTER(Gdansk_result[HB_total_score],Gdansk_result[Category]="senior"),_xlfn._xlws.FILTER(Gdansk_result[Name],Gdansk_result[Category]="senior"),0)&amp;" and "&amp;(COUNTIFS(Gdansk_result[HB_total_score],I40,Gdansk_result[Category],"senior")-1)&amp;" more",_xlfn.XLOOKUP(I40,_xlfn._xlws.FILTER(Gdansk_result[HB_total_score],Gdansk_result[Category]="senior"),_xlfn._xlws.FILTER(Gdansk_result[Name],Gdansk_result[Category]="senior"),0))</f>
        <v>SASNAL Filip</v>
      </c>
      <c r="AN40" t="s">
        <v>59</v>
      </c>
      <c r="AO40" t="s">
        <v>60</v>
      </c>
      <c r="AP40">
        <v>2002</v>
      </c>
      <c r="AQ40" t="s">
        <v>62</v>
      </c>
      <c r="AR40" t="s">
        <v>306</v>
      </c>
      <c r="AS40" t="s">
        <v>352</v>
      </c>
      <c r="AT40" t="s">
        <v>242</v>
      </c>
      <c r="AU40" t="s">
        <v>268</v>
      </c>
      <c r="AV40">
        <v>11.8</v>
      </c>
    </row>
    <row r="41" spans="1:48" ht="35.25" customHeight="1" x14ac:dyDescent="0.25">
      <c r="A41" s="2" t="s">
        <v>60</v>
      </c>
      <c r="B41" s="10" t="s">
        <v>241</v>
      </c>
      <c r="C41" s="11">
        <f>AVERAGEIFS(Gdansk_result[PB_Dscore],Gdansk_result[[Category]:[Category]],"senior",Gdansk_result[PB_Dscore],"&lt;&gt;0")</f>
        <v>3.5117647058823538</v>
      </c>
      <c r="D41" s="11" cm="1">
        <f t="array" ref="D41">_xlfn.STDEV.S(_xlfn._xlws.FILTER(_xlfn._xlws.FILTER(Gdansk_result[PB_Dscore],Gdansk_result[Category]="senior",""),_xlfn._xlws.FILTER(Gdansk_result[PB_Dscore],Gdansk_result[Category]="senior","")&lt;&gt;0,""))</f>
        <v>0.82906751303887405</v>
      </c>
      <c r="E41" s="12">
        <f>AVERAGEIFS(Gdansk_result[PB_Escore],Gdansk_result[[Category]:[Category]],"senior",Gdansk_result[PB_Escore],"&lt;&gt;0")</f>
        <v>7.2058823529411784</v>
      </c>
      <c r="F41" s="12" cm="1">
        <f t="array" ref="F41">_xlfn.STDEV.S(_xlfn._xlws.FILTER(_xlfn._xlws.FILTER(Gdansk_result[PB_Escore],Gdansk_result[Category]="senior",""),_xlfn._xlws.FILTER(Gdansk_result[PB_Escore],Gdansk_result[Category]="senior","")&lt;&gt;0,""))</f>
        <v>1.7209991967732237</v>
      </c>
      <c r="G41" s="12">
        <f>AVERAGEIFS(Gdansk_result[PB_total_score],Gdansk_result[[Category]:[Category]],"senior",Gdansk_result[PB_total_score],"&lt;&gt;0")</f>
        <v>10.717647058823529</v>
      </c>
      <c r="H41" s="12" cm="1">
        <f t="array" ref="H41">_xlfn.STDEV.S(_xlfn._xlws.FILTER(_xlfn._xlws.FILTER(Gdansk_result[PB_total_score],Gdansk_result[Category]="senior",""),_xlfn._xlws.FILTER(Gdansk_result[PB_total_score],Gdansk_result[Category]="senior","")&lt;&gt;0,""))</f>
        <v>2.0329274747631998</v>
      </c>
      <c r="I41" s="12" cm="1">
        <f t="array" ref="I41">MAX(_xlfn._xlws.FILTER(Gdansk_result[PB_total_score],Gdansk_result[Category]="senior"))</f>
        <v>13.4</v>
      </c>
      <c r="J41" s="10" t="str" cm="1">
        <f t="array" ref="J41">IF(COUNTIFS(Gdansk_result[PB_total_score],I41,Gdansk_result[Category],"senior")&gt;1,_xlfn.XLOOKUP(I41,_xlfn._xlws.FILTER(Gdansk_result[PB_total_score],Gdansk_result[Category]="senior"),_xlfn._xlws.FILTER(Gdansk_result[Name],Gdansk_result[Category]="senior"),0)&amp;" and "&amp;(COUNTIFS(Gdansk_result[PB_total_score],I41,Gdansk_result[Category],"senior")-1)&amp;" more",_xlfn.XLOOKUP(I41,_xlfn._xlws.FILTER(Gdansk_result[PB_total_score],Gdansk_result[Category]="senior"),_xlfn._xlws.FILTER(Gdansk_result[Name],Gdansk_result[Category]="senior"),0))</f>
        <v>SASNAL Filip</v>
      </c>
      <c r="AN41" t="s">
        <v>59</v>
      </c>
      <c r="AO41" t="s">
        <v>60</v>
      </c>
      <c r="AP41">
        <v>2002</v>
      </c>
      <c r="AQ41" t="s">
        <v>62</v>
      </c>
      <c r="AR41" t="s">
        <v>306</v>
      </c>
      <c r="AS41" t="s">
        <v>352</v>
      </c>
      <c r="AT41" t="s">
        <v>243</v>
      </c>
      <c r="AU41" t="s">
        <v>337</v>
      </c>
      <c r="AV41">
        <v>27.700000000000003</v>
      </c>
    </row>
    <row r="42" spans="1:48" ht="35.25" customHeight="1" x14ac:dyDescent="0.25">
      <c r="A42" s="2" t="s">
        <v>60</v>
      </c>
      <c r="B42" s="10" t="s">
        <v>238</v>
      </c>
      <c r="C42" s="11">
        <f>AVERAGEIFS(Gdansk_result[PH_Dscore],Gdansk_result[[Category]:[Category]],"senior",Gdansk_result[PH_Dscore],"&lt;&gt;0")</f>
        <v>3.5388888888888892</v>
      </c>
      <c r="D42" s="11" cm="1">
        <f t="array" ref="D42">_xlfn.STDEV.S(_xlfn._xlws.FILTER(_xlfn._xlws.FILTER(Gdansk_result[PH_Dscore],Gdansk_result[Category]="senior",""),_xlfn._xlws.FILTER(Gdansk_result[PH_Dscore],Gdansk_result[Category]="senior","")&lt;&gt;0,""))</f>
        <v>0.70555684215826386</v>
      </c>
      <c r="E42" s="12">
        <f>AVERAGEIFS(Gdansk_result[PH_Escore],Gdansk_result[[Category]:[Category]],"senior",Gdansk_result[PH_Escore],"&lt;&gt;0")</f>
        <v>6.7555555555555555</v>
      </c>
      <c r="F42" s="12" cm="1">
        <f t="array" ref="F42">_xlfn.STDEV.S(_xlfn._xlws.FILTER(_xlfn._xlws.FILTER(Gdansk_result[PH_Escore],Gdansk_result[Category]="senior",""),_xlfn._xlws.FILTER(Gdansk_result[PH_Escore],Gdansk_result[Category]="senior","")&lt;&gt;0,""))</f>
        <v>1.1495381283353494</v>
      </c>
      <c r="G42" s="12">
        <f>AVERAGEIFS(Gdansk_result[PH_Total_Score],Gdansk_result[[Category]:[Category]],"senior",Gdansk_result[PH_Total_Score],"&lt;&gt;0")</f>
        <v>10.294444444444444</v>
      </c>
      <c r="H42" s="12" cm="1">
        <f t="array" ref="H42">_xlfn.STDEV.S(_xlfn._xlws.FILTER(_xlfn._xlws.FILTER(Gdansk_result[PH_Total_Score],Gdansk_result[Category]="senior",""),_xlfn._xlws.FILTER(Gdansk_result[PH_Total_Score],Gdansk_result[Category]="senior","")&lt;&gt;0,""))</f>
        <v>1.4069040780974811</v>
      </c>
      <c r="I42" s="12" cm="1">
        <f t="array" ref="I42">MAX(_xlfn._xlws.FILTER(Gdansk_result[PH_Total_Score],Gdansk_result[Category]="senior"))</f>
        <v>12.5</v>
      </c>
      <c r="J42" s="10" t="str" cm="1">
        <f t="array" ref="J42">IF(COUNTIFS(Gdansk_result[PH_Total_Score],I42,Gdansk_result[Category],"senior")&gt;1,_xlfn.XLOOKUP(I42,_xlfn._xlws.FILTER(Gdansk_result[PH_Total_Score],Gdansk_result[Category]="senior"),_xlfn._xlws.FILTER(Gdansk_result[Name],Gdansk_result[Category]="senior"),0)&amp;" and "&amp;(COUNTIFS(Gdansk_result[PH_Total_Score],I42,Gdansk_result[Category],"senior")-1)&amp;" more",_xlfn.XLOOKUP(I42,_xlfn._xlws.FILTER(Gdansk_result[PH_Total_Score],Gdansk_result[Category]="senior"),_xlfn._xlws.FILTER(Gdansk_result[Name],Gdansk_result[Category]="senior"),0))</f>
        <v>LAKHIN Yaroslav</v>
      </c>
      <c r="AN42" t="s">
        <v>59</v>
      </c>
      <c r="AO42" t="s">
        <v>60</v>
      </c>
      <c r="AP42">
        <v>2002</v>
      </c>
      <c r="AQ42" t="s">
        <v>62</v>
      </c>
      <c r="AR42" t="s">
        <v>306</v>
      </c>
      <c r="AS42" t="s">
        <v>352</v>
      </c>
      <c r="AT42" t="s">
        <v>243</v>
      </c>
      <c r="AU42" t="s">
        <v>338</v>
      </c>
      <c r="AV42">
        <v>44.800000000000004</v>
      </c>
    </row>
    <row r="43" spans="1:48" ht="35.25" customHeight="1" x14ac:dyDescent="0.25">
      <c r="A43" s="2" t="s">
        <v>60</v>
      </c>
      <c r="B43" s="10" t="s">
        <v>239</v>
      </c>
      <c r="C43" s="11">
        <f>AVERAGEIFS(Gdansk_result[SR_Dscore],Gdansk_result[[Category]:[Category]],"senior",Gdansk_result[SR_Dscore],"&lt;&gt;0")</f>
        <v>3.5400000000000005</v>
      </c>
      <c r="D43" s="11" cm="1">
        <f t="array" ref="D43">_xlfn.STDEV.S(_xlfn._xlws.FILTER(_xlfn._xlws.FILTER(Gdansk_result[SR_Dscore],Gdansk_result[Category]="senior",""),_xlfn._xlws.FILTER(Gdansk_result[SR_Dscore],Gdansk_result[Category]="senior","")&lt;&gt;0,""))</f>
        <v>0.78540253555558281</v>
      </c>
      <c r="E43" s="12">
        <f>AVERAGEIFS(Gdansk_result[SR_Escore],Gdansk_result[[Category]:[Category]],"senior",Gdansk_result[SR_Escore],"&lt;&gt;0")</f>
        <v>7.4866666666666672</v>
      </c>
      <c r="F43" s="12" cm="1">
        <f t="array" ref="F43">_xlfn.STDEV.S(_xlfn._xlws.FILTER(_xlfn._xlws.FILTER(Gdansk_result[SR_Escore],Gdansk_result[Category]="senior",""),_xlfn._xlws.FILTER(Gdansk_result[SR_Escore],Gdansk_result[Category]="senior","")&lt;&gt;0,""))</f>
        <v>0.84504155998106012</v>
      </c>
      <c r="G43" s="12">
        <f>AVERAGEIFS(Gdansk_result[SR_Total_Score],Gdansk_result[[Category]:[Category]],"senior",Gdansk_result[SR_Total_Score],"&lt;&gt;0")</f>
        <v>11.026666666666667</v>
      </c>
      <c r="H43" s="12" cm="1">
        <f t="array" ref="H43">_xlfn.STDEV.S(_xlfn._xlws.FILTER(_xlfn._xlws.FILTER(Gdansk_result[SR_Total_Score],Gdansk_result[Category]="senior",""),_xlfn._xlws.FILTER(Gdansk_result[SR_Total_Score],Gdansk_result[Category]="senior","")&lt;&gt;0,""))</f>
        <v>1.0832930395436913</v>
      </c>
      <c r="I43" s="12" cm="1">
        <f t="array" ref="I43">MAX(_xlfn._xlws.FILTER(Gdansk_result[SR_Total_Score],Gdansk_result[Category]="senior"))</f>
        <v>12.2</v>
      </c>
      <c r="J43" s="10" t="str" cm="1">
        <f t="array" ref="J43">IF(COUNTIFS(Gdansk_result[SR_Total_Score],I43,Gdansk_result[Category],"senior")&gt;1,_xlfn.XLOOKUP(I43,_xlfn._xlws.FILTER(Gdansk_result[SR_Total_Score],Gdansk_result[Category]="senior"),_xlfn._xlws.FILTER(Gdansk_result[Name],Gdansk_result[Category]="senior"),0)&amp;" and "&amp;(COUNTIFS(Gdansk_result[SR_Total_Score],I43,Gdansk_result[Category],"senior")-1)&amp;" more",_xlfn.XLOOKUP(I43,_xlfn._xlws.FILTER(Gdansk_result[SR_Total_Score],Gdansk_result[Category]="senior"),_xlfn._xlws.FILTER(Gdansk_result[Name],Gdansk_result[Category]="senior"),0))</f>
        <v>SASNAL Filip</v>
      </c>
      <c r="AN43" t="s">
        <v>59</v>
      </c>
      <c r="AO43" t="s">
        <v>60</v>
      </c>
      <c r="AP43">
        <v>2002</v>
      </c>
      <c r="AQ43" t="s">
        <v>62</v>
      </c>
      <c r="AR43" t="s">
        <v>306</v>
      </c>
      <c r="AS43" t="s">
        <v>352</v>
      </c>
      <c r="AT43" t="s">
        <v>243</v>
      </c>
      <c r="AU43" t="s">
        <v>349</v>
      </c>
      <c r="AV43">
        <v>72.5</v>
      </c>
    </row>
    <row r="44" spans="1:48" ht="35.25" customHeight="1" x14ac:dyDescent="0.25">
      <c r="A44" s="2" t="s">
        <v>60</v>
      </c>
      <c r="B44" s="10" t="s">
        <v>240</v>
      </c>
      <c r="C44" s="11">
        <f>AVERAGEIFS(Gdansk_result[VT_Dscore],Gdansk_result[[Category]:[Category]],"senior",Gdansk_result[VT_Dscore],"&lt;&gt;0")</f>
        <v>3.8399999999999994</v>
      </c>
      <c r="D44" s="11" cm="1">
        <f t="array" ref="D44">_xlfn.STDEV.S(_xlfn._xlws.FILTER(_xlfn._xlws.FILTER(Gdansk_result[VT_Dscore],Gdansk_result[Category]="senior",""),_xlfn._xlws.FILTER(Gdansk_result[VT_Dscore],Gdansk_result[Category]="senior","")&lt;&gt;0,""))</f>
        <v>0.89186802354865113</v>
      </c>
      <c r="E44" s="12">
        <f>AVERAGEIFS(Gdansk_result[VT_Escore],Gdansk_result[[Category]:[Category]],"senior",Gdansk_result[VT_Escore],"&lt;&gt;0")</f>
        <v>8.4666666666666668</v>
      </c>
      <c r="F44" s="12" cm="1">
        <f t="array" ref="F44">_xlfn.STDEV.S(_xlfn._xlws.FILTER(_xlfn._xlws.FILTER(Gdansk_result[VT_Escore],Gdansk_result[Category]="senior",""),_xlfn._xlws.FILTER(Gdansk_result[VT_Escore],Gdansk_result[Category]="senior","")&lt;&gt;0,""))</f>
        <v>0.33309515300043158</v>
      </c>
      <c r="G44" s="12">
        <f>AVERAGEIFS(Gdansk_result[VT_total_score],Gdansk_result[[Category]:[Category]],"senior",Gdansk_result[VT_total_score],"&lt;&gt;0")</f>
        <v>12.306666666666667</v>
      </c>
      <c r="H44" s="12" cm="1">
        <f t="array" ref="H44">_xlfn.STDEV.S(_xlfn._xlws.FILTER(_xlfn._xlws.FILTER(Gdansk_result[VT_total_score],Gdansk_result[Category]="senior",""),_xlfn._xlws.FILTER(Gdansk_result[VT_total_score],Gdansk_result[Category]="senior","")&lt;&gt;0,""))</f>
        <v>0.98159248648500241</v>
      </c>
      <c r="I44" s="12" cm="1">
        <f t="array" ref="I44">MAX(_xlfn._xlws.FILTER(Gdansk_result[VT_total_score],Gdansk_result[Category]="senior"))</f>
        <v>13.4</v>
      </c>
      <c r="J44" s="10" t="str" cm="1">
        <f t="array" ref="J44">IF(COUNTIFS(Gdansk_result[VT_total_score],I44,Gdansk_result[Category],"senior")&gt;1,_xlfn.XLOOKUP(I44,_xlfn._xlws.FILTER(Gdansk_result[VT_total_score],Gdansk_result[Category]="senior"),_xlfn._xlws.FILTER(Gdansk_result[Name],Gdansk_result[Category]="senior"),0)&amp;" and "&amp;(COUNTIFS(Gdansk_result[VT_total_score],I44,Gdansk_result[Category],"senior")-1)&amp;" more",_xlfn.XLOOKUP(I44,_xlfn._xlws.FILTER(Gdansk_result[VT_total_score],Gdansk_result[Category]="senior"),_xlfn._xlws.FILTER(Gdansk_result[Name],Gdansk_result[Category]="senior"),0))</f>
        <v>KORNIICHUK Yehor</v>
      </c>
      <c r="AN44" t="s">
        <v>116</v>
      </c>
      <c r="AO44" t="s">
        <v>60</v>
      </c>
      <c r="AP44">
        <v>1996</v>
      </c>
      <c r="AQ44" t="s">
        <v>62</v>
      </c>
      <c r="AR44" t="s">
        <v>306</v>
      </c>
      <c r="AS44" t="s">
        <v>352</v>
      </c>
      <c r="AT44" t="s">
        <v>218</v>
      </c>
      <c r="AU44" t="s">
        <v>310</v>
      </c>
      <c r="AV44">
        <v>5.8</v>
      </c>
    </row>
    <row r="45" spans="1:48" ht="35.25" customHeight="1" x14ac:dyDescent="0.25">
      <c r="A45" s="2" t="s">
        <v>26</v>
      </c>
      <c r="B45" s="10" t="s">
        <v>243</v>
      </c>
      <c r="C45" s="11">
        <f>AVERAGEIFS(Gdansk_result[AA_Dscore],Gdansk_result[[Category]:[Category]],"junior",Gdansk_result[AA_Dscore],"&lt;&gt;0",Gdansk_result[All Around],"Yes")</f>
        <v>17.400000000000002</v>
      </c>
      <c r="D45" s="11" cm="1">
        <f t="array" ref="D45">_xlfn.STDEV.S(_xlfn._xlws.FILTER(Gdansk_result[AA_Dscore],(Gdansk_result[Category]="junior")*(Gdansk_result[All Around]="Yes")))</f>
        <v>2.6955518915428121</v>
      </c>
      <c r="E45" s="12">
        <f>AVERAGEIFS(Gdansk_result[AA_Escore],Gdansk_result[[Category]:[Category]],"junior",Gdansk_result[AA_Escore],"&lt;&gt;0",Gdansk_result[All Around],"yes")</f>
        <v>46.172727272727279</v>
      </c>
      <c r="F45" s="12" cm="1">
        <f t="array" ref="F45">_xlfn.STDEV.S(_xlfn._xlws.FILTER(Gdansk_result[AA_Escore],(Gdansk_result[Category]="junior")*(Gdansk_result[All Around]="Yes")))</f>
        <v>2.6736083890842779</v>
      </c>
      <c r="G45" s="12">
        <f>AVERAGEIFS(Gdansk_result[Total_Score],Gdansk_result[[Category]:[Category]],"junior",Gdansk_result[Total_Score],"&lt;&gt;0",Gdansk_result[All Around],"yes")</f>
        <v>63.572727272727278</v>
      </c>
      <c r="H45" s="12" cm="1">
        <f t="array" ref="H45">_xlfn.STDEV.S(_xlfn._xlws.FILTER(Gdansk_result[Total_Score],(Gdansk_result[Category]="junior")*(Gdansk_result[All Around]="Yes")))</f>
        <v>4.1854727114367645</v>
      </c>
      <c r="I45" s="12" cm="1">
        <f t="array" ref="I45">MAX(_xlfn._xlws.FILTER(Gdansk_result[Total_Score],Gdansk_result[Category]="junior"))</f>
        <v>70</v>
      </c>
      <c r="J45" s="10" t="str" cm="1">
        <f t="array" ref="J45">IF(COUNTIFS(Gdansk_result[Total_Score],I45,Gdansk_result[Category],"junior")&gt;1,_xlfn.XLOOKUP(I45,_xlfn._xlws.FILTER(Gdansk_result[Total_Score],Gdansk_result[Category]="junior"),_xlfn._xlws.FILTER(Gdansk_result[Name],Gdansk_result[Category]="junior"),0)&amp;" and "&amp;(COUNTIFS(Gdansk_result[Total_Score],I45,Gdansk_result[Category],"junior")-1)&amp;" more",_xlfn.XLOOKUP(I45,_xlfn._xlws.FILTER(Gdansk_result[Total_Score],Gdansk_result[Category]="junior"),_xlfn._xlws.FILTER(Gdansk_result[Name],Gdansk_result[Category]="junior"),0))</f>
        <v>LEKHAC Tomasz</v>
      </c>
      <c r="AN45" t="s">
        <v>116</v>
      </c>
      <c r="AO45" t="s">
        <v>60</v>
      </c>
      <c r="AP45">
        <v>1996</v>
      </c>
      <c r="AQ45" t="s">
        <v>62</v>
      </c>
      <c r="AR45" t="s">
        <v>306</v>
      </c>
      <c r="AS45" t="s">
        <v>352</v>
      </c>
      <c r="AT45" t="s">
        <v>218</v>
      </c>
      <c r="AU45" t="s">
        <v>311</v>
      </c>
      <c r="AV45">
        <v>5.4</v>
      </c>
    </row>
    <row r="46" spans="1:48" ht="35.25" customHeight="1" x14ac:dyDescent="0.25">
      <c r="A46" s="2" t="s">
        <v>26</v>
      </c>
      <c r="B46" s="10" t="s">
        <v>218</v>
      </c>
      <c r="C46" s="11">
        <f>AVERAGEIFS(Gdansk_result[FX_Dscore],Gdansk_result[[Category]:[Category]],"junior",Gdansk_result[FX_Dscore],"&lt;&gt;0")</f>
        <v>3.5461538461538469</v>
      </c>
      <c r="D46" s="11" cm="1">
        <f t="array" ref="D46">_xlfn.STDEV.S(_xlfn._xlws.FILTER(Gdansk_result[FX_Dscore],(Gdansk_result[Category]="junior")*(Gdansk_result[FX_Dscore]&gt;0)))</f>
        <v>0.47366546671566478</v>
      </c>
      <c r="E46" s="12">
        <f>AVERAGEIFS(Gdansk_result[FX_Escore],Gdansk_result[[Category]:[Category]],"junior",Gdansk_result[FX_Escore],"&lt;&gt;0")</f>
        <v>7.2692307692307692</v>
      </c>
      <c r="F46" s="12" cm="1">
        <f t="array" ref="F46">_xlfn.STDEV.S(_xlfn._xlws.FILTER(Gdansk_result[FX_Escore],(Gdansk_result[Category]="junior")*(Gdansk_result[FX_Escore]&gt;0)))</f>
        <v>0.610170215847752</v>
      </c>
      <c r="G46" s="12">
        <f>AVERAGEIFS(Gdansk_result[FX_total_score],Gdansk_result[[Category]:[Category]],"junior",Gdansk_result[FX_total_score],"&lt;&gt;0")</f>
        <v>10.815384615384614</v>
      </c>
      <c r="H46" s="12" cm="1">
        <f t="array" ref="H46">_xlfn.STDEV.S(_xlfn._xlws.FILTER(Gdansk_result[FX_total_score],(Gdansk_result[Category]="junior")*(Gdansk_result[FX_total_score]&gt;0)))</f>
        <v>0.77765261508181793</v>
      </c>
      <c r="I46" s="12" cm="1">
        <f t="array" ref="I46">MAX(_xlfn._xlws.FILTER(Gdansk_result[FX_total_score],Gdansk_result[Category]="junior"))</f>
        <v>11.9</v>
      </c>
      <c r="J46" s="10" t="str" cm="1">
        <f t="array" ref="J46">IF(COUNTIFS(Gdansk_result[FX_total_score],I46,Gdansk_result[Category],"junior")&gt;1,_xlfn.XLOOKUP(I46,_xlfn._xlws.FILTER(Gdansk_result[FX_total_score],Gdansk_result[Category]="junior"),_xlfn._xlws.FILTER(Gdansk_result[Name],Gdansk_result[Category]="junior"),0)&amp;" and "&amp;(COUNTIFS(Gdansk_result[FX_total_score],I46,Gdansk_result[Category],"junior")-1)&amp;" more",_xlfn.XLOOKUP(I46,_xlfn._xlws.FILTER(Gdansk_result[FX_total_score],Gdansk_result[Category]="junior"),_xlfn._xlws.FILTER(Gdansk_result[Name],Gdansk_result[Category]="junior"),0))</f>
        <v>LEKHAC Tomasz and 2 more</v>
      </c>
      <c r="AN46" t="s">
        <v>116</v>
      </c>
      <c r="AO46" t="s">
        <v>60</v>
      </c>
      <c r="AP46">
        <v>1996</v>
      </c>
      <c r="AQ46" t="s">
        <v>62</v>
      </c>
      <c r="AR46" t="s">
        <v>306</v>
      </c>
      <c r="AS46" t="s">
        <v>352</v>
      </c>
      <c r="AT46" t="s">
        <v>218</v>
      </c>
      <c r="AU46" t="s">
        <v>268</v>
      </c>
      <c r="AV46">
        <v>11.2</v>
      </c>
    </row>
    <row r="47" spans="1:48" ht="35.25" customHeight="1" x14ac:dyDescent="0.25">
      <c r="A47" s="2" t="s">
        <v>26</v>
      </c>
      <c r="B47" s="10" t="s">
        <v>242</v>
      </c>
      <c r="C47" s="11">
        <f>AVERAGEIFS(Gdansk_result[HB_Dscore],Gdansk_result[[Category]:[Category]],"junior",Gdansk_result[HB_Dscore],"&lt;&gt;0")</f>
        <v>2.3916666666666671</v>
      </c>
      <c r="D47" s="11" cm="1">
        <f t="array" ref="D47">_xlfn.STDEV.S(_xlfn._xlws.FILTER(Gdansk_result[HB_Dscore],(Gdansk_result[Category]="junior")*(Gdansk_result[HB_Dscore]&gt;0)))</f>
        <v>0.53164980499527492</v>
      </c>
      <c r="E47" s="12">
        <f>AVERAGEIFS(Gdansk_result[HB_Escore],Gdansk_result[[Category]:[Category]],"junior",Gdansk_result[HB_Escore],"&lt;&gt;0")</f>
        <v>7.0666666666666673</v>
      </c>
      <c r="F47" s="12" cm="1">
        <f t="array" ref="F47">_xlfn.STDEV.S(_xlfn._xlws.FILTER(Gdansk_result[HB_Escore],(Gdansk_result[Category]="junior")*(Gdansk_result[HB_Escore]&gt;0)))</f>
        <v>1.6554775929036456</v>
      </c>
      <c r="G47" s="12">
        <f>AVERAGEIFS(Gdansk_result[HB_total_score],Gdansk_result[[Category]:[Category]],"junior",Gdansk_result[HB_total_score],"&lt;&gt;0")</f>
        <v>9.4583333333333321</v>
      </c>
      <c r="H47" s="12" cm="1">
        <f t="array" ref="H47">_xlfn.STDEV.S(_xlfn._xlws.FILTER(Gdansk_result[HB_total_score],(Gdansk_result[Category]="junior")*(Gdansk_result[HB_total_score]&gt;0)))</f>
        <v>1.8860532785944848</v>
      </c>
      <c r="I47" s="12" cm="1">
        <f t="array" ref="I47">MAX(_xlfn._xlws.FILTER(Gdansk_result[HB_total_score],Gdansk_result[Category]="junior"))</f>
        <v>12</v>
      </c>
      <c r="J47" s="10" t="str" cm="1">
        <f t="array" ref="J47">IF(COUNTIFS(Gdansk_result[HB_total_score],I47,Gdansk_result[Category],"junior")&gt;1,_xlfn.XLOOKUP(I47,_xlfn._xlws.FILTER(Gdansk_result[HB_total_score],Gdansk_result[Category]="junior"),_xlfn._xlws.FILTER(Gdansk_result[Name],Gdansk_result[Category]="junior"),0)&amp;" and "&amp;(COUNTIFS(Gdansk_result[HB_total_score],I47,Gdansk_result[Category],"junior")-1)&amp;" more",_xlfn.XLOOKUP(I47,_xlfn._xlws.FILTER(Gdansk_result[HB_total_score],Gdansk_result[Category]="junior"),_xlfn._xlws.FILTER(Gdansk_result[Name],Gdansk_result[Category]="junior"),0))</f>
        <v>LEKHAC Tomasz</v>
      </c>
      <c r="AN47" t="s">
        <v>116</v>
      </c>
      <c r="AO47" t="s">
        <v>60</v>
      </c>
      <c r="AP47">
        <v>1996</v>
      </c>
      <c r="AQ47" t="s">
        <v>62</v>
      </c>
      <c r="AR47" t="s">
        <v>306</v>
      </c>
      <c r="AS47" t="s">
        <v>352</v>
      </c>
      <c r="AT47" t="s">
        <v>238</v>
      </c>
      <c r="AU47" t="s">
        <v>310</v>
      </c>
      <c r="AV47">
        <v>4.0999999999999996</v>
      </c>
    </row>
    <row r="48" spans="1:48" ht="35.25" customHeight="1" x14ac:dyDescent="0.25">
      <c r="A48" s="2" t="s">
        <v>26</v>
      </c>
      <c r="B48" s="10" t="s">
        <v>241</v>
      </c>
      <c r="C48" s="11">
        <f>AVERAGEIFS(Gdansk_result[PB_Dscore],Gdansk_result[[Category]:[Category]],"junior",Gdansk_result[PB_Dscore],"&lt;&gt;0")</f>
        <v>2.9538461538461531</v>
      </c>
      <c r="D48" s="11" cm="1">
        <f t="array" ref="D48">_xlfn.STDEV.S(_xlfn._xlws.FILTER(Gdansk_result[PB_Dscore],(Gdansk_result[Category]="junior")*(Gdansk_result[PB_Dscore]&gt;0)))</f>
        <v>0.57244415246582303</v>
      </c>
      <c r="E48" s="12">
        <f>AVERAGEIFS(Gdansk_result[PB_Escore],Gdansk_result[[Category]:[Category]],"junior",Gdansk_result[PB_Escore],"&lt;&gt;0")</f>
        <v>8.2692307692307683</v>
      </c>
      <c r="F48" s="12" cm="1">
        <f t="array" ref="F48">_xlfn.STDEV.S(_xlfn._xlws.FILTER(Gdansk_result[PB_Escore],(Gdansk_result[Category]="junior")*(Gdansk_result[PB_Escore]&gt;0)))</f>
        <v>0.66003107929932037</v>
      </c>
      <c r="G48" s="12">
        <f>AVERAGEIFS(Gdansk_result[PB_total_score],Gdansk_result[[Category]:[Category]],"junior",Gdansk_result[PB_total_score],"&lt;&gt;0")</f>
        <v>11.223076923076924</v>
      </c>
      <c r="H48" s="12" cm="1">
        <f t="array" ref="H48">_xlfn.STDEV.S(_xlfn._xlws.FILTER(Gdansk_result[PB_total_score],(Gdansk_result[Category]="junior")*(Gdansk_result[PB_total_score]&gt;0)))</f>
        <v>0.52939249168873792</v>
      </c>
      <c r="I48" s="12" cm="1">
        <f t="array" ref="I48">MAX(_xlfn._xlws.FILTER(Gdansk_result[PB_total_score],Gdansk_result[Category]="junior"))</f>
        <v>12</v>
      </c>
      <c r="J48" s="10" t="str" cm="1">
        <f t="array" ref="J48">IF(COUNTIFS(Gdansk_result[PB_total_score],I48,Gdansk_result[Category],"junior")&gt;1,_xlfn.XLOOKUP(I48,_xlfn._xlws.FILTER(Gdansk_result[PB_total_score],Gdansk_result[Category]="junior"),_xlfn._xlws.FILTER(Gdansk_result[Name],Gdansk_result[Category]="junior"),0)&amp;" and "&amp;(COUNTIFS(Gdansk_result[PB_total_score],I48,Gdansk_result[Category],"junior")-1)&amp;" more",_xlfn.XLOOKUP(I48,_xlfn._xlws.FILTER(Gdansk_result[PB_total_score],Gdansk_result[Category]="junior"),_xlfn._xlws.FILTER(Gdansk_result[Name],Gdansk_result[Category]="junior"),0))</f>
        <v>KOPERSKI Filip</v>
      </c>
      <c r="AN48" t="s">
        <v>116</v>
      </c>
      <c r="AO48" t="s">
        <v>60</v>
      </c>
      <c r="AP48">
        <v>1996</v>
      </c>
      <c r="AQ48" t="s">
        <v>62</v>
      </c>
      <c r="AR48" t="s">
        <v>306</v>
      </c>
      <c r="AS48" t="s">
        <v>352</v>
      </c>
      <c r="AT48" t="s">
        <v>238</v>
      </c>
      <c r="AU48" t="s">
        <v>311</v>
      </c>
      <c r="AV48">
        <v>7.9</v>
      </c>
    </row>
    <row r="49" spans="1:48" ht="35.25" customHeight="1" x14ac:dyDescent="0.25">
      <c r="A49" s="2" t="s">
        <v>26</v>
      </c>
      <c r="B49" s="10" t="s">
        <v>238</v>
      </c>
      <c r="C49" s="11">
        <f>AVERAGEIFS(Gdansk_result[PH_Dscore],Gdansk_result[[Category]:[Category]],"junior",Gdansk_result[PH_Dscore],"&lt;&gt;0")</f>
        <v>3.0076923076923077</v>
      </c>
      <c r="D49" s="11" cm="1">
        <f t="array" ref="D49">_xlfn.STDEV.S(_xlfn._xlws.FILTER(Gdansk_result[PH_Dscore],(Gdansk_result[Category]="junior")*(Gdansk_result[PH_Dscore]&gt;0)))</f>
        <v>0.5950651763484095</v>
      </c>
      <c r="E49" s="12">
        <f>AVERAGEIFS(Gdansk_result[PH_Escore],Gdansk_result[[Category]:[Category]],"junior",Gdansk_result[PH_Escore],"&lt;&gt;0")</f>
        <v>7.0923076923076929</v>
      </c>
      <c r="F49" s="12" cm="1">
        <f t="array" ref="F49">_xlfn.STDEV.S(_xlfn._xlws.FILTER(Gdansk_result[PH_Escore],(Gdansk_result[Category]="junior")*(Gdansk_result[PH_Escore]&gt;0)))</f>
        <v>1.5190246533338123</v>
      </c>
      <c r="G49" s="12">
        <f>AVERAGEIFS(Gdansk_result[PH_Total_Score],Gdansk_result[[Category]:[Category]],"junior",Gdansk_result[PH_Total_Score],"&lt;&gt;0")</f>
        <v>10.099999999999998</v>
      </c>
      <c r="H49" s="12" cm="1">
        <f t="array" ref="H49">_xlfn.STDEV.S(_xlfn._xlws.FILTER(Gdansk_result[PH_Total_Score],(Gdansk_result[Category]="junior")*(Gdansk_result[PH_Total_Score]&gt;0)))</f>
        <v>1.9874606914351858</v>
      </c>
      <c r="I49" s="12" cm="1">
        <f t="array" ref="I49">MAX(_xlfn._xlws.FILTER(Gdansk_result[PH_Total_Score],Gdansk_result[Category]="junior"))</f>
        <v>12.5</v>
      </c>
      <c r="J49" s="10" t="str" cm="1">
        <f t="array" ref="J49">IF(COUNTIFS(Gdansk_result[PH_Total_Score],I49,Gdansk_result[Category],"junior")&gt;1,_xlfn.XLOOKUP(I49,_xlfn._xlws.FILTER(Gdansk_result[PH_Total_Score],Gdansk_result[Category]="junior"),_xlfn._xlws.FILTER(Gdansk_result[Name],Gdansk_result[Category]="junior"),0)&amp;" and "&amp;(COUNTIFS(Gdansk_result[PH_Total_Score],I49,Gdansk_result[Category],"junior")-1)&amp;" more",_xlfn.XLOOKUP(I49,_xlfn._xlws.FILTER(Gdansk_result[PH_Total_Score],Gdansk_result[Category]="junior"),_xlfn._xlws.FILTER(Gdansk_result[Name],Gdansk_result[Category]="junior"),0))</f>
        <v>LEKHAC Tomasz</v>
      </c>
      <c r="AN49" t="s">
        <v>116</v>
      </c>
      <c r="AO49" t="s">
        <v>60</v>
      </c>
      <c r="AP49">
        <v>1996</v>
      </c>
      <c r="AQ49" t="s">
        <v>62</v>
      </c>
      <c r="AR49" t="s">
        <v>306</v>
      </c>
      <c r="AS49" t="s">
        <v>352</v>
      </c>
      <c r="AT49" t="s">
        <v>238</v>
      </c>
      <c r="AU49" t="s">
        <v>268</v>
      </c>
      <c r="AV49">
        <v>12</v>
      </c>
    </row>
    <row r="50" spans="1:48" ht="35.25" customHeight="1" x14ac:dyDescent="0.25">
      <c r="A50" s="2" t="s">
        <v>26</v>
      </c>
      <c r="B50" s="10" t="s">
        <v>239</v>
      </c>
      <c r="C50" s="11">
        <f>AVERAGEIFS(Gdansk_result[SR_Dscore],Gdansk_result[[Category]:[Category]],"junior",Gdansk_result[SR_Dscore],"&lt;&gt;0")</f>
        <v>2.5363636363636357</v>
      </c>
      <c r="D50" s="11" cm="1">
        <f t="array" ref="D50">_xlfn.STDEV.S(_xlfn._xlws.FILTER(Gdansk_result[SR_Dscore],(Gdansk_result[Category]="junior")*(Gdansk_result[SR_Dscore]&gt;0)))</f>
        <v>0.59375538275072326</v>
      </c>
      <c r="E50" s="12">
        <f>AVERAGEIFS(Gdansk_result[SR_Escore],Gdansk_result[[Category]:[Category]],"junior",Gdansk_result[SR_Escore],"&lt;&gt;0")</f>
        <v>7.754545454545454</v>
      </c>
      <c r="F50" s="12" cm="1">
        <f t="array" ref="F50">_xlfn.STDEV.S(_xlfn._xlws.FILTER(Gdansk_result[SR_Escore],(Gdansk_result[Category]="junior")*(Gdansk_result[SR_Escore]&gt;0)))</f>
        <v>0.6593385114850131</v>
      </c>
      <c r="G50" s="12">
        <f>AVERAGEIFS(Gdansk_result[SR_Total_Score],Gdansk_result[[Category]:[Category]],"junior",Gdansk_result[SR_Total_Score],"&lt;&gt;0")</f>
        <v>10.290909090909093</v>
      </c>
      <c r="H50" s="12" cm="1">
        <f t="array" ref="H50">_xlfn.STDEV.S(_xlfn._xlws.FILTER(Gdansk_result[SR_Total_Score],(Gdansk_result[Category]="junior")*(Gdansk_result[SR_Total_Score]&gt;0)))</f>
        <v>0.69635414187688316</v>
      </c>
      <c r="I50" s="12" cm="1">
        <f t="array" ref="I50">MAX(_xlfn._xlws.FILTER(Gdansk_result[SR_Total_Score],Gdansk_result[Category]="junior"))</f>
        <v>11.2</v>
      </c>
      <c r="J50" s="10" t="str" cm="1">
        <f t="array" ref="J50">IF(COUNTIFS(Gdansk_result[SR_Total_Score],I50,Gdansk_result[Category],"junior")&gt;1,_xlfn.XLOOKUP(I50,_xlfn._xlws.FILTER(Gdansk_result[SR_Total_Score],Gdansk_result[Category]="junior"),_xlfn._xlws.FILTER(Gdansk_result[Name],Gdansk_result[Category]="junior"),0)&amp;" and "&amp;(COUNTIFS(Gdansk_result[SR_Total_Score],I50,Gdansk_result[Category],"junior")-1)&amp;" more",_xlfn.XLOOKUP(I50,_xlfn._xlws.FILTER(Gdansk_result[SR_Total_Score],Gdansk_result[Category]="junior"),_xlfn._xlws.FILTER(Gdansk_result[Name],Gdansk_result[Category]="junior"),0))</f>
        <v>LEKHAC Tomasz and 1 more</v>
      </c>
      <c r="AN50" t="s">
        <v>116</v>
      </c>
      <c r="AO50" t="s">
        <v>60</v>
      </c>
      <c r="AP50">
        <v>1996</v>
      </c>
      <c r="AQ50" t="s">
        <v>62</v>
      </c>
      <c r="AR50" t="s">
        <v>306</v>
      </c>
      <c r="AS50" t="s">
        <v>352</v>
      </c>
      <c r="AT50" t="s">
        <v>239</v>
      </c>
      <c r="AU50" t="s">
        <v>310</v>
      </c>
      <c r="AV50">
        <v>5.3</v>
      </c>
    </row>
    <row r="51" spans="1:48" ht="35.25" customHeight="1" x14ac:dyDescent="0.25">
      <c r="A51" s="2" t="s">
        <v>26</v>
      </c>
      <c r="B51" s="10" t="s">
        <v>240</v>
      </c>
      <c r="C51" s="11">
        <f>AVERAGEIFS(Gdansk_result[VT_Dscore],Gdansk_result[[Category]:[Category]],"junior",Gdansk_result[VT_Dscore],"&lt;&gt;0")</f>
        <v>2.5384615384615392</v>
      </c>
      <c r="D51" s="11" cm="1">
        <f t="array" ref="D51">_xlfn.STDEV.S(_xlfn._xlws.FILTER(Gdansk_result[VT_Dscore],(Gdansk_result[Category]="junior")*(Gdansk_result[VT_Dscore]&gt;0)))</f>
        <v>0.78053236270558801</v>
      </c>
      <c r="E51" s="12">
        <f>AVERAGEIFS(Gdansk_result[VT_Escore],Gdansk_result[[Category]:[Category]],"junior",Gdansk_result[VT_Escore],"&lt;&gt;0")</f>
        <v>8.4384615384615387</v>
      </c>
      <c r="F51" s="12" cm="1">
        <f t="array" ref="F51">_xlfn.STDEV.S(_xlfn._xlws.FILTER(Gdansk_result[VT_Escore],(Gdansk_result[Category]="junior")*(Gdansk_result[VT_Escore]&gt;0)))</f>
        <v>0.4407162003271145</v>
      </c>
      <c r="G51" s="12">
        <f>AVERAGEIFS(Gdansk_result[VT_total_score],Gdansk_result[[Category]:[Category]],"junior",Gdansk_result[VT_total_score],"&lt;&gt;0")</f>
        <v>10.976923076923079</v>
      </c>
      <c r="H51" s="12" cm="1">
        <f t="array" ref="H51">_xlfn.STDEV.S(_xlfn._xlws.FILTER(Gdansk_result[VT_total_score],(Gdansk_result[Category]="junior")*(Gdansk_result[VT_total_score]&gt;0)))</f>
        <v>0.9496963077337286</v>
      </c>
      <c r="I51" s="12" cm="1">
        <f t="array" ref="I51">MAX(_xlfn._xlws.FILTER(Gdansk_result[VT_total_score],Gdansk_result[Category]="junior"))</f>
        <v>12.9</v>
      </c>
      <c r="J51" s="10" t="str" cm="1">
        <f t="array" ref="J51">IF(COUNTIFS(Gdansk_result[VT_total_score],I51,Gdansk_result[Category],"junior")&gt;1,_xlfn.XLOOKUP(I51,_xlfn._xlws.FILTER(Gdansk_result[VT_total_score],Gdansk_result[Category]="junior"),_xlfn._xlws.FILTER(Gdansk_result[Name],Gdansk_result[Category]="junior"),0)&amp;" and "&amp;(COUNTIFS(Gdansk_result[VT_total_score],I51,Gdansk_result[Category],"junior")-1)&amp;" more",_xlfn.XLOOKUP(I51,_xlfn._xlws.FILTER(Gdansk_result[VT_total_score],Gdansk_result[Category]="junior"),_xlfn._xlws.FILTER(Gdansk_result[Name],Gdansk_result[Category]="junior"),0))</f>
        <v>MISHCHENKO Oleksandr</v>
      </c>
      <c r="AN51" t="s">
        <v>116</v>
      </c>
      <c r="AO51" t="s">
        <v>60</v>
      </c>
      <c r="AP51">
        <v>1996</v>
      </c>
      <c r="AQ51" t="s">
        <v>62</v>
      </c>
      <c r="AR51" t="s">
        <v>306</v>
      </c>
      <c r="AS51" t="s">
        <v>352</v>
      </c>
      <c r="AT51" t="s">
        <v>239</v>
      </c>
      <c r="AU51" t="s">
        <v>311</v>
      </c>
      <c r="AV51">
        <v>6.6</v>
      </c>
    </row>
    <row r="52" spans="1:48" ht="27" customHeight="1" x14ac:dyDescent="0.25">
      <c r="AN52" t="s">
        <v>116</v>
      </c>
      <c r="AO52" t="s">
        <v>60</v>
      </c>
      <c r="AP52">
        <v>1996</v>
      </c>
      <c r="AQ52" t="s">
        <v>62</v>
      </c>
      <c r="AR52" t="s">
        <v>306</v>
      </c>
      <c r="AS52" t="s">
        <v>352</v>
      </c>
      <c r="AT52" t="s">
        <v>239</v>
      </c>
      <c r="AU52" t="s">
        <v>268</v>
      </c>
      <c r="AV52">
        <v>11.9</v>
      </c>
    </row>
    <row r="53" spans="1:48" ht="27" customHeight="1" x14ac:dyDescent="0.25">
      <c r="AN53" t="s">
        <v>116</v>
      </c>
      <c r="AO53" t="s">
        <v>60</v>
      </c>
      <c r="AP53">
        <v>1996</v>
      </c>
      <c r="AQ53" t="s">
        <v>62</v>
      </c>
      <c r="AR53" t="s">
        <v>306</v>
      </c>
      <c r="AS53" t="s">
        <v>352</v>
      </c>
      <c r="AT53" t="s">
        <v>240</v>
      </c>
      <c r="AU53" t="s">
        <v>310</v>
      </c>
      <c r="AV53">
        <v>5.2</v>
      </c>
    </row>
    <row r="54" spans="1:48" ht="30.75" customHeight="1" x14ac:dyDescent="0.25">
      <c r="AN54" t="s">
        <v>116</v>
      </c>
      <c r="AO54" t="s">
        <v>60</v>
      </c>
      <c r="AP54">
        <v>1996</v>
      </c>
      <c r="AQ54" t="s">
        <v>62</v>
      </c>
      <c r="AR54" t="s">
        <v>306</v>
      </c>
      <c r="AS54" t="s">
        <v>352</v>
      </c>
      <c r="AT54" t="s">
        <v>240</v>
      </c>
      <c r="AU54" t="s">
        <v>311</v>
      </c>
      <c r="AV54">
        <v>8</v>
      </c>
    </row>
    <row r="55" spans="1:48" ht="30.75" customHeight="1" x14ac:dyDescent="0.25">
      <c r="AN55" t="s">
        <v>116</v>
      </c>
      <c r="AO55" t="s">
        <v>60</v>
      </c>
      <c r="AP55">
        <v>1996</v>
      </c>
      <c r="AQ55" t="s">
        <v>62</v>
      </c>
      <c r="AR55" t="s">
        <v>306</v>
      </c>
      <c r="AS55" t="s">
        <v>352</v>
      </c>
      <c r="AT55" t="s">
        <v>240</v>
      </c>
      <c r="AU55" t="s">
        <v>268</v>
      </c>
      <c r="AV55">
        <v>13.2</v>
      </c>
    </row>
    <row r="56" spans="1:48" ht="30.75" customHeight="1" x14ac:dyDescent="0.25">
      <c r="AN56" t="s">
        <v>116</v>
      </c>
      <c r="AO56" t="s">
        <v>60</v>
      </c>
      <c r="AP56">
        <v>1996</v>
      </c>
      <c r="AQ56" t="s">
        <v>62</v>
      </c>
      <c r="AR56" t="s">
        <v>306</v>
      </c>
      <c r="AS56" t="s">
        <v>352</v>
      </c>
      <c r="AT56" t="s">
        <v>316</v>
      </c>
      <c r="AU56" t="s">
        <v>310</v>
      </c>
      <c r="AV56">
        <v>4.9000000000000004</v>
      </c>
    </row>
    <row r="57" spans="1:48" ht="30.75" customHeight="1" x14ac:dyDescent="0.25">
      <c r="AN57" t="s">
        <v>116</v>
      </c>
      <c r="AO57" t="s">
        <v>60</v>
      </c>
      <c r="AP57">
        <v>1996</v>
      </c>
      <c r="AQ57" t="s">
        <v>62</v>
      </c>
      <c r="AR57" t="s">
        <v>306</v>
      </c>
      <c r="AS57" t="s">
        <v>352</v>
      </c>
      <c r="AT57" t="s">
        <v>316</v>
      </c>
      <c r="AU57" t="s">
        <v>311</v>
      </c>
      <c r="AV57">
        <v>7.4</v>
      </c>
    </row>
    <row r="58" spans="1:48" x14ac:dyDescent="0.25">
      <c r="AN58" t="s">
        <v>116</v>
      </c>
      <c r="AO58" t="s">
        <v>60</v>
      </c>
      <c r="AP58">
        <v>1996</v>
      </c>
      <c r="AQ58" t="s">
        <v>62</v>
      </c>
      <c r="AR58" t="s">
        <v>306</v>
      </c>
      <c r="AS58" t="s">
        <v>352</v>
      </c>
      <c r="AT58" t="s">
        <v>316</v>
      </c>
      <c r="AU58" t="s">
        <v>268</v>
      </c>
      <c r="AV58">
        <v>12.3</v>
      </c>
    </row>
    <row r="59" spans="1:48" x14ac:dyDescent="0.25">
      <c r="AN59" t="s">
        <v>116</v>
      </c>
      <c r="AO59" t="s">
        <v>60</v>
      </c>
      <c r="AP59">
        <v>1996</v>
      </c>
      <c r="AQ59" t="s">
        <v>62</v>
      </c>
      <c r="AR59" t="s">
        <v>306</v>
      </c>
      <c r="AS59" t="s">
        <v>352</v>
      </c>
      <c r="AT59" t="s">
        <v>242</v>
      </c>
      <c r="AU59" t="s">
        <v>310</v>
      </c>
      <c r="AV59">
        <v>4.8</v>
      </c>
    </row>
    <row r="60" spans="1:48" x14ac:dyDescent="0.25">
      <c r="AN60" t="s">
        <v>116</v>
      </c>
      <c r="AO60" t="s">
        <v>60</v>
      </c>
      <c r="AP60">
        <v>1996</v>
      </c>
      <c r="AQ60" t="s">
        <v>62</v>
      </c>
      <c r="AR60" t="s">
        <v>306</v>
      </c>
      <c r="AS60" t="s">
        <v>352</v>
      </c>
      <c r="AT60" t="s">
        <v>242</v>
      </c>
      <c r="AU60" t="s">
        <v>311</v>
      </c>
      <c r="AV60">
        <v>6.3</v>
      </c>
    </row>
    <row r="61" spans="1:48" x14ac:dyDescent="0.25">
      <c r="AN61" t="s">
        <v>116</v>
      </c>
      <c r="AO61" t="s">
        <v>60</v>
      </c>
      <c r="AP61">
        <v>1996</v>
      </c>
      <c r="AQ61" t="s">
        <v>62</v>
      </c>
      <c r="AR61" t="s">
        <v>306</v>
      </c>
      <c r="AS61" t="s">
        <v>352</v>
      </c>
      <c r="AT61" t="s">
        <v>242</v>
      </c>
      <c r="AU61" t="s">
        <v>268</v>
      </c>
      <c r="AV61">
        <v>11.1</v>
      </c>
    </row>
    <row r="62" spans="1:48" x14ac:dyDescent="0.25">
      <c r="AN62" t="s">
        <v>116</v>
      </c>
      <c r="AO62" t="s">
        <v>60</v>
      </c>
      <c r="AP62">
        <v>1996</v>
      </c>
      <c r="AQ62" t="s">
        <v>62</v>
      </c>
      <c r="AR62" t="s">
        <v>306</v>
      </c>
      <c r="AS62" t="s">
        <v>352</v>
      </c>
      <c r="AT62" t="s">
        <v>243</v>
      </c>
      <c r="AU62" t="s">
        <v>337</v>
      </c>
      <c r="AV62">
        <v>30.099999999999998</v>
      </c>
    </row>
    <row r="63" spans="1:48" x14ac:dyDescent="0.25">
      <c r="AN63" t="s">
        <v>116</v>
      </c>
      <c r="AO63" t="s">
        <v>60</v>
      </c>
      <c r="AP63">
        <v>1996</v>
      </c>
      <c r="AQ63" t="s">
        <v>62</v>
      </c>
      <c r="AR63" t="s">
        <v>306</v>
      </c>
      <c r="AS63" t="s">
        <v>352</v>
      </c>
      <c r="AT63" t="s">
        <v>243</v>
      </c>
      <c r="AU63" t="s">
        <v>338</v>
      </c>
      <c r="AV63">
        <v>41.599999999999994</v>
      </c>
    </row>
    <row r="64" spans="1:48" x14ac:dyDescent="0.25">
      <c r="AN64" t="s">
        <v>116</v>
      </c>
      <c r="AO64" t="s">
        <v>60</v>
      </c>
      <c r="AP64">
        <v>1996</v>
      </c>
      <c r="AQ64" t="s">
        <v>62</v>
      </c>
      <c r="AR64" t="s">
        <v>306</v>
      </c>
      <c r="AS64" t="s">
        <v>352</v>
      </c>
      <c r="AT64" t="s">
        <v>243</v>
      </c>
      <c r="AU64" t="s">
        <v>349</v>
      </c>
      <c r="AV64">
        <v>71.7</v>
      </c>
    </row>
    <row r="65" spans="40:48" x14ac:dyDescent="0.25">
      <c r="AN65" t="s">
        <v>65</v>
      </c>
      <c r="AO65" t="s">
        <v>60</v>
      </c>
      <c r="AP65">
        <v>2001</v>
      </c>
      <c r="AQ65" t="s">
        <v>67</v>
      </c>
      <c r="AR65" t="s">
        <v>306</v>
      </c>
      <c r="AS65" t="s">
        <v>352</v>
      </c>
      <c r="AT65" t="s">
        <v>218</v>
      </c>
      <c r="AU65" t="s">
        <v>310</v>
      </c>
      <c r="AV65">
        <v>3.9</v>
      </c>
    </row>
    <row r="66" spans="40:48" x14ac:dyDescent="0.25">
      <c r="AN66" t="s">
        <v>65</v>
      </c>
      <c r="AO66" t="s">
        <v>60</v>
      </c>
      <c r="AP66">
        <v>2001</v>
      </c>
      <c r="AQ66" t="s">
        <v>67</v>
      </c>
      <c r="AR66" t="s">
        <v>306</v>
      </c>
      <c r="AS66" t="s">
        <v>352</v>
      </c>
      <c r="AT66" t="s">
        <v>218</v>
      </c>
      <c r="AU66" t="s">
        <v>311</v>
      </c>
      <c r="AV66">
        <v>7.3</v>
      </c>
    </row>
    <row r="67" spans="40:48" x14ac:dyDescent="0.25">
      <c r="AN67" t="s">
        <v>65</v>
      </c>
      <c r="AO67" t="s">
        <v>60</v>
      </c>
      <c r="AP67">
        <v>2001</v>
      </c>
      <c r="AQ67" t="s">
        <v>67</v>
      </c>
      <c r="AR67" t="s">
        <v>306</v>
      </c>
      <c r="AS67" t="s">
        <v>352</v>
      </c>
      <c r="AT67" t="s">
        <v>218</v>
      </c>
      <c r="AU67" t="s">
        <v>268</v>
      </c>
      <c r="AV67">
        <v>11.2</v>
      </c>
    </row>
    <row r="68" spans="40:48" x14ac:dyDescent="0.25">
      <c r="AN68" t="s">
        <v>65</v>
      </c>
      <c r="AO68" t="s">
        <v>60</v>
      </c>
      <c r="AP68">
        <v>2001</v>
      </c>
      <c r="AQ68" t="s">
        <v>67</v>
      </c>
      <c r="AR68" t="s">
        <v>306</v>
      </c>
      <c r="AS68" t="s">
        <v>352</v>
      </c>
      <c r="AT68" t="s">
        <v>238</v>
      </c>
      <c r="AU68" t="s">
        <v>310</v>
      </c>
      <c r="AV68">
        <v>3.2</v>
      </c>
    </row>
    <row r="69" spans="40:48" x14ac:dyDescent="0.25">
      <c r="AN69" t="s">
        <v>65</v>
      </c>
      <c r="AO69" t="s">
        <v>60</v>
      </c>
      <c r="AP69">
        <v>2001</v>
      </c>
      <c r="AQ69" t="s">
        <v>67</v>
      </c>
      <c r="AR69" t="s">
        <v>306</v>
      </c>
      <c r="AS69" t="s">
        <v>352</v>
      </c>
      <c r="AT69" t="s">
        <v>238</v>
      </c>
      <c r="AU69" t="s">
        <v>311</v>
      </c>
      <c r="AV69">
        <v>7.8</v>
      </c>
    </row>
    <row r="70" spans="40:48" x14ac:dyDescent="0.25">
      <c r="AN70" t="s">
        <v>65</v>
      </c>
      <c r="AO70" t="s">
        <v>60</v>
      </c>
      <c r="AP70">
        <v>2001</v>
      </c>
      <c r="AQ70" t="s">
        <v>67</v>
      </c>
      <c r="AR70" t="s">
        <v>306</v>
      </c>
      <c r="AS70" t="s">
        <v>352</v>
      </c>
      <c r="AT70" t="s">
        <v>238</v>
      </c>
      <c r="AU70" t="s">
        <v>268</v>
      </c>
      <c r="AV70">
        <v>11</v>
      </c>
    </row>
    <row r="71" spans="40:48" x14ac:dyDescent="0.25">
      <c r="AN71" t="s">
        <v>65</v>
      </c>
      <c r="AO71" t="s">
        <v>60</v>
      </c>
      <c r="AP71">
        <v>2001</v>
      </c>
      <c r="AQ71" t="s">
        <v>67</v>
      </c>
      <c r="AR71" t="s">
        <v>306</v>
      </c>
      <c r="AS71" t="s">
        <v>352</v>
      </c>
      <c r="AT71" t="s">
        <v>239</v>
      </c>
      <c r="AU71" t="s">
        <v>310</v>
      </c>
      <c r="AV71">
        <v>3.9</v>
      </c>
    </row>
    <row r="72" spans="40:48" x14ac:dyDescent="0.25">
      <c r="AN72" t="s">
        <v>65</v>
      </c>
      <c r="AO72" t="s">
        <v>60</v>
      </c>
      <c r="AP72">
        <v>2001</v>
      </c>
      <c r="AQ72" t="s">
        <v>67</v>
      </c>
      <c r="AR72" t="s">
        <v>306</v>
      </c>
      <c r="AS72" t="s">
        <v>352</v>
      </c>
      <c r="AT72" t="s">
        <v>239</v>
      </c>
      <c r="AU72" t="s">
        <v>311</v>
      </c>
      <c r="AV72">
        <v>8.1999999999999993</v>
      </c>
    </row>
    <row r="73" spans="40:48" x14ac:dyDescent="0.25">
      <c r="AN73" t="s">
        <v>65</v>
      </c>
      <c r="AO73" t="s">
        <v>60</v>
      </c>
      <c r="AP73">
        <v>2001</v>
      </c>
      <c r="AQ73" t="s">
        <v>67</v>
      </c>
      <c r="AR73" t="s">
        <v>306</v>
      </c>
      <c r="AS73" t="s">
        <v>352</v>
      </c>
      <c r="AT73" t="s">
        <v>239</v>
      </c>
      <c r="AU73" t="s">
        <v>268</v>
      </c>
      <c r="AV73">
        <v>12.1</v>
      </c>
    </row>
    <row r="74" spans="40:48" x14ac:dyDescent="0.25">
      <c r="AN74" t="s">
        <v>65</v>
      </c>
      <c r="AO74" t="s">
        <v>60</v>
      </c>
      <c r="AP74">
        <v>2001</v>
      </c>
      <c r="AQ74" t="s">
        <v>67</v>
      </c>
      <c r="AR74" t="s">
        <v>306</v>
      </c>
      <c r="AS74" t="s">
        <v>352</v>
      </c>
      <c r="AT74" t="s">
        <v>240</v>
      </c>
      <c r="AU74" t="s">
        <v>310</v>
      </c>
      <c r="AV74">
        <v>4</v>
      </c>
    </row>
    <row r="75" spans="40:48" x14ac:dyDescent="0.25">
      <c r="AN75" t="s">
        <v>65</v>
      </c>
      <c r="AO75" t="s">
        <v>60</v>
      </c>
      <c r="AP75">
        <v>2001</v>
      </c>
      <c r="AQ75" t="s">
        <v>67</v>
      </c>
      <c r="AR75" t="s">
        <v>306</v>
      </c>
      <c r="AS75" t="s">
        <v>352</v>
      </c>
      <c r="AT75" t="s">
        <v>240</v>
      </c>
      <c r="AU75" t="s">
        <v>311</v>
      </c>
      <c r="AV75">
        <v>8.6999999999999993</v>
      </c>
    </row>
    <row r="76" spans="40:48" x14ac:dyDescent="0.25">
      <c r="AN76" t="s">
        <v>65</v>
      </c>
      <c r="AO76" t="s">
        <v>60</v>
      </c>
      <c r="AP76">
        <v>2001</v>
      </c>
      <c r="AQ76" t="s">
        <v>67</v>
      </c>
      <c r="AR76" t="s">
        <v>306</v>
      </c>
      <c r="AS76" t="s">
        <v>352</v>
      </c>
      <c r="AT76" t="s">
        <v>240</v>
      </c>
      <c r="AU76" t="s">
        <v>268</v>
      </c>
      <c r="AV76">
        <v>12.7</v>
      </c>
    </row>
    <row r="77" spans="40:48" x14ac:dyDescent="0.25">
      <c r="AN77" t="s">
        <v>65</v>
      </c>
      <c r="AO77" t="s">
        <v>60</v>
      </c>
      <c r="AP77">
        <v>2001</v>
      </c>
      <c r="AQ77" t="s">
        <v>67</v>
      </c>
      <c r="AR77" t="s">
        <v>306</v>
      </c>
      <c r="AS77" t="s">
        <v>352</v>
      </c>
      <c r="AT77" t="s">
        <v>316</v>
      </c>
      <c r="AU77" t="s">
        <v>310</v>
      </c>
      <c r="AV77">
        <v>3.4</v>
      </c>
    </row>
    <row r="78" spans="40:48" x14ac:dyDescent="0.25">
      <c r="AN78" t="s">
        <v>65</v>
      </c>
      <c r="AO78" t="s">
        <v>60</v>
      </c>
      <c r="AP78">
        <v>2001</v>
      </c>
      <c r="AQ78" t="s">
        <v>67</v>
      </c>
      <c r="AR78" t="s">
        <v>306</v>
      </c>
      <c r="AS78" t="s">
        <v>352</v>
      </c>
      <c r="AT78" t="s">
        <v>316</v>
      </c>
      <c r="AU78" t="s">
        <v>311</v>
      </c>
      <c r="AV78">
        <v>9</v>
      </c>
    </row>
    <row r="79" spans="40:48" x14ac:dyDescent="0.25">
      <c r="AN79" t="s">
        <v>65</v>
      </c>
      <c r="AO79" t="s">
        <v>60</v>
      </c>
      <c r="AP79">
        <v>2001</v>
      </c>
      <c r="AQ79" t="s">
        <v>67</v>
      </c>
      <c r="AR79" t="s">
        <v>306</v>
      </c>
      <c r="AS79" t="s">
        <v>352</v>
      </c>
      <c r="AT79" t="s">
        <v>316</v>
      </c>
      <c r="AU79" t="s">
        <v>268</v>
      </c>
      <c r="AV79">
        <v>12.4</v>
      </c>
    </row>
    <row r="80" spans="40:48" x14ac:dyDescent="0.25">
      <c r="AN80" t="s">
        <v>65</v>
      </c>
      <c r="AO80" t="s">
        <v>60</v>
      </c>
      <c r="AP80">
        <v>2001</v>
      </c>
      <c r="AQ80" t="s">
        <v>67</v>
      </c>
      <c r="AR80" t="s">
        <v>306</v>
      </c>
      <c r="AS80" t="s">
        <v>352</v>
      </c>
      <c r="AT80" t="s">
        <v>242</v>
      </c>
      <c r="AU80" t="s">
        <v>310</v>
      </c>
      <c r="AV80">
        <v>3.6</v>
      </c>
    </row>
    <row r="81" spans="40:48" x14ac:dyDescent="0.25">
      <c r="AN81" t="s">
        <v>65</v>
      </c>
      <c r="AO81" t="s">
        <v>60</v>
      </c>
      <c r="AP81">
        <v>2001</v>
      </c>
      <c r="AQ81" t="s">
        <v>67</v>
      </c>
      <c r="AR81" t="s">
        <v>306</v>
      </c>
      <c r="AS81" t="s">
        <v>352</v>
      </c>
      <c r="AT81" t="s">
        <v>242</v>
      </c>
      <c r="AU81" t="s">
        <v>311</v>
      </c>
      <c r="AV81">
        <v>8.3000000000000007</v>
      </c>
    </row>
    <row r="82" spans="40:48" x14ac:dyDescent="0.25">
      <c r="AN82" t="s">
        <v>65</v>
      </c>
      <c r="AO82" t="s">
        <v>60</v>
      </c>
      <c r="AP82">
        <v>2001</v>
      </c>
      <c r="AQ82" t="s">
        <v>67</v>
      </c>
      <c r="AR82" t="s">
        <v>306</v>
      </c>
      <c r="AS82" t="s">
        <v>352</v>
      </c>
      <c r="AT82" t="s">
        <v>242</v>
      </c>
      <c r="AU82" t="s">
        <v>268</v>
      </c>
      <c r="AV82">
        <v>11.9</v>
      </c>
    </row>
    <row r="83" spans="40:48" x14ac:dyDescent="0.25">
      <c r="AN83" t="s">
        <v>65</v>
      </c>
      <c r="AO83" t="s">
        <v>60</v>
      </c>
      <c r="AP83">
        <v>2001</v>
      </c>
      <c r="AQ83" t="s">
        <v>67</v>
      </c>
      <c r="AR83" t="s">
        <v>306</v>
      </c>
      <c r="AS83" t="s">
        <v>352</v>
      </c>
      <c r="AT83" t="s">
        <v>243</v>
      </c>
      <c r="AU83" t="s">
        <v>337</v>
      </c>
      <c r="AV83">
        <v>22</v>
      </c>
    </row>
    <row r="84" spans="40:48" x14ac:dyDescent="0.25">
      <c r="AN84" t="s">
        <v>65</v>
      </c>
      <c r="AO84" t="s">
        <v>60</v>
      </c>
      <c r="AP84">
        <v>2001</v>
      </c>
      <c r="AQ84" t="s">
        <v>67</v>
      </c>
      <c r="AR84" t="s">
        <v>306</v>
      </c>
      <c r="AS84" t="s">
        <v>352</v>
      </c>
      <c r="AT84" t="s">
        <v>243</v>
      </c>
      <c r="AU84" t="s">
        <v>338</v>
      </c>
      <c r="AV84">
        <v>49.3</v>
      </c>
    </row>
    <row r="85" spans="40:48" x14ac:dyDescent="0.25">
      <c r="AN85" t="s">
        <v>65</v>
      </c>
      <c r="AO85" t="s">
        <v>60</v>
      </c>
      <c r="AP85">
        <v>2001</v>
      </c>
      <c r="AQ85" t="s">
        <v>67</v>
      </c>
      <c r="AR85" t="s">
        <v>306</v>
      </c>
      <c r="AS85" t="s">
        <v>352</v>
      </c>
      <c r="AT85" t="s">
        <v>243</v>
      </c>
      <c r="AU85" t="s">
        <v>349</v>
      </c>
      <c r="AV85">
        <v>71.3</v>
      </c>
    </row>
    <row r="86" spans="40:48" x14ac:dyDescent="0.25">
      <c r="AN86" t="s">
        <v>82</v>
      </c>
      <c r="AO86" t="s">
        <v>60</v>
      </c>
      <c r="AP86">
        <v>2003</v>
      </c>
      <c r="AQ86" t="s">
        <v>36</v>
      </c>
      <c r="AR86" t="s">
        <v>306</v>
      </c>
      <c r="AS86" t="s">
        <v>352</v>
      </c>
      <c r="AT86" t="s">
        <v>218</v>
      </c>
      <c r="AU86" t="s">
        <v>310</v>
      </c>
      <c r="AV86">
        <v>3.9</v>
      </c>
    </row>
    <row r="87" spans="40:48" x14ac:dyDescent="0.25">
      <c r="AN87" t="s">
        <v>82</v>
      </c>
      <c r="AO87" t="s">
        <v>60</v>
      </c>
      <c r="AP87">
        <v>2003</v>
      </c>
      <c r="AQ87" t="s">
        <v>36</v>
      </c>
      <c r="AR87" t="s">
        <v>306</v>
      </c>
      <c r="AS87" t="s">
        <v>352</v>
      </c>
      <c r="AT87" t="s">
        <v>218</v>
      </c>
      <c r="AU87" t="s">
        <v>311</v>
      </c>
      <c r="AV87">
        <v>7.9</v>
      </c>
    </row>
    <row r="88" spans="40:48" x14ac:dyDescent="0.25">
      <c r="AN88" t="s">
        <v>82</v>
      </c>
      <c r="AO88" t="s">
        <v>60</v>
      </c>
      <c r="AP88">
        <v>2003</v>
      </c>
      <c r="AQ88" t="s">
        <v>36</v>
      </c>
      <c r="AR88" t="s">
        <v>306</v>
      </c>
      <c r="AS88" t="s">
        <v>352</v>
      </c>
      <c r="AT88" t="s">
        <v>218</v>
      </c>
      <c r="AU88" t="s">
        <v>268</v>
      </c>
      <c r="AV88">
        <v>11.8</v>
      </c>
    </row>
    <row r="89" spans="40:48" x14ac:dyDescent="0.25">
      <c r="AN89" t="s">
        <v>82</v>
      </c>
      <c r="AO89" t="s">
        <v>60</v>
      </c>
      <c r="AP89">
        <v>2003</v>
      </c>
      <c r="AQ89" t="s">
        <v>36</v>
      </c>
      <c r="AR89" t="s">
        <v>306</v>
      </c>
      <c r="AS89" t="s">
        <v>352</v>
      </c>
      <c r="AT89" t="s">
        <v>238</v>
      </c>
      <c r="AU89" t="s">
        <v>310</v>
      </c>
      <c r="AV89">
        <v>3.4</v>
      </c>
    </row>
    <row r="90" spans="40:48" x14ac:dyDescent="0.25">
      <c r="AN90" t="s">
        <v>82</v>
      </c>
      <c r="AO90" t="s">
        <v>60</v>
      </c>
      <c r="AP90">
        <v>2003</v>
      </c>
      <c r="AQ90" t="s">
        <v>36</v>
      </c>
      <c r="AR90" t="s">
        <v>306</v>
      </c>
      <c r="AS90" t="s">
        <v>352</v>
      </c>
      <c r="AT90" t="s">
        <v>238</v>
      </c>
      <c r="AU90" t="s">
        <v>311</v>
      </c>
      <c r="AV90">
        <v>6.4</v>
      </c>
    </row>
    <row r="91" spans="40:48" x14ac:dyDescent="0.25">
      <c r="AN91" t="s">
        <v>82</v>
      </c>
      <c r="AO91" t="s">
        <v>60</v>
      </c>
      <c r="AP91">
        <v>2003</v>
      </c>
      <c r="AQ91" t="s">
        <v>36</v>
      </c>
      <c r="AR91" t="s">
        <v>306</v>
      </c>
      <c r="AS91" t="s">
        <v>352</v>
      </c>
      <c r="AT91" t="s">
        <v>238</v>
      </c>
      <c r="AU91" t="s">
        <v>268</v>
      </c>
      <c r="AV91">
        <v>9.8000000000000007</v>
      </c>
    </row>
    <row r="92" spans="40:48" x14ac:dyDescent="0.25">
      <c r="AN92" t="s">
        <v>82</v>
      </c>
      <c r="AO92" t="s">
        <v>60</v>
      </c>
      <c r="AP92">
        <v>2003</v>
      </c>
      <c r="AQ92" t="s">
        <v>36</v>
      </c>
      <c r="AR92" t="s">
        <v>306</v>
      </c>
      <c r="AS92" t="s">
        <v>352</v>
      </c>
      <c r="AT92" t="s">
        <v>239</v>
      </c>
      <c r="AU92" t="s">
        <v>310</v>
      </c>
      <c r="AV92">
        <v>3.8</v>
      </c>
    </row>
    <row r="93" spans="40:48" x14ac:dyDescent="0.25">
      <c r="AN93" t="s">
        <v>82</v>
      </c>
      <c r="AO93" t="s">
        <v>60</v>
      </c>
      <c r="AP93">
        <v>2003</v>
      </c>
      <c r="AQ93" t="s">
        <v>36</v>
      </c>
      <c r="AR93" t="s">
        <v>306</v>
      </c>
      <c r="AS93" t="s">
        <v>352</v>
      </c>
      <c r="AT93" t="s">
        <v>239</v>
      </c>
      <c r="AU93" t="s">
        <v>311</v>
      </c>
      <c r="AV93">
        <v>7.9</v>
      </c>
    </row>
    <row r="94" spans="40:48" x14ac:dyDescent="0.25">
      <c r="AN94" t="s">
        <v>82</v>
      </c>
      <c r="AO94" t="s">
        <v>60</v>
      </c>
      <c r="AP94">
        <v>2003</v>
      </c>
      <c r="AQ94" t="s">
        <v>36</v>
      </c>
      <c r="AR94" t="s">
        <v>306</v>
      </c>
      <c r="AS94" t="s">
        <v>352</v>
      </c>
      <c r="AT94" t="s">
        <v>239</v>
      </c>
      <c r="AU94" t="s">
        <v>268</v>
      </c>
      <c r="AV94">
        <v>11.7</v>
      </c>
    </row>
    <row r="95" spans="40:48" x14ac:dyDescent="0.25">
      <c r="AN95" t="s">
        <v>82</v>
      </c>
      <c r="AO95" t="s">
        <v>60</v>
      </c>
      <c r="AP95">
        <v>2003</v>
      </c>
      <c r="AQ95" t="s">
        <v>36</v>
      </c>
      <c r="AR95" t="s">
        <v>306</v>
      </c>
      <c r="AS95" t="s">
        <v>352</v>
      </c>
      <c r="AT95" t="s">
        <v>240</v>
      </c>
      <c r="AU95" t="s">
        <v>310</v>
      </c>
      <c r="AV95">
        <v>4</v>
      </c>
    </row>
    <row r="96" spans="40:48" x14ac:dyDescent="0.25">
      <c r="AN96" t="s">
        <v>82</v>
      </c>
      <c r="AO96" t="s">
        <v>60</v>
      </c>
      <c r="AP96">
        <v>2003</v>
      </c>
      <c r="AQ96" t="s">
        <v>36</v>
      </c>
      <c r="AR96" t="s">
        <v>306</v>
      </c>
      <c r="AS96" t="s">
        <v>352</v>
      </c>
      <c r="AT96" t="s">
        <v>240</v>
      </c>
      <c r="AU96" t="s">
        <v>311</v>
      </c>
      <c r="AV96">
        <v>9</v>
      </c>
    </row>
    <row r="97" spans="40:48" x14ac:dyDescent="0.25">
      <c r="AN97" t="s">
        <v>82</v>
      </c>
      <c r="AO97" t="s">
        <v>60</v>
      </c>
      <c r="AP97">
        <v>2003</v>
      </c>
      <c r="AQ97" t="s">
        <v>36</v>
      </c>
      <c r="AR97" t="s">
        <v>306</v>
      </c>
      <c r="AS97" t="s">
        <v>352</v>
      </c>
      <c r="AT97" t="s">
        <v>240</v>
      </c>
      <c r="AU97" t="s">
        <v>268</v>
      </c>
      <c r="AV97">
        <v>13</v>
      </c>
    </row>
    <row r="98" spans="40:48" x14ac:dyDescent="0.25">
      <c r="AN98" t="s">
        <v>82</v>
      </c>
      <c r="AO98" t="s">
        <v>60</v>
      </c>
      <c r="AP98">
        <v>2003</v>
      </c>
      <c r="AQ98" t="s">
        <v>36</v>
      </c>
      <c r="AR98" t="s">
        <v>306</v>
      </c>
      <c r="AS98" t="s">
        <v>352</v>
      </c>
      <c r="AT98" t="s">
        <v>316</v>
      </c>
      <c r="AU98" t="s">
        <v>310</v>
      </c>
      <c r="AV98">
        <v>3</v>
      </c>
    </row>
    <row r="99" spans="40:48" x14ac:dyDescent="0.25">
      <c r="AN99" t="s">
        <v>82</v>
      </c>
      <c r="AO99" t="s">
        <v>60</v>
      </c>
      <c r="AP99">
        <v>2003</v>
      </c>
      <c r="AQ99" t="s">
        <v>36</v>
      </c>
      <c r="AR99" t="s">
        <v>306</v>
      </c>
      <c r="AS99" t="s">
        <v>352</v>
      </c>
      <c r="AT99" t="s">
        <v>316</v>
      </c>
      <c r="AU99" t="s">
        <v>311</v>
      </c>
      <c r="AV99">
        <v>8.8000000000000007</v>
      </c>
    </row>
    <row r="100" spans="40:48" x14ac:dyDescent="0.25">
      <c r="AN100" t="s">
        <v>82</v>
      </c>
      <c r="AO100" t="s">
        <v>60</v>
      </c>
      <c r="AP100">
        <v>2003</v>
      </c>
      <c r="AQ100" t="s">
        <v>36</v>
      </c>
      <c r="AR100" t="s">
        <v>306</v>
      </c>
      <c r="AS100" t="s">
        <v>352</v>
      </c>
      <c r="AT100" t="s">
        <v>316</v>
      </c>
      <c r="AU100" t="s">
        <v>268</v>
      </c>
      <c r="AV100">
        <v>11.8</v>
      </c>
    </row>
    <row r="101" spans="40:48" x14ac:dyDescent="0.25">
      <c r="AN101" t="s">
        <v>82</v>
      </c>
      <c r="AO101" t="s">
        <v>60</v>
      </c>
      <c r="AP101">
        <v>2003</v>
      </c>
      <c r="AQ101" t="s">
        <v>36</v>
      </c>
      <c r="AR101" t="s">
        <v>306</v>
      </c>
      <c r="AS101" t="s">
        <v>352</v>
      </c>
      <c r="AT101" t="s">
        <v>242</v>
      </c>
      <c r="AU101" t="s">
        <v>310</v>
      </c>
      <c r="AV101">
        <v>3.3</v>
      </c>
    </row>
    <row r="102" spans="40:48" x14ac:dyDescent="0.25">
      <c r="AN102" t="s">
        <v>82</v>
      </c>
      <c r="AO102" t="s">
        <v>60</v>
      </c>
      <c r="AP102">
        <v>2003</v>
      </c>
      <c r="AQ102" t="s">
        <v>36</v>
      </c>
      <c r="AR102" t="s">
        <v>306</v>
      </c>
      <c r="AS102" t="s">
        <v>352</v>
      </c>
      <c r="AT102" t="s">
        <v>242</v>
      </c>
      <c r="AU102" t="s">
        <v>311</v>
      </c>
      <c r="AV102">
        <v>8</v>
      </c>
    </row>
    <row r="103" spans="40:48" x14ac:dyDescent="0.25">
      <c r="AN103" t="s">
        <v>82</v>
      </c>
      <c r="AO103" t="s">
        <v>60</v>
      </c>
      <c r="AP103">
        <v>2003</v>
      </c>
      <c r="AQ103" t="s">
        <v>36</v>
      </c>
      <c r="AR103" t="s">
        <v>306</v>
      </c>
      <c r="AS103" t="s">
        <v>352</v>
      </c>
      <c r="AT103" t="s">
        <v>242</v>
      </c>
      <c r="AU103" t="s">
        <v>268</v>
      </c>
      <c r="AV103">
        <v>11.3</v>
      </c>
    </row>
    <row r="104" spans="40:48" x14ac:dyDescent="0.25">
      <c r="AN104" t="s">
        <v>82</v>
      </c>
      <c r="AO104" t="s">
        <v>60</v>
      </c>
      <c r="AP104">
        <v>2003</v>
      </c>
      <c r="AQ104" t="s">
        <v>36</v>
      </c>
      <c r="AR104" t="s">
        <v>306</v>
      </c>
      <c r="AS104" t="s">
        <v>352</v>
      </c>
      <c r="AT104" t="s">
        <v>243</v>
      </c>
      <c r="AU104" t="s">
        <v>337</v>
      </c>
      <c r="AV104">
        <v>21.400000000000002</v>
      </c>
    </row>
    <row r="105" spans="40:48" x14ac:dyDescent="0.25">
      <c r="AN105" t="s">
        <v>82</v>
      </c>
      <c r="AO105" t="s">
        <v>60</v>
      </c>
      <c r="AP105">
        <v>2003</v>
      </c>
      <c r="AQ105" t="s">
        <v>36</v>
      </c>
      <c r="AR105" t="s">
        <v>306</v>
      </c>
      <c r="AS105" t="s">
        <v>352</v>
      </c>
      <c r="AT105" t="s">
        <v>243</v>
      </c>
      <c r="AU105" t="s">
        <v>338</v>
      </c>
      <c r="AV105">
        <v>48</v>
      </c>
    </row>
    <row r="106" spans="40:48" x14ac:dyDescent="0.25">
      <c r="AN106" t="s">
        <v>82</v>
      </c>
      <c r="AO106" t="s">
        <v>60</v>
      </c>
      <c r="AP106">
        <v>2003</v>
      </c>
      <c r="AQ106" t="s">
        <v>36</v>
      </c>
      <c r="AR106" t="s">
        <v>306</v>
      </c>
      <c r="AS106" t="s">
        <v>352</v>
      </c>
      <c r="AT106" t="s">
        <v>243</v>
      </c>
      <c r="AU106" t="s">
        <v>349</v>
      </c>
      <c r="AV106">
        <v>69.400000000000006</v>
      </c>
    </row>
    <row r="107" spans="40:48" x14ac:dyDescent="0.25">
      <c r="AN107" t="s">
        <v>70</v>
      </c>
      <c r="AO107" t="s">
        <v>60</v>
      </c>
      <c r="AP107">
        <v>2001</v>
      </c>
      <c r="AQ107" t="s">
        <v>72</v>
      </c>
      <c r="AR107" t="s">
        <v>306</v>
      </c>
      <c r="AS107" t="s">
        <v>352</v>
      </c>
      <c r="AT107" t="s">
        <v>218</v>
      </c>
      <c r="AU107" t="s">
        <v>310</v>
      </c>
      <c r="AV107">
        <v>5.0999999999999996</v>
      </c>
    </row>
    <row r="108" spans="40:48" x14ac:dyDescent="0.25">
      <c r="AN108" t="s">
        <v>70</v>
      </c>
      <c r="AO108" t="s">
        <v>60</v>
      </c>
      <c r="AP108">
        <v>2001</v>
      </c>
      <c r="AQ108" t="s">
        <v>72</v>
      </c>
      <c r="AR108" t="s">
        <v>306</v>
      </c>
      <c r="AS108" t="s">
        <v>352</v>
      </c>
      <c r="AT108" t="s">
        <v>218</v>
      </c>
      <c r="AU108" t="s">
        <v>311</v>
      </c>
      <c r="AV108">
        <v>6.8</v>
      </c>
    </row>
    <row r="109" spans="40:48" x14ac:dyDescent="0.25">
      <c r="AN109" t="s">
        <v>70</v>
      </c>
      <c r="AO109" t="s">
        <v>60</v>
      </c>
      <c r="AP109">
        <v>2001</v>
      </c>
      <c r="AQ109" t="s">
        <v>72</v>
      </c>
      <c r="AR109" t="s">
        <v>306</v>
      </c>
      <c r="AS109" t="s">
        <v>352</v>
      </c>
      <c r="AT109" t="s">
        <v>218</v>
      </c>
      <c r="AU109" t="s">
        <v>268</v>
      </c>
      <c r="AV109">
        <v>11.9</v>
      </c>
    </row>
    <row r="110" spans="40:48" x14ac:dyDescent="0.25">
      <c r="AN110" t="s">
        <v>70</v>
      </c>
      <c r="AO110" t="s">
        <v>60</v>
      </c>
      <c r="AP110">
        <v>2001</v>
      </c>
      <c r="AQ110" t="s">
        <v>72</v>
      </c>
      <c r="AR110" t="s">
        <v>306</v>
      </c>
      <c r="AS110" t="s">
        <v>352</v>
      </c>
      <c r="AT110" t="s">
        <v>238</v>
      </c>
      <c r="AU110" t="s">
        <v>310</v>
      </c>
      <c r="AV110">
        <v>2.7</v>
      </c>
    </row>
    <row r="111" spans="40:48" x14ac:dyDescent="0.25">
      <c r="AN111" t="s">
        <v>70</v>
      </c>
      <c r="AO111" t="s">
        <v>60</v>
      </c>
      <c r="AP111">
        <v>2001</v>
      </c>
      <c r="AQ111" t="s">
        <v>72</v>
      </c>
      <c r="AR111" t="s">
        <v>306</v>
      </c>
      <c r="AS111" t="s">
        <v>352</v>
      </c>
      <c r="AT111" t="s">
        <v>238</v>
      </c>
      <c r="AU111" t="s">
        <v>311</v>
      </c>
      <c r="AV111">
        <v>6</v>
      </c>
    </row>
    <row r="112" spans="40:48" x14ac:dyDescent="0.25">
      <c r="AN112" t="s">
        <v>70</v>
      </c>
      <c r="AO112" t="s">
        <v>60</v>
      </c>
      <c r="AP112">
        <v>2001</v>
      </c>
      <c r="AQ112" t="s">
        <v>72</v>
      </c>
      <c r="AR112" t="s">
        <v>306</v>
      </c>
      <c r="AS112" t="s">
        <v>352</v>
      </c>
      <c r="AT112" t="s">
        <v>238</v>
      </c>
      <c r="AU112" t="s">
        <v>268</v>
      </c>
      <c r="AV112">
        <v>8.6999999999999993</v>
      </c>
    </row>
    <row r="113" spans="40:48" x14ac:dyDescent="0.25">
      <c r="AN113" t="s">
        <v>70</v>
      </c>
      <c r="AO113" t="s">
        <v>60</v>
      </c>
      <c r="AP113">
        <v>2001</v>
      </c>
      <c r="AQ113" t="s">
        <v>72</v>
      </c>
      <c r="AR113" t="s">
        <v>306</v>
      </c>
      <c r="AS113" t="s">
        <v>352</v>
      </c>
      <c r="AT113" t="s">
        <v>239</v>
      </c>
      <c r="AU113" t="s">
        <v>310</v>
      </c>
      <c r="AV113">
        <v>3.4</v>
      </c>
    </row>
    <row r="114" spans="40:48" x14ac:dyDescent="0.25">
      <c r="AN114" t="s">
        <v>70</v>
      </c>
      <c r="AO114" t="s">
        <v>60</v>
      </c>
      <c r="AP114">
        <v>2001</v>
      </c>
      <c r="AQ114" t="s">
        <v>72</v>
      </c>
      <c r="AR114" t="s">
        <v>306</v>
      </c>
      <c r="AS114" t="s">
        <v>352</v>
      </c>
      <c r="AT114" t="s">
        <v>239</v>
      </c>
      <c r="AU114" t="s">
        <v>311</v>
      </c>
      <c r="AV114">
        <v>7.7</v>
      </c>
    </row>
    <row r="115" spans="40:48" x14ac:dyDescent="0.25">
      <c r="AN115" t="s">
        <v>70</v>
      </c>
      <c r="AO115" t="s">
        <v>60</v>
      </c>
      <c r="AP115">
        <v>2001</v>
      </c>
      <c r="AQ115" t="s">
        <v>72</v>
      </c>
      <c r="AR115" t="s">
        <v>306</v>
      </c>
      <c r="AS115" t="s">
        <v>352</v>
      </c>
      <c r="AT115" t="s">
        <v>239</v>
      </c>
      <c r="AU115" t="s">
        <v>268</v>
      </c>
      <c r="AV115">
        <v>11.1</v>
      </c>
    </row>
    <row r="116" spans="40:48" x14ac:dyDescent="0.25">
      <c r="AN116" t="s">
        <v>70</v>
      </c>
      <c r="AO116" t="s">
        <v>60</v>
      </c>
      <c r="AP116">
        <v>2001</v>
      </c>
      <c r="AQ116" t="s">
        <v>72</v>
      </c>
      <c r="AR116" t="s">
        <v>306</v>
      </c>
      <c r="AS116" t="s">
        <v>352</v>
      </c>
      <c r="AT116" t="s">
        <v>240</v>
      </c>
      <c r="AU116" t="s">
        <v>310</v>
      </c>
      <c r="AV116">
        <v>5.2</v>
      </c>
    </row>
    <row r="117" spans="40:48" x14ac:dyDescent="0.25">
      <c r="AN117" t="s">
        <v>70</v>
      </c>
      <c r="AO117" t="s">
        <v>60</v>
      </c>
      <c r="AP117">
        <v>2001</v>
      </c>
      <c r="AQ117" t="s">
        <v>72</v>
      </c>
      <c r="AR117" t="s">
        <v>306</v>
      </c>
      <c r="AS117" t="s">
        <v>352</v>
      </c>
      <c r="AT117" t="s">
        <v>240</v>
      </c>
      <c r="AU117" t="s">
        <v>311</v>
      </c>
      <c r="AV117">
        <v>8.1999999999999993</v>
      </c>
    </row>
    <row r="118" spans="40:48" x14ac:dyDescent="0.25">
      <c r="AN118" t="s">
        <v>70</v>
      </c>
      <c r="AO118" t="s">
        <v>60</v>
      </c>
      <c r="AP118">
        <v>2001</v>
      </c>
      <c r="AQ118" t="s">
        <v>72</v>
      </c>
      <c r="AR118" t="s">
        <v>306</v>
      </c>
      <c r="AS118" t="s">
        <v>352</v>
      </c>
      <c r="AT118" t="s">
        <v>240</v>
      </c>
      <c r="AU118" t="s">
        <v>268</v>
      </c>
      <c r="AV118">
        <v>13.4</v>
      </c>
    </row>
    <row r="119" spans="40:48" x14ac:dyDescent="0.25">
      <c r="AN119" t="s">
        <v>70</v>
      </c>
      <c r="AO119" t="s">
        <v>60</v>
      </c>
      <c r="AP119">
        <v>2001</v>
      </c>
      <c r="AQ119" t="s">
        <v>72</v>
      </c>
      <c r="AR119" t="s">
        <v>306</v>
      </c>
      <c r="AS119" t="s">
        <v>352</v>
      </c>
      <c r="AT119" t="s">
        <v>316</v>
      </c>
      <c r="AU119" t="s">
        <v>310</v>
      </c>
      <c r="AV119">
        <v>4.3</v>
      </c>
    </row>
    <row r="120" spans="40:48" x14ac:dyDescent="0.25">
      <c r="AN120" t="s">
        <v>70</v>
      </c>
      <c r="AO120" t="s">
        <v>60</v>
      </c>
      <c r="AP120">
        <v>2001</v>
      </c>
      <c r="AQ120" t="s">
        <v>72</v>
      </c>
      <c r="AR120" t="s">
        <v>306</v>
      </c>
      <c r="AS120" t="s">
        <v>352</v>
      </c>
      <c r="AT120" t="s">
        <v>316</v>
      </c>
      <c r="AU120" t="s">
        <v>311</v>
      </c>
      <c r="AV120">
        <v>8</v>
      </c>
    </row>
    <row r="121" spans="40:48" x14ac:dyDescent="0.25">
      <c r="AN121" t="s">
        <v>70</v>
      </c>
      <c r="AO121" t="s">
        <v>60</v>
      </c>
      <c r="AP121">
        <v>2001</v>
      </c>
      <c r="AQ121" t="s">
        <v>72</v>
      </c>
      <c r="AR121" t="s">
        <v>306</v>
      </c>
      <c r="AS121" t="s">
        <v>352</v>
      </c>
      <c r="AT121" t="s">
        <v>316</v>
      </c>
      <c r="AU121" t="s">
        <v>268</v>
      </c>
      <c r="AV121">
        <v>12.3</v>
      </c>
    </row>
    <row r="122" spans="40:48" x14ac:dyDescent="0.25">
      <c r="AN122" t="s">
        <v>70</v>
      </c>
      <c r="AO122" t="s">
        <v>60</v>
      </c>
      <c r="AP122">
        <v>2001</v>
      </c>
      <c r="AQ122" t="s">
        <v>72</v>
      </c>
      <c r="AR122" t="s">
        <v>306</v>
      </c>
      <c r="AS122" t="s">
        <v>352</v>
      </c>
      <c r="AT122" t="s">
        <v>242</v>
      </c>
      <c r="AU122" t="s">
        <v>310</v>
      </c>
      <c r="AV122">
        <v>3.7</v>
      </c>
    </row>
    <row r="123" spans="40:48" x14ac:dyDescent="0.25">
      <c r="AN123" t="s">
        <v>70</v>
      </c>
      <c r="AO123" t="s">
        <v>60</v>
      </c>
      <c r="AP123">
        <v>2001</v>
      </c>
      <c r="AQ123" t="s">
        <v>72</v>
      </c>
      <c r="AR123" t="s">
        <v>306</v>
      </c>
      <c r="AS123" t="s">
        <v>352</v>
      </c>
      <c r="AT123" t="s">
        <v>242</v>
      </c>
      <c r="AU123" t="s">
        <v>311</v>
      </c>
      <c r="AV123">
        <v>7.3</v>
      </c>
    </row>
    <row r="124" spans="40:48" x14ac:dyDescent="0.25">
      <c r="AN124" t="s">
        <v>70</v>
      </c>
      <c r="AO124" t="s">
        <v>60</v>
      </c>
      <c r="AP124">
        <v>2001</v>
      </c>
      <c r="AQ124" t="s">
        <v>72</v>
      </c>
      <c r="AR124" t="s">
        <v>306</v>
      </c>
      <c r="AS124" t="s">
        <v>352</v>
      </c>
      <c r="AT124" t="s">
        <v>242</v>
      </c>
      <c r="AU124" t="s">
        <v>268</v>
      </c>
      <c r="AV124">
        <v>11</v>
      </c>
    </row>
    <row r="125" spans="40:48" x14ac:dyDescent="0.25">
      <c r="AN125" t="s">
        <v>70</v>
      </c>
      <c r="AO125" t="s">
        <v>60</v>
      </c>
      <c r="AP125">
        <v>2001</v>
      </c>
      <c r="AQ125" t="s">
        <v>72</v>
      </c>
      <c r="AR125" t="s">
        <v>306</v>
      </c>
      <c r="AS125" t="s">
        <v>352</v>
      </c>
      <c r="AT125" t="s">
        <v>243</v>
      </c>
      <c r="AU125" t="s">
        <v>337</v>
      </c>
      <c r="AV125">
        <v>24.4</v>
      </c>
    </row>
    <row r="126" spans="40:48" x14ac:dyDescent="0.25">
      <c r="AN126" t="s">
        <v>70</v>
      </c>
      <c r="AO126" t="s">
        <v>60</v>
      </c>
      <c r="AP126">
        <v>2001</v>
      </c>
      <c r="AQ126" t="s">
        <v>72</v>
      </c>
      <c r="AR126" t="s">
        <v>306</v>
      </c>
      <c r="AS126" t="s">
        <v>352</v>
      </c>
      <c r="AT126" t="s">
        <v>243</v>
      </c>
      <c r="AU126" t="s">
        <v>338</v>
      </c>
      <c r="AV126">
        <v>44</v>
      </c>
    </row>
    <row r="127" spans="40:48" x14ac:dyDescent="0.25">
      <c r="AN127" t="s">
        <v>70</v>
      </c>
      <c r="AO127" t="s">
        <v>60</v>
      </c>
      <c r="AP127">
        <v>2001</v>
      </c>
      <c r="AQ127" t="s">
        <v>72</v>
      </c>
      <c r="AR127" t="s">
        <v>306</v>
      </c>
      <c r="AS127" t="s">
        <v>352</v>
      </c>
      <c r="AT127" t="s">
        <v>243</v>
      </c>
      <c r="AU127" t="s">
        <v>349</v>
      </c>
      <c r="AV127">
        <v>68.400000000000006</v>
      </c>
    </row>
    <row r="128" spans="40:48" x14ac:dyDescent="0.25">
      <c r="AN128" t="s">
        <v>118</v>
      </c>
      <c r="AO128" t="s">
        <v>60</v>
      </c>
      <c r="AP128">
        <v>2000</v>
      </c>
      <c r="AQ128" t="s">
        <v>31</v>
      </c>
      <c r="AR128" t="s">
        <v>306</v>
      </c>
      <c r="AS128" t="s">
        <v>352</v>
      </c>
      <c r="AT128" t="s">
        <v>218</v>
      </c>
      <c r="AU128" t="s">
        <v>310</v>
      </c>
      <c r="AV128">
        <v>4.2</v>
      </c>
    </row>
    <row r="129" spans="40:48" x14ac:dyDescent="0.25">
      <c r="AN129" t="s">
        <v>118</v>
      </c>
      <c r="AO129" t="s">
        <v>60</v>
      </c>
      <c r="AP129">
        <v>2000</v>
      </c>
      <c r="AQ129" t="s">
        <v>31</v>
      </c>
      <c r="AR129" t="s">
        <v>306</v>
      </c>
      <c r="AS129" t="s">
        <v>352</v>
      </c>
      <c r="AT129" t="s">
        <v>218</v>
      </c>
      <c r="AU129" t="s">
        <v>311</v>
      </c>
      <c r="AV129">
        <v>6.2</v>
      </c>
    </row>
    <row r="130" spans="40:48" x14ac:dyDescent="0.25">
      <c r="AN130" t="s">
        <v>118</v>
      </c>
      <c r="AO130" t="s">
        <v>60</v>
      </c>
      <c r="AP130">
        <v>2000</v>
      </c>
      <c r="AQ130" t="s">
        <v>31</v>
      </c>
      <c r="AR130" t="s">
        <v>306</v>
      </c>
      <c r="AS130" t="s">
        <v>352</v>
      </c>
      <c r="AT130" t="s">
        <v>218</v>
      </c>
      <c r="AU130" t="s">
        <v>268</v>
      </c>
      <c r="AV130">
        <v>10.4</v>
      </c>
    </row>
    <row r="131" spans="40:48" x14ac:dyDescent="0.25">
      <c r="AN131" t="s">
        <v>118</v>
      </c>
      <c r="AO131" t="s">
        <v>60</v>
      </c>
      <c r="AP131">
        <v>2000</v>
      </c>
      <c r="AQ131" t="s">
        <v>31</v>
      </c>
      <c r="AR131" t="s">
        <v>306</v>
      </c>
      <c r="AS131" t="s">
        <v>352</v>
      </c>
      <c r="AT131" t="s">
        <v>238</v>
      </c>
      <c r="AU131" t="s">
        <v>310</v>
      </c>
      <c r="AV131">
        <v>3.3</v>
      </c>
    </row>
    <row r="132" spans="40:48" x14ac:dyDescent="0.25">
      <c r="AN132" t="s">
        <v>118</v>
      </c>
      <c r="AO132" t="s">
        <v>60</v>
      </c>
      <c r="AP132">
        <v>2000</v>
      </c>
      <c r="AQ132" t="s">
        <v>31</v>
      </c>
      <c r="AR132" t="s">
        <v>306</v>
      </c>
      <c r="AS132" t="s">
        <v>352</v>
      </c>
      <c r="AT132" t="s">
        <v>238</v>
      </c>
      <c r="AU132" t="s">
        <v>311</v>
      </c>
      <c r="AV132">
        <v>7.4</v>
      </c>
    </row>
    <row r="133" spans="40:48" x14ac:dyDescent="0.25">
      <c r="AN133" t="s">
        <v>118</v>
      </c>
      <c r="AO133" t="s">
        <v>60</v>
      </c>
      <c r="AP133">
        <v>2000</v>
      </c>
      <c r="AQ133" t="s">
        <v>31</v>
      </c>
      <c r="AR133" t="s">
        <v>306</v>
      </c>
      <c r="AS133" t="s">
        <v>352</v>
      </c>
      <c r="AT133" t="s">
        <v>238</v>
      </c>
      <c r="AU133" t="s">
        <v>268</v>
      </c>
      <c r="AV133">
        <v>10.7</v>
      </c>
    </row>
    <row r="134" spans="40:48" x14ac:dyDescent="0.25">
      <c r="AN134" t="s">
        <v>118</v>
      </c>
      <c r="AO134" t="s">
        <v>60</v>
      </c>
      <c r="AP134">
        <v>2000</v>
      </c>
      <c r="AQ134" t="s">
        <v>31</v>
      </c>
      <c r="AR134" t="s">
        <v>306</v>
      </c>
      <c r="AS134" t="s">
        <v>352</v>
      </c>
      <c r="AT134" t="s">
        <v>239</v>
      </c>
      <c r="AU134" t="s">
        <v>310</v>
      </c>
      <c r="AV134">
        <v>4.0999999999999996</v>
      </c>
    </row>
    <row r="135" spans="40:48" x14ac:dyDescent="0.25">
      <c r="AN135" t="s">
        <v>118</v>
      </c>
      <c r="AO135" t="s">
        <v>60</v>
      </c>
      <c r="AP135">
        <v>2000</v>
      </c>
      <c r="AQ135" t="s">
        <v>31</v>
      </c>
      <c r="AR135" t="s">
        <v>306</v>
      </c>
      <c r="AS135" t="s">
        <v>352</v>
      </c>
      <c r="AT135" t="s">
        <v>239</v>
      </c>
      <c r="AU135" t="s">
        <v>311</v>
      </c>
      <c r="AV135">
        <v>7.5</v>
      </c>
    </row>
    <row r="136" spans="40:48" x14ac:dyDescent="0.25">
      <c r="AN136" t="s">
        <v>118</v>
      </c>
      <c r="AO136" t="s">
        <v>60</v>
      </c>
      <c r="AP136">
        <v>2000</v>
      </c>
      <c r="AQ136" t="s">
        <v>31</v>
      </c>
      <c r="AR136" t="s">
        <v>306</v>
      </c>
      <c r="AS136" t="s">
        <v>352</v>
      </c>
      <c r="AT136" t="s">
        <v>239</v>
      </c>
      <c r="AU136" t="s">
        <v>268</v>
      </c>
      <c r="AV136">
        <v>11.6</v>
      </c>
    </row>
    <row r="137" spans="40:48" x14ac:dyDescent="0.25">
      <c r="AN137" t="s">
        <v>118</v>
      </c>
      <c r="AO137" t="s">
        <v>60</v>
      </c>
      <c r="AP137">
        <v>2000</v>
      </c>
      <c r="AQ137" t="s">
        <v>31</v>
      </c>
      <c r="AR137" t="s">
        <v>306</v>
      </c>
      <c r="AS137" t="s">
        <v>352</v>
      </c>
      <c r="AT137" t="s">
        <v>240</v>
      </c>
      <c r="AU137" t="s">
        <v>310</v>
      </c>
      <c r="AV137">
        <v>4</v>
      </c>
    </row>
    <row r="138" spans="40:48" x14ac:dyDescent="0.25">
      <c r="AN138" t="s">
        <v>118</v>
      </c>
      <c r="AO138" t="s">
        <v>60</v>
      </c>
      <c r="AP138">
        <v>2000</v>
      </c>
      <c r="AQ138" t="s">
        <v>31</v>
      </c>
      <c r="AR138" t="s">
        <v>306</v>
      </c>
      <c r="AS138" t="s">
        <v>352</v>
      </c>
      <c r="AT138" t="s">
        <v>240</v>
      </c>
      <c r="AU138" t="s">
        <v>311</v>
      </c>
      <c r="AV138">
        <v>8.9</v>
      </c>
    </row>
    <row r="139" spans="40:48" x14ac:dyDescent="0.25">
      <c r="AN139" t="s">
        <v>118</v>
      </c>
      <c r="AO139" t="s">
        <v>60</v>
      </c>
      <c r="AP139">
        <v>2000</v>
      </c>
      <c r="AQ139" t="s">
        <v>31</v>
      </c>
      <c r="AR139" t="s">
        <v>306</v>
      </c>
      <c r="AS139" t="s">
        <v>352</v>
      </c>
      <c r="AT139" t="s">
        <v>240</v>
      </c>
      <c r="AU139" t="s">
        <v>268</v>
      </c>
      <c r="AV139">
        <v>12.9</v>
      </c>
    </row>
    <row r="140" spans="40:48" x14ac:dyDescent="0.25">
      <c r="AN140" t="s">
        <v>118</v>
      </c>
      <c r="AO140" t="s">
        <v>60</v>
      </c>
      <c r="AP140">
        <v>2000</v>
      </c>
      <c r="AQ140" t="s">
        <v>31</v>
      </c>
      <c r="AR140" t="s">
        <v>306</v>
      </c>
      <c r="AS140" t="s">
        <v>352</v>
      </c>
      <c r="AT140" t="s">
        <v>316</v>
      </c>
      <c r="AU140" t="s">
        <v>310</v>
      </c>
      <c r="AV140">
        <v>3.6</v>
      </c>
    </row>
    <row r="141" spans="40:48" x14ac:dyDescent="0.25">
      <c r="AN141" t="s">
        <v>118</v>
      </c>
      <c r="AO141" t="s">
        <v>60</v>
      </c>
      <c r="AP141">
        <v>2000</v>
      </c>
      <c r="AQ141" t="s">
        <v>31</v>
      </c>
      <c r="AR141" t="s">
        <v>306</v>
      </c>
      <c r="AS141" t="s">
        <v>352</v>
      </c>
      <c r="AT141" t="s">
        <v>316</v>
      </c>
      <c r="AU141" t="s">
        <v>311</v>
      </c>
      <c r="AV141">
        <v>7</v>
      </c>
    </row>
    <row r="142" spans="40:48" x14ac:dyDescent="0.25">
      <c r="AN142" t="s">
        <v>118</v>
      </c>
      <c r="AO142" t="s">
        <v>60</v>
      </c>
      <c r="AP142">
        <v>2000</v>
      </c>
      <c r="AQ142" t="s">
        <v>31</v>
      </c>
      <c r="AR142" t="s">
        <v>306</v>
      </c>
      <c r="AS142" t="s">
        <v>352</v>
      </c>
      <c r="AT142" t="s">
        <v>316</v>
      </c>
      <c r="AU142" t="s">
        <v>268</v>
      </c>
      <c r="AV142">
        <v>10.6</v>
      </c>
    </row>
    <row r="143" spans="40:48" x14ac:dyDescent="0.25">
      <c r="AN143" t="s">
        <v>118</v>
      </c>
      <c r="AO143" t="s">
        <v>60</v>
      </c>
      <c r="AP143">
        <v>2000</v>
      </c>
      <c r="AQ143" t="s">
        <v>31</v>
      </c>
      <c r="AR143" t="s">
        <v>306</v>
      </c>
      <c r="AS143" t="s">
        <v>352</v>
      </c>
      <c r="AT143" t="s">
        <v>242</v>
      </c>
      <c r="AU143" t="s">
        <v>310</v>
      </c>
      <c r="AV143">
        <v>3.3</v>
      </c>
    </row>
    <row r="144" spans="40:48" x14ac:dyDescent="0.25">
      <c r="AN144" t="s">
        <v>118</v>
      </c>
      <c r="AO144" t="s">
        <v>60</v>
      </c>
      <c r="AP144">
        <v>2000</v>
      </c>
      <c r="AQ144" t="s">
        <v>31</v>
      </c>
      <c r="AR144" t="s">
        <v>306</v>
      </c>
      <c r="AS144" t="s">
        <v>352</v>
      </c>
      <c r="AT144" t="s">
        <v>242</v>
      </c>
      <c r="AU144" t="s">
        <v>311</v>
      </c>
      <c r="AV144">
        <v>7.4</v>
      </c>
    </row>
    <row r="145" spans="40:48" x14ac:dyDescent="0.25">
      <c r="AN145" t="s">
        <v>118</v>
      </c>
      <c r="AO145" t="s">
        <v>60</v>
      </c>
      <c r="AP145">
        <v>2000</v>
      </c>
      <c r="AQ145" t="s">
        <v>31</v>
      </c>
      <c r="AR145" t="s">
        <v>306</v>
      </c>
      <c r="AS145" t="s">
        <v>352</v>
      </c>
      <c r="AT145" t="s">
        <v>242</v>
      </c>
      <c r="AU145" t="s">
        <v>268</v>
      </c>
      <c r="AV145">
        <v>10.7</v>
      </c>
    </row>
    <row r="146" spans="40:48" x14ac:dyDescent="0.25">
      <c r="AN146" t="s">
        <v>118</v>
      </c>
      <c r="AO146" t="s">
        <v>60</v>
      </c>
      <c r="AP146">
        <v>2000</v>
      </c>
      <c r="AQ146" t="s">
        <v>31</v>
      </c>
      <c r="AR146" t="s">
        <v>306</v>
      </c>
      <c r="AS146" t="s">
        <v>352</v>
      </c>
      <c r="AT146" t="s">
        <v>243</v>
      </c>
      <c r="AU146" t="s">
        <v>337</v>
      </c>
      <c r="AV146">
        <v>22.5</v>
      </c>
    </row>
    <row r="147" spans="40:48" x14ac:dyDescent="0.25">
      <c r="AN147" t="s">
        <v>118</v>
      </c>
      <c r="AO147" t="s">
        <v>60</v>
      </c>
      <c r="AP147">
        <v>2000</v>
      </c>
      <c r="AQ147" t="s">
        <v>31</v>
      </c>
      <c r="AR147" t="s">
        <v>306</v>
      </c>
      <c r="AS147" t="s">
        <v>352</v>
      </c>
      <c r="AT147" t="s">
        <v>243</v>
      </c>
      <c r="AU147" t="s">
        <v>338</v>
      </c>
      <c r="AV147">
        <v>44.4</v>
      </c>
    </row>
    <row r="148" spans="40:48" x14ac:dyDescent="0.25">
      <c r="AN148" t="s">
        <v>118</v>
      </c>
      <c r="AO148" t="s">
        <v>60</v>
      </c>
      <c r="AP148">
        <v>2000</v>
      </c>
      <c r="AQ148" t="s">
        <v>31</v>
      </c>
      <c r="AR148" t="s">
        <v>306</v>
      </c>
      <c r="AS148" t="s">
        <v>352</v>
      </c>
      <c r="AT148" t="s">
        <v>243</v>
      </c>
      <c r="AU148" t="s">
        <v>349</v>
      </c>
      <c r="AV148">
        <v>66.900000000000006</v>
      </c>
    </row>
    <row r="149" spans="40:48" x14ac:dyDescent="0.25">
      <c r="AN149" t="s">
        <v>84</v>
      </c>
      <c r="AO149" t="s">
        <v>60</v>
      </c>
      <c r="AP149">
        <v>2004</v>
      </c>
      <c r="AQ149" t="s">
        <v>39</v>
      </c>
      <c r="AR149" t="s">
        <v>306</v>
      </c>
      <c r="AS149" t="s">
        <v>352</v>
      </c>
      <c r="AT149" t="s">
        <v>218</v>
      </c>
      <c r="AU149" t="s">
        <v>310</v>
      </c>
      <c r="AV149">
        <v>4.0999999999999996</v>
      </c>
    </row>
    <row r="150" spans="40:48" x14ac:dyDescent="0.25">
      <c r="AN150" t="s">
        <v>84</v>
      </c>
      <c r="AO150" t="s">
        <v>60</v>
      </c>
      <c r="AP150">
        <v>2004</v>
      </c>
      <c r="AQ150" t="s">
        <v>39</v>
      </c>
      <c r="AR150" t="s">
        <v>306</v>
      </c>
      <c r="AS150" t="s">
        <v>352</v>
      </c>
      <c r="AT150" t="s">
        <v>218</v>
      </c>
      <c r="AU150" t="s">
        <v>311</v>
      </c>
      <c r="AV150">
        <v>7.3</v>
      </c>
    </row>
    <row r="151" spans="40:48" x14ac:dyDescent="0.25">
      <c r="AN151" t="s">
        <v>84</v>
      </c>
      <c r="AO151" t="s">
        <v>60</v>
      </c>
      <c r="AP151">
        <v>2004</v>
      </c>
      <c r="AQ151" t="s">
        <v>39</v>
      </c>
      <c r="AR151" t="s">
        <v>306</v>
      </c>
      <c r="AS151" t="s">
        <v>352</v>
      </c>
      <c r="AT151" t="s">
        <v>218</v>
      </c>
      <c r="AU151" t="s">
        <v>268</v>
      </c>
      <c r="AV151">
        <v>11.4</v>
      </c>
    </row>
    <row r="152" spans="40:48" x14ac:dyDescent="0.25">
      <c r="AN152" t="s">
        <v>84</v>
      </c>
      <c r="AO152" t="s">
        <v>60</v>
      </c>
      <c r="AP152">
        <v>2004</v>
      </c>
      <c r="AQ152" t="s">
        <v>39</v>
      </c>
      <c r="AR152" t="s">
        <v>306</v>
      </c>
      <c r="AS152" t="s">
        <v>352</v>
      </c>
      <c r="AT152" t="s">
        <v>238</v>
      </c>
      <c r="AU152" t="s">
        <v>310</v>
      </c>
      <c r="AV152">
        <v>3.5</v>
      </c>
    </row>
    <row r="153" spans="40:48" x14ac:dyDescent="0.25">
      <c r="AN153" t="s">
        <v>84</v>
      </c>
      <c r="AO153" t="s">
        <v>60</v>
      </c>
      <c r="AP153">
        <v>2004</v>
      </c>
      <c r="AQ153" t="s">
        <v>39</v>
      </c>
      <c r="AR153" t="s">
        <v>306</v>
      </c>
      <c r="AS153" t="s">
        <v>352</v>
      </c>
      <c r="AT153" t="s">
        <v>238</v>
      </c>
      <c r="AU153" t="s">
        <v>311</v>
      </c>
      <c r="AV153">
        <v>5.5</v>
      </c>
    </row>
    <row r="154" spans="40:48" x14ac:dyDescent="0.25">
      <c r="AN154" t="s">
        <v>84</v>
      </c>
      <c r="AO154" t="s">
        <v>60</v>
      </c>
      <c r="AP154">
        <v>2004</v>
      </c>
      <c r="AQ154" t="s">
        <v>39</v>
      </c>
      <c r="AR154" t="s">
        <v>306</v>
      </c>
      <c r="AS154" t="s">
        <v>352</v>
      </c>
      <c r="AT154" t="s">
        <v>238</v>
      </c>
      <c r="AU154" t="s">
        <v>268</v>
      </c>
      <c r="AV154">
        <v>9</v>
      </c>
    </row>
    <row r="155" spans="40:48" x14ac:dyDescent="0.25">
      <c r="AN155" t="s">
        <v>84</v>
      </c>
      <c r="AO155" t="s">
        <v>60</v>
      </c>
      <c r="AP155">
        <v>2004</v>
      </c>
      <c r="AQ155" t="s">
        <v>39</v>
      </c>
      <c r="AR155" t="s">
        <v>306</v>
      </c>
      <c r="AS155" t="s">
        <v>352</v>
      </c>
      <c r="AT155" t="s">
        <v>239</v>
      </c>
      <c r="AU155" t="s">
        <v>310</v>
      </c>
      <c r="AV155">
        <v>3.1</v>
      </c>
    </row>
    <row r="156" spans="40:48" x14ac:dyDescent="0.25">
      <c r="AN156" t="s">
        <v>84</v>
      </c>
      <c r="AO156" t="s">
        <v>60</v>
      </c>
      <c r="AP156">
        <v>2004</v>
      </c>
      <c r="AQ156" t="s">
        <v>39</v>
      </c>
      <c r="AR156" t="s">
        <v>306</v>
      </c>
      <c r="AS156" t="s">
        <v>352</v>
      </c>
      <c r="AT156" t="s">
        <v>239</v>
      </c>
      <c r="AU156" t="s">
        <v>311</v>
      </c>
      <c r="AV156">
        <v>7.3</v>
      </c>
    </row>
    <row r="157" spans="40:48" x14ac:dyDescent="0.25">
      <c r="AN157" t="s">
        <v>84</v>
      </c>
      <c r="AO157" t="s">
        <v>60</v>
      </c>
      <c r="AP157">
        <v>2004</v>
      </c>
      <c r="AQ157" t="s">
        <v>39</v>
      </c>
      <c r="AR157" t="s">
        <v>306</v>
      </c>
      <c r="AS157" t="s">
        <v>352</v>
      </c>
      <c r="AT157" t="s">
        <v>239</v>
      </c>
      <c r="AU157" t="s">
        <v>268</v>
      </c>
      <c r="AV157">
        <v>10.4</v>
      </c>
    </row>
    <row r="158" spans="40:48" x14ac:dyDescent="0.25">
      <c r="AN158" t="s">
        <v>84</v>
      </c>
      <c r="AO158" t="s">
        <v>60</v>
      </c>
      <c r="AP158">
        <v>2004</v>
      </c>
      <c r="AQ158" t="s">
        <v>39</v>
      </c>
      <c r="AR158" t="s">
        <v>306</v>
      </c>
      <c r="AS158" t="s">
        <v>352</v>
      </c>
      <c r="AT158" t="s">
        <v>240</v>
      </c>
      <c r="AU158" t="s">
        <v>310</v>
      </c>
      <c r="AV158">
        <v>3.2</v>
      </c>
    </row>
    <row r="159" spans="40:48" x14ac:dyDescent="0.25">
      <c r="AN159" t="s">
        <v>84</v>
      </c>
      <c r="AO159" t="s">
        <v>60</v>
      </c>
      <c r="AP159">
        <v>2004</v>
      </c>
      <c r="AQ159" t="s">
        <v>39</v>
      </c>
      <c r="AR159" t="s">
        <v>306</v>
      </c>
      <c r="AS159" t="s">
        <v>352</v>
      </c>
      <c r="AT159" t="s">
        <v>240</v>
      </c>
      <c r="AU159" t="s">
        <v>311</v>
      </c>
      <c r="AV159">
        <v>8.3000000000000007</v>
      </c>
    </row>
    <row r="160" spans="40:48" x14ac:dyDescent="0.25">
      <c r="AN160" t="s">
        <v>84</v>
      </c>
      <c r="AO160" t="s">
        <v>60</v>
      </c>
      <c r="AP160">
        <v>2004</v>
      </c>
      <c r="AQ160" t="s">
        <v>39</v>
      </c>
      <c r="AR160" t="s">
        <v>306</v>
      </c>
      <c r="AS160" t="s">
        <v>352</v>
      </c>
      <c r="AT160" t="s">
        <v>240</v>
      </c>
      <c r="AU160" t="s">
        <v>268</v>
      </c>
      <c r="AV160">
        <v>11.5</v>
      </c>
    </row>
    <row r="161" spans="40:48" x14ac:dyDescent="0.25">
      <c r="AN161" t="s">
        <v>84</v>
      </c>
      <c r="AO161" t="s">
        <v>60</v>
      </c>
      <c r="AP161">
        <v>2004</v>
      </c>
      <c r="AQ161" t="s">
        <v>39</v>
      </c>
      <c r="AR161" t="s">
        <v>306</v>
      </c>
      <c r="AS161" t="s">
        <v>352</v>
      </c>
      <c r="AT161" t="s">
        <v>316</v>
      </c>
      <c r="AU161" t="s">
        <v>310</v>
      </c>
      <c r="AV161">
        <v>4.2</v>
      </c>
    </row>
    <row r="162" spans="40:48" x14ac:dyDescent="0.25">
      <c r="AN162" t="s">
        <v>84</v>
      </c>
      <c r="AO162" t="s">
        <v>60</v>
      </c>
      <c r="AP162">
        <v>2004</v>
      </c>
      <c r="AQ162" t="s">
        <v>39</v>
      </c>
      <c r="AR162" t="s">
        <v>306</v>
      </c>
      <c r="AS162" t="s">
        <v>352</v>
      </c>
      <c r="AT162" t="s">
        <v>316</v>
      </c>
      <c r="AU162" t="s">
        <v>311</v>
      </c>
      <c r="AV162">
        <v>7.7</v>
      </c>
    </row>
    <row r="163" spans="40:48" x14ac:dyDescent="0.25">
      <c r="AN163" t="s">
        <v>84</v>
      </c>
      <c r="AO163" t="s">
        <v>60</v>
      </c>
      <c r="AP163">
        <v>2004</v>
      </c>
      <c r="AQ163" t="s">
        <v>39</v>
      </c>
      <c r="AR163" t="s">
        <v>306</v>
      </c>
      <c r="AS163" t="s">
        <v>352</v>
      </c>
      <c r="AT163" t="s">
        <v>316</v>
      </c>
      <c r="AU163" t="s">
        <v>268</v>
      </c>
      <c r="AV163">
        <v>11.9</v>
      </c>
    </row>
    <row r="164" spans="40:48" x14ac:dyDescent="0.25">
      <c r="AN164" t="s">
        <v>84</v>
      </c>
      <c r="AO164" t="s">
        <v>60</v>
      </c>
      <c r="AP164">
        <v>2004</v>
      </c>
      <c r="AQ164" t="s">
        <v>39</v>
      </c>
      <c r="AR164" t="s">
        <v>306</v>
      </c>
      <c r="AS164" t="s">
        <v>352</v>
      </c>
      <c r="AT164" t="s">
        <v>242</v>
      </c>
      <c r="AU164" t="s">
        <v>310</v>
      </c>
      <c r="AV164">
        <v>2.5</v>
      </c>
    </row>
    <row r="165" spans="40:48" x14ac:dyDescent="0.25">
      <c r="AN165" t="s">
        <v>84</v>
      </c>
      <c r="AO165" t="s">
        <v>60</v>
      </c>
      <c r="AP165">
        <v>2004</v>
      </c>
      <c r="AQ165" t="s">
        <v>39</v>
      </c>
      <c r="AR165" t="s">
        <v>306</v>
      </c>
      <c r="AS165" t="s">
        <v>352</v>
      </c>
      <c r="AT165" t="s">
        <v>242</v>
      </c>
      <c r="AU165" t="s">
        <v>311</v>
      </c>
      <c r="AV165">
        <v>8.6999999999999993</v>
      </c>
    </row>
    <row r="166" spans="40:48" x14ac:dyDescent="0.25">
      <c r="AN166" t="s">
        <v>84</v>
      </c>
      <c r="AO166" t="s">
        <v>60</v>
      </c>
      <c r="AP166">
        <v>2004</v>
      </c>
      <c r="AQ166" t="s">
        <v>39</v>
      </c>
      <c r="AR166" t="s">
        <v>306</v>
      </c>
      <c r="AS166" t="s">
        <v>352</v>
      </c>
      <c r="AT166" t="s">
        <v>242</v>
      </c>
      <c r="AU166" t="s">
        <v>268</v>
      </c>
      <c r="AV166">
        <v>11.2</v>
      </c>
    </row>
    <row r="167" spans="40:48" x14ac:dyDescent="0.25">
      <c r="AN167" t="s">
        <v>84</v>
      </c>
      <c r="AO167" t="s">
        <v>60</v>
      </c>
      <c r="AP167">
        <v>2004</v>
      </c>
      <c r="AQ167" t="s">
        <v>39</v>
      </c>
      <c r="AR167" t="s">
        <v>306</v>
      </c>
      <c r="AS167" t="s">
        <v>352</v>
      </c>
      <c r="AT167" t="s">
        <v>243</v>
      </c>
      <c r="AU167" t="s">
        <v>337</v>
      </c>
      <c r="AV167">
        <v>20.599999999999998</v>
      </c>
    </row>
    <row r="168" spans="40:48" x14ac:dyDescent="0.25">
      <c r="AN168" t="s">
        <v>84</v>
      </c>
      <c r="AO168" t="s">
        <v>60</v>
      </c>
      <c r="AP168">
        <v>2004</v>
      </c>
      <c r="AQ168" t="s">
        <v>39</v>
      </c>
      <c r="AR168" t="s">
        <v>306</v>
      </c>
      <c r="AS168" t="s">
        <v>352</v>
      </c>
      <c r="AT168" t="s">
        <v>243</v>
      </c>
      <c r="AU168" t="s">
        <v>338</v>
      </c>
      <c r="AV168">
        <v>44.8</v>
      </c>
    </row>
    <row r="169" spans="40:48" x14ac:dyDescent="0.25">
      <c r="AN169" t="s">
        <v>84</v>
      </c>
      <c r="AO169" t="s">
        <v>60</v>
      </c>
      <c r="AP169">
        <v>2004</v>
      </c>
      <c r="AQ169" t="s">
        <v>39</v>
      </c>
      <c r="AR169" t="s">
        <v>306</v>
      </c>
      <c r="AS169" t="s">
        <v>352</v>
      </c>
      <c r="AT169" t="s">
        <v>243</v>
      </c>
      <c r="AU169" t="s">
        <v>349</v>
      </c>
      <c r="AV169">
        <v>65.400000000000006</v>
      </c>
    </row>
    <row r="170" spans="40:48" x14ac:dyDescent="0.25">
      <c r="AN170" t="s">
        <v>68</v>
      </c>
      <c r="AO170" t="s">
        <v>60</v>
      </c>
      <c r="AP170">
        <v>2004</v>
      </c>
      <c r="AQ170" t="s">
        <v>31</v>
      </c>
      <c r="AR170" t="s">
        <v>306</v>
      </c>
      <c r="AS170" t="s">
        <v>352</v>
      </c>
      <c r="AT170" t="s">
        <v>218</v>
      </c>
      <c r="AU170" t="s">
        <v>310</v>
      </c>
      <c r="AV170">
        <v>4</v>
      </c>
    </row>
    <row r="171" spans="40:48" x14ac:dyDescent="0.25">
      <c r="AN171" t="s">
        <v>68</v>
      </c>
      <c r="AO171" t="s">
        <v>60</v>
      </c>
      <c r="AP171">
        <v>2004</v>
      </c>
      <c r="AQ171" t="s">
        <v>31</v>
      </c>
      <c r="AR171" t="s">
        <v>306</v>
      </c>
      <c r="AS171" t="s">
        <v>352</v>
      </c>
      <c r="AT171" t="s">
        <v>218</v>
      </c>
      <c r="AU171" t="s">
        <v>311</v>
      </c>
      <c r="AV171">
        <v>6.3</v>
      </c>
    </row>
    <row r="172" spans="40:48" x14ac:dyDescent="0.25">
      <c r="AN172" t="s">
        <v>68</v>
      </c>
      <c r="AO172" t="s">
        <v>60</v>
      </c>
      <c r="AP172">
        <v>2004</v>
      </c>
      <c r="AQ172" t="s">
        <v>31</v>
      </c>
      <c r="AR172" t="s">
        <v>306</v>
      </c>
      <c r="AS172" t="s">
        <v>352</v>
      </c>
      <c r="AT172" t="s">
        <v>218</v>
      </c>
      <c r="AU172" t="s">
        <v>268</v>
      </c>
      <c r="AV172">
        <v>10.3</v>
      </c>
    </row>
    <row r="173" spans="40:48" x14ac:dyDescent="0.25">
      <c r="AN173" t="s">
        <v>68</v>
      </c>
      <c r="AO173" t="s">
        <v>60</v>
      </c>
      <c r="AP173">
        <v>2004</v>
      </c>
      <c r="AQ173" t="s">
        <v>31</v>
      </c>
      <c r="AR173" t="s">
        <v>306</v>
      </c>
      <c r="AS173" t="s">
        <v>352</v>
      </c>
      <c r="AT173" t="s">
        <v>238</v>
      </c>
      <c r="AU173" t="s">
        <v>310</v>
      </c>
      <c r="AV173">
        <v>3.2</v>
      </c>
    </row>
    <row r="174" spans="40:48" x14ac:dyDescent="0.25">
      <c r="AN174" t="s">
        <v>68</v>
      </c>
      <c r="AO174" t="s">
        <v>60</v>
      </c>
      <c r="AP174">
        <v>2004</v>
      </c>
      <c r="AQ174" t="s">
        <v>31</v>
      </c>
      <c r="AR174" t="s">
        <v>306</v>
      </c>
      <c r="AS174" t="s">
        <v>352</v>
      </c>
      <c r="AT174" t="s">
        <v>238</v>
      </c>
      <c r="AU174" t="s">
        <v>311</v>
      </c>
      <c r="AV174">
        <v>7.4</v>
      </c>
    </row>
    <row r="175" spans="40:48" x14ac:dyDescent="0.25">
      <c r="AN175" t="s">
        <v>68</v>
      </c>
      <c r="AO175" t="s">
        <v>60</v>
      </c>
      <c r="AP175">
        <v>2004</v>
      </c>
      <c r="AQ175" t="s">
        <v>31</v>
      </c>
      <c r="AR175" t="s">
        <v>306</v>
      </c>
      <c r="AS175" t="s">
        <v>352</v>
      </c>
      <c r="AT175" t="s">
        <v>238</v>
      </c>
      <c r="AU175" t="s">
        <v>268</v>
      </c>
      <c r="AV175">
        <v>10.6</v>
      </c>
    </row>
    <row r="176" spans="40:48" x14ac:dyDescent="0.25">
      <c r="AN176" t="s">
        <v>68</v>
      </c>
      <c r="AO176" t="s">
        <v>60</v>
      </c>
      <c r="AP176">
        <v>2004</v>
      </c>
      <c r="AQ176" t="s">
        <v>31</v>
      </c>
      <c r="AR176" t="s">
        <v>306</v>
      </c>
      <c r="AS176" t="s">
        <v>352</v>
      </c>
      <c r="AT176" t="s">
        <v>239</v>
      </c>
      <c r="AU176" t="s">
        <v>310</v>
      </c>
      <c r="AV176">
        <v>3.7</v>
      </c>
    </row>
    <row r="177" spans="40:48" x14ac:dyDescent="0.25">
      <c r="AN177" t="s">
        <v>68</v>
      </c>
      <c r="AO177" t="s">
        <v>60</v>
      </c>
      <c r="AP177">
        <v>2004</v>
      </c>
      <c r="AQ177" t="s">
        <v>31</v>
      </c>
      <c r="AR177" t="s">
        <v>306</v>
      </c>
      <c r="AS177" t="s">
        <v>352</v>
      </c>
      <c r="AT177" t="s">
        <v>239</v>
      </c>
      <c r="AU177" t="s">
        <v>311</v>
      </c>
      <c r="AV177">
        <v>7.3</v>
      </c>
    </row>
    <row r="178" spans="40:48" x14ac:dyDescent="0.25">
      <c r="AN178" t="s">
        <v>68</v>
      </c>
      <c r="AO178" t="s">
        <v>60</v>
      </c>
      <c r="AP178">
        <v>2004</v>
      </c>
      <c r="AQ178" t="s">
        <v>31</v>
      </c>
      <c r="AR178" t="s">
        <v>306</v>
      </c>
      <c r="AS178" t="s">
        <v>352</v>
      </c>
      <c r="AT178" t="s">
        <v>239</v>
      </c>
      <c r="AU178" t="s">
        <v>268</v>
      </c>
      <c r="AV178">
        <v>11</v>
      </c>
    </row>
    <row r="179" spans="40:48" x14ac:dyDescent="0.25">
      <c r="AN179" t="s">
        <v>68</v>
      </c>
      <c r="AO179" t="s">
        <v>60</v>
      </c>
      <c r="AP179">
        <v>2004</v>
      </c>
      <c r="AQ179" t="s">
        <v>31</v>
      </c>
      <c r="AR179" t="s">
        <v>306</v>
      </c>
      <c r="AS179" t="s">
        <v>352</v>
      </c>
      <c r="AT179" t="s">
        <v>240</v>
      </c>
      <c r="AU179" t="s">
        <v>310</v>
      </c>
      <c r="AV179">
        <v>4</v>
      </c>
    </row>
    <row r="180" spans="40:48" x14ac:dyDescent="0.25">
      <c r="AN180" t="s">
        <v>68</v>
      </c>
      <c r="AO180" t="s">
        <v>60</v>
      </c>
      <c r="AP180">
        <v>2004</v>
      </c>
      <c r="AQ180" t="s">
        <v>31</v>
      </c>
      <c r="AR180" t="s">
        <v>306</v>
      </c>
      <c r="AS180" t="s">
        <v>352</v>
      </c>
      <c r="AT180" t="s">
        <v>240</v>
      </c>
      <c r="AU180" t="s">
        <v>311</v>
      </c>
      <c r="AV180">
        <v>8.8000000000000007</v>
      </c>
    </row>
    <row r="181" spans="40:48" x14ac:dyDescent="0.25">
      <c r="AN181" t="s">
        <v>68</v>
      </c>
      <c r="AO181" t="s">
        <v>60</v>
      </c>
      <c r="AP181">
        <v>2004</v>
      </c>
      <c r="AQ181" t="s">
        <v>31</v>
      </c>
      <c r="AR181" t="s">
        <v>306</v>
      </c>
      <c r="AS181" t="s">
        <v>352</v>
      </c>
      <c r="AT181" t="s">
        <v>240</v>
      </c>
      <c r="AU181" t="s">
        <v>268</v>
      </c>
      <c r="AV181">
        <v>12.8</v>
      </c>
    </row>
    <row r="182" spans="40:48" x14ac:dyDescent="0.25">
      <c r="AN182" t="s">
        <v>68</v>
      </c>
      <c r="AO182" t="s">
        <v>60</v>
      </c>
      <c r="AP182">
        <v>2004</v>
      </c>
      <c r="AQ182" t="s">
        <v>31</v>
      </c>
      <c r="AR182" t="s">
        <v>306</v>
      </c>
      <c r="AS182" t="s">
        <v>352</v>
      </c>
      <c r="AT182" t="s">
        <v>316</v>
      </c>
      <c r="AU182" t="s">
        <v>310</v>
      </c>
      <c r="AV182">
        <v>3.2</v>
      </c>
    </row>
    <row r="183" spans="40:48" x14ac:dyDescent="0.25">
      <c r="AN183" t="s">
        <v>68</v>
      </c>
      <c r="AO183" t="s">
        <v>60</v>
      </c>
      <c r="AP183">
        <v>2004</v>
      </c>
      <c r="AQ183" t="s">
        <v>31</v>
      </c>
      <c r="AR183" t="s">
        <v>306</v>
      </c>
      <c r="AS183" t="s">
        <v>352</v>
      </c>
      <c r="AT183" t="s">
        <v>316</v>
      </c>
      <c r="AU183" t="s">
        <v>311</v>
      </c>
      <c r="AV183">
        <v>5.8</v>
      </c>
    </row>
    <row r="184" spans="40:48" x14ac:dyDescent="0.25">
      <c r="AN184" t="s">
        <v>68</v>
      </c>
      <c r="AO184" t="s">
        <v>60</v>
      </c>
      <c r="AP184">
        <v>2004</v>
      </c>
      <c r="AQ184" t="s">
        <v>31</v>
      </c>
      <c r="AR184" t="s">
        <v>306</v>
      </c>
      <c r="AS184" t="s">
        <v>352</v>
      </c>
      <c r="AT184" t="s">
        <v>316</v>
      </c>
      <c r="AU184" t="s">
        <v>268</v>
      </c>
      <c r="AV184">
        <v>9</v>
      </c>
    </row>
    <row r="185" spans="40:48" x14ac:dyDescent="0.25">
      <c r="AN185" t="s">
        <v>68</v>
      </c>
      <c r="AO185" t="s">
        <v>60</v>
      </c>
      <c r="AP185">
        <v>2004</v>
      </c>
      <c r="AQ185" t="s">
        <v>31</v>
      </c>
      <c r="AR185" t="s">
        <v>306</v>
      </c>
      <c r="AS185" t="s">
        <v>352</v>
      </c>
      <c r="AT185" t="s">
        <v>242</v>
      </c>
      <c r="AU185" t="s">
        <v>310</v>
      </c>
      <c r="AV185">
        <v>2.6</v>
      </c>
    </row>
    <row r="186" spans="40:48" x14ac:dyDescent="0.25">
      <c r="AN186" t="s">
        <v>68</v>
      </c>
      <c r="AO186" t="s">
        <v>60</v>
      </c>
      <c r="AP186">
        <v>2004</v>
      </c>
      <c r="AQ186" t="s">
        <v>31</v>
      </c>
      <c r="AR186" t="s">
        <v>306</v>
      </c>
      <c r="AS186" t="s">
        <v>352</v>
      </c>
      <c r="AT186" t="s">
        <v>242</v>
      </c>
      <c r="AU186" t="s">
        <v>311</v>
      </c>
      <c r="AV186">
        <v>7.6</v>
      </c>
    </row>
    <row r="187" spans="40:48" x14ac:dyDescent="0.25">
      <c r="AN187" t="s">
        <v>68</v>
      </c>
      <c r="AO187" t="s">
        <v>60</v>
      </c>
      <c r="AP187">
        <v>2004</v>
      </c>
      <c r="AQ187" t="s">
        <v>31</v>
      </c>
      <c r="AR187" t="s">
        <v>306</v>
      </c>
      <c r="AS187" t="s">
        <v>352</v>
      </c>
      <c r="AT187" t="s">
        <v>242</v>
      </c>
      <c r="AU187" t="s">
        <v>268</v>
      </c>
      <c r="AV187">
        <v>10.199999999999999</v>
      </c>
    </row>
    <row r="188" spans="40:48" x14ac:dyDescent="0.25">
      <c r="AN188" t="s">
        <v>68</v>
      </c>
      <c r="AO188" t="s">
        <v>60</v>
      </c>
      <c r="AP188">
        <v>2004</v>
      </c>
      <c r="AQ188" t="s">
        <v>31</v>
      </c>
      <c r="AR188" t="s">
        <v>306</v>
      </c>
      <c r="AS188" t="s">
        <v>352</v>
      </c>
      <c r="AT188" t="s">
        <v>243</v>
      </c>
      <c r="AU188" t="s">
        <v>337</v>
      </c>
      <c r="AV188">
        <v>20.700000000000003</v>
      </c>
    </row>
    <row r="189" spans="40:48" x14ac:dyDescent="0.25">
      <c r="AN189" t="s">
        <v>68</v>
      </c>
      <c r="AO189" t="s">
        <v>60</v>
      </c>
      <c r="AP189">
        <v>2004</v>
      </c>
      <c r="AQ189" t="s">
        <v>31</v>
      </c>
      <c r="AR189" t="s">
        <v>306</v>
      </c>
      <c r="AS189" t="s">
        <v>352</v>
      </c>
      <c r="AT189" t="s">
        <v>243</v>
      </c>
      <c r="AU189" t="s">
        <v>338</v>
      </c>
      <c r="AV189">
        <v>43.2</v>
      </c>
    </row>
    <row r="190" spans="40:48" x14ac:dyDescent="0.25">
      <c r="AN190" t="s">
        <v>68</v>
      </c>
      <c r="AO190" t="s">
        <v>60</v>
      </c>
      <c r="AP190">
        <v>2004</v>
      </c>
      <c r="AQ190" t="s">
        <v>31</v>
      </c>
      <c r="AR190" t="s">
        <v>306</v>
      </c>
      <c r="AS190" t="s">
        <v>352</v>
      </c>
      <c r="AT190" t="s">
        <v>243</v>
      </c>
      <c r="AU190" t="s">
        <v>349</v>
      </c>
      <c r="AV190">
        <v>63.9</v>
      </c>
    </row>
    <row r="191" spans="40:48" x14ac:dyDescent="0.25">
      <c r="AN191" t="s">
        <v>73</v>
      </c>
      <c r="AO191" t="s">
        <v>60</v>
      </c>
      <c r="AP191">
        <v>2001</v>
      </c>
      <c r="AQ191" t="s">
        <v>62</v>
      </c>
      <c r="AR191" t="s">
        <v>306</v>
      </c>
      <c r="AS191" t="s">
        <v>352</v>
      </c>
      <c r="AT191" t="s">
        <v>218</v>
      </c>
      <c r="AU191" t="s">
        <v>310</v>
      </c>
      <c r="AV191">
        <v>4.7</v>
      </c>
    </row>
    <row r="192" spans="40:48" x14ac:dyDescent="0.25">
      <c r="AN192" t="s">
        <v>73</v>
      </c>
      <c r="AO192" t="s">
        <v>60</v>
      </c>
      <c r="AP192">
        <v>2001</v>
      </c>
      <c r="AQ192" t="s">
        <v>62</v>
      </c>
      <c r="AR192" t="s">
        <v>306</v>
      </c>
      <c r="AS192" t="s">
        <v>352</v>
      </c>
      <c r="AT192" t="s">
        <v>218</v>
      </c>
      <c r="AU192" t="s">
        <v>311</v>
      </c>
      <c r="AV192">
        <v>6.7</v>
      </c>
    </row>
    <row r="193" spans="40:48" x14ac:dyDescent="0.25">
      <c r="AN193" t="s">
        <v>73</v>
      </c>
      <c r="AO193" t="s">
        <v>60</v>
      </c>
      <c r="AP193">
        <v>2001</v>
      </c>
      <c r="AQ193" t="s">
        <v>62</v>
      </c>
      <c r="AR193" t="s">
        <v>306</v>
      </c>
      <c r="AS193" t="s">
        <v>352</v>
      </c>
      <c r="AT193" t="s">
        <v>218</v>
      </c>
      <c r="AU193" t="s">
        <v>268</v>
      </c>
      <c r="AV193">
        <v>11.4</v>
      </c>
    </row>
    <row r="194" spans="40:48" x14ac:dyDescent="0.25">
      <c r="AN194" t="s">
        <v>73</v>
      </c>
      <c r="AO194" t="s">
        <v>60</v>
      </c>
      <c r="AP194">
        <v>2001</v>
      </c>
      <c r="AQ194" t="s">
        <v>62</v>
      </c>
      <c r="AR194" t="s">
        <v>306</v>
      </c>
      <c r="AS194" t="s">
        <v>352</v>
      </c>
      <c r="AT194" t="s">
        <v>238</v>
      </c>
      <c r="AU194" t="s">
        <v>310</v>
      </c>
      <c r="AV194">
        <v>2.9</v>
      </c>
    </row>
    <row r="195" spans="40:48" x14ac:dyDescent="0.25">
      <c r="AN195" t="s">
        <v>73</v>
      </c>
      <c r="AO195" t="s">
        <v>60</v>
      </c>
      <c r="AP195">
        <v>2001</v>
      </c>
      <c r="AQ195" t="s">
        <v>62</v>
      </c>
      <c r="AR195" t="s">
        <v>306</v>
      </c>
      <c r="AS195" t="s">
        <v>352</v>
      </c>
      <c r="AT195" t="s">
        <v>238</v>
      </c>
      <c r="AU195" t="s">
        <v>311</v>
      </c>
      <c r="AV195">
        <v>7.1</v>
      </c>
    </row>
    <row r="196" spans="40:48" x14ac:dyDescent="0.25">
      <c r="AN196" t="s">
        <v>73</v>
      </c>
      <c r="AO196" t="s">
        <v>60</v>
      </c>
      <c r="AP196">
        <v>2001</v>
      </c>
      <c r="AQ196" t="s">
        <v>62</v>
      </c>
      <c r="AR196" t="s">
        <v>306</v>
      </c>
      <c r="AS196" t="s">
        <v>352</v>
      </c>
      <c r="AT196" t="s">
        <v>238</v>
      </c>
      <c r="AU196" t="s">
        <v>268</v>
      </c>
      <c r="AV196">
        <v>10</v>
      </c>
    </row>
    <row r="197" spans="40:48" x14ac:dyDescent="0.25">
      <c r="AN197" t="s">
        <v>73</v>
      </c>
      <c r="AO197" t="s">
        <v>60</v>
      </c>
      <c r="AP197">
        <v>2001</v>
      </c>
      <c r="AQ197" t="s">
        <v>62</v>
      </c>
      <c r="AR197" t="s">
        <v>306</v>
      </c>
      <c r="AS197" t="s">
        <v>352</v>
      </c>
      <c r="AT197" t="s">
        <v>239</v>
      </c>
      <c r="AU197" t="s">
        <v>310</v>
      </c>
      <c r="AV197">
        <v>2.7</v>
      </c>
    </row>
    <row r="198" spans="40:48" x14ac:dyDescent="0.25">
      <c r="AN198" t="s">
        <v>73</v>
      </c>
      <c r="AO198" t="s">
        <v>60</v>
      </c>
      <c r="AP198">
        <v>2001</v>
      </c>
      <c r="AQ198" t="s">
        <v>62</v>
      </c>
      <c r="AR198" t="s">
        <v>306</v>
      </c>
      <c r="AS198" t="s">
        <v>352</v>
      </c>
      <c r="AT198" t="s">
        <v>239</v>
      </c>
      <c r="AU198" t="s">
        <v>311</v>
      </c>
      <c r="AV198">
        <v>7.4</v>
      </c>
    </row>
    <row r="199" spans="40:48" x14ac:dyDescent="0.25">
      <c r="AN199" t="s">
        <v>73</v>
      </c>
      <c r="AO199" t="s">
        <v>60</v>
      </c>
      <c r="AP199">
        <v>2001</v>
      </c>
      <c r="AQ199" t="s">
        <v>62</v>
      </c>
      <c r="AR199" t="s">
        <v>306</v>
      </c>
      <c r="AS199" t="s">
        <v>352</v>
      </c>
      <c r="AT199" t="s">
        <v>239</v>
      </c>
      <c r="AU199" t="s">
        <v>268</v>
      </c>
      <c r="AV199">
        <v>10.1</v>
      </c>
    </row>
    <row r="200" spans="40:48" x14ac:dyDescent="0.25">
      <c r="AN200" t="s">
        <v>73</v>
      </c>
      <c r="AO200" t="s">
        <v>60</v>
      </c>
      <c r="AP200">
        <v>2001</v>
      </c>
      <c r="AQ200" t="s">
        <v>62</v>
      </c>
      <c r="AR200" t="s">
        <v>306</v>
      </c>
      <c r="AS200" t="s">
        <v>352</v>
      </c>
      <c r="AT200" t="s">
        <v>240</v>
      </c>
      <c r="AU200" t="s">
        <v>310</v>
      </c>
      <c r="AV200">
        <v>4</v>
      </c>
    </row>
    <row r="201" spans="40:48" x14ac:dyDescent="0.25">
      <c r="AN201" t="s">
        <v>73</v>
      </c>
      <c r="AO201" t="s">
        <v>60</v>
      </c>
      <c r="AP201">
        <v>2001</v>
      </c>
      <c r="AQ201" t="s">
        <v>62</v>
      </c>
      <c r="AR201" t="s">
        <v>306</v>
      </c>
      <c r="AS201" t="s">
        <v>352</v>
      </c>
      <c r="AT201" t="s">
        <v>240</v>
      </c>
      <c r="AU201" t="s">
        <v>311</v>
      </c>
      <c r="AV201">
        <v>8.6999999999999993</v>
      </c>
    </row>
    <row r="202" spans="40:48" x14ac:dyDescent="0.25">
      <c r="AN202" t="s">
        <v>73</v>
      </c>
      <c r="AO202" t="s">
        <v>60</v>
      </c>
      <c r="AP202">
        <v>2001</v>
      </c>
      <c r="AQ202" t="s">
        <v>62</v>
      </c>
      <c r="AR202" t="s">
        <v>306</v>
      </c>
      <c r="AS202" t="s">
        <v>352</v>
      </c>
      <c r="AT202" t="s">
        <v>240</v>
      </c>
      <c r="AU202" t="s">
        <v>268</v>
      </c>
      <c r="AV202">
        <v>12.7</v>
      </c>
    </row>
    <row r="203" spans="40:48" x14ac:dyDescent="0.25">
      <c r="AN203" t="s">
        <v>73</v>
      </c>
      <c r="AO203" t="s">
        <v>60</v>
      </c>
      <c r="AP203">
        <v>2001</v>
      </c>
      <c r="AQ203" t="s">
        <v>62</v>
      </c>
      <c r="AR203" t="s">
        <v>306</v>
      </c>
      <c r="AS203" t="s">
        <v>352</v>
      </c>
      <c r="AT203" t="s">
        <v>316</v>
      </c>
      <c r="AU203" t="s">
        <v>310</v>
      </c>
      <c r="AV203">
        <v>3.6</v>
      </c>
    </row>
    <row r="204" spans="40:48" x14ac:dyDescent="0.25">
      <c r="AN204" t="s">
        <v>73</v>
      </c>
      <c r="AO204" t="s">
        <v>60</v>
      </c>
      <c r="AP204">
        <v>2001</v>
      </c>
      <c r="AQ204" t="s">
        <v>62</v>
      </c>
      <c r="AR204" t="s">
        <v>306</v>
      </c>
      <c r="AS204" t="s">
        <v>352</v>
      </c>
      <c r="AT204" t="s">
        <v>316</v>
      </c>
      <c r="AU204" t="s">
        <v>311</v>
      </c>
      <c r="AV204">
        <v>7.4</v>
      </c>
    </row>
    <row r="205" spans="40:48" x14ac:dyDescent="0.25">
      <c r="AN205" t="s">
        <v>73</v>
      </c>
      <c r="AO205" t="s">
        <v>60</v>
      </c>
      <c r="AP205">
        <v>2001</v>
      </c>
      <c r="AQ205" t="s">
        <v>62</v>
      </c>
      <c r="AR205" t="s">
        <v>306</v>
      </c>
      <c r="AS205" t="s">
        <v>352</v>
      </c>
      <c r="AT205" t="s">
        <v>316</v>
      </c>
      <c r="AU205" t="s">
        <v>268</v>
      </c>
      <c r="AV205">
        <v>11</v>
      </c>
    </row>
    <row r="206" spans="40:48" x14ac:dyDescent="0.25">
      <c r="AN206" t="s">
        <v>73</v>
      </c>
      <c r="AO206" t="s">
        <v>60</v>
      </c>
      <c r="AP206">
        <v>2001</v>
      </c>
      <c r="AQ206" t="s">
        <v>62</v>
      </c>
      <c r="AR206" t="s">
        <v>306</v>
      </c>
      <c r="AS206" t="s">
        <v>352</v>
      </c>
      <c r="AT206" t="s">
        <v>242</v>
      </c>
      <c r="AU206" t="s">
        <v>310</v>
      </c>
      <c r="AV206">
        <v>2.6</v>
      </c>
    </row>
    <row r="207" spans="40:48" x14ac:dyDescent="0.25">
      <c r="AN207" t="s">
        <v>73</v>
      </c>
      <c r="AO207" t="s">
        <v>60</v>
      </c>
      <c r="AP207">
        <v>2001</v>
      </c>
      <c r="AQ207" t="s">
        <v>62</v>
      </c>
      <c r="AR207" t="s">
        <v>306</v>
      </c>
      <c r="AS207" t="s">
        <v>352</v>
      </c>
      <c r="AT207" t="s">
        <v>242</v>
      </c>
      <c r="AU207" t="s">
        <v>311</v>
      </c>
      <c r="AV207">
        <v>5.8</v>
      </c>
    </row>
    <row r="208" spans="40:48" x14ac:dyDescent="0.25">
      <c r="AN208" t="s">
        <v>73</v>
      </c>
      <c r="AO208" t="s">
        <v>60</v>
      </c>
      <c r="AP208">
        <v>2001</v>
      </c>
      <c r="AQ208" t="s">
        <v>62</v>
      </c>
      <c r="AR208" t="s">
        <v>306</v>
      </c>
      <c r="AS208" t="s">
        <v>352</v>
      </c>
      <c r="AT208" t="s">
        <v>242</v>
      </c>
      <c r="AU208" t="s">
        <v>268</v>
      </c>
      <c r="AV208">
        <v>8.4</v>
      </c>
    </row>
    <row r="209" spans="40:48" x14ac:dyDescent="0.25">
      <c r="AN209" t="s">
        <v>73</v>
      </c>
      <c r="AO209" t="s">
        <v>60</v>
      </c>
      <c r="AP209">
        <v>2001</v>
      </c>
      <c r="AQ209" t="s">
        <v>62</v>
      </c>
      <c r="AR209" t="s">
        <v>306</v>
      </c>
      <c r="AS209" t="s">
        <v>352</v>
      </c>
      <c r="AT209" t="s">
        <v>243</v>
      </c>
      <c r="AU209" t="s">
        <v>337</v>
      </c>
      <c r="AV209">
        <v>20.500000000000004</v>
      </c>
    </row>
    <row r="210" spans="40:48" x14ac:dyDescent="0.25">
      <c r="AN210" t="s">
        <v>73</v>
      </c>
      <c r="AO210" t="s">
        <v>60</v>
      </c>
      <c r="AP210">
        <v>2001</v>
      </c>
      <c r="AQ210" t="s">
        <v>62</v>
      </c>
      <c r="AR210" t="s">
        <v>306</v>
      </c>
      <c r="AS210" t="s">
        <v>352</v>
      </c>
      <c r="AT210" t="s">
        <v>243</v>
      </c>
      <c r="AU210" t="s">
        <v>338</v>
      </c>
      <c r="AV210">
        <v>43.1</v>
      </c>
    </row>
    <row r="211" spans="40:48" x14ac:dyDescent="0.25">
      <c r="AN211" t="s">
        <v>73</v>
      </c>
      <c r="AO211" t="s">
        <v>60</v>
      </c>
      <c r="AP211">
        <v>2001</v>
      </c>
      <c r="AQ211" t="s">
        <v>62</v>
      </c>
      <c r="AR211" t="s">
        <v>306</v>
      </c>
      <c r="AS211" t="s">
        <v>352</v>
      </c>
      <c r="AT211" t="s">
        <v>243</v>
      </c>
      <c r="AU211" t="s">
        <v>349</v>
      </c>
      <c r="AV211">
        <v>63.6</v>
      </c>
    </row>
    <row r="212" spans="40:48" x14ac:dyDescent="0.25">
      <c r="AN212" t="s">
        <v>77</v>
      </c>
      <c r="AO212" t="s">
        <v>60</v>
      </c>
      <c r="AP212">
        <v>2002</v>
      </c>
      <c r="AQ212" t="s">
        <v>79</v>
      </c>
      <c r="AR212" t="s">
        <v>306</v>
      </c>
      <c r="AS212" t="s">
        <v>352</v>
      </c>
      <c r="AT212" t="s">
        <v>218</v>
      </c>
      <c r="AU212" t="s">
        <v>310</v>
      </c>
      <c r="AV212">
        <v>3.8</v>
      </c>
    </row>
    <row r="213" spans="40:48" x14ac:dyDescent="0.25">
      <c r="AN213" t="s">
        <v>77</v>
      </c>
      <c r="AO213" t="s">
        <v>60</v>
      </c>
      <c r="AP213">
        <v>2002</v>
      </c>
      <c r="AQ213" t="s">
        <v>79</v>
      </c>
      <c r="AR213" t="s">
        <v>306</v>
      </c>
      <c r="AS213" t="s">
        <v>352</v>
      </c>
      <c r="AT213" t="s">
        <v>218</v>
      </c>
      <c r="AU213" t="s">
        <v>311</v>
      </c>
      <c r="AV213">
        <v>7.4</v>
      </c>
    </row>
    <row r="214" spans="40:48" x14ac:dyDescent="0.25">
      <c r="AN214" t="s">
        <v>77</v>
      </c>
      <c r="AO214" t="s">
        <v>60</v>
      </c>
      <c r="AP214">
        <v>2002</v>
      </c>
      <c r="AQ214" t="s">
        <v>79</v>
      </c>
      <c r="AR214" t="s">
        <v>306</v>
      </c>
      <c r="AS214" t="s">
        <v>352</v>
      </c>
      <c r="AT214" t="s">
        <v>218</v>
      </c>
      <c r="AU214" t="s">
        <v>268</v>
      </c>
      <c r="AV214">
        <v>11.2</v>
      </c>
    </row>
    <row r="215" spans="40:48" x14ac:dyDescent="0.25">
      <c r="AN215" t="s">
        <v>77</v>
      </c>
      <c r="AO215" t="s">
        <v>60</v>
      </c>
      <c r="AP215">
        <v>2002</v>
      </c>
      <c r="AQ215" t="s">
        <v>79</v>
      </c>
      <c r="AR215" t="s">
        <v>306</v>
      </c>
      <c r="AS215" t="s">
        <v>352</v>
      </c>
      <c r="AT215" t="s">
        <v>238</v>
      </c>
      <c r="AU215" t="s">
        <v>310</v>
      </c>
      <c r="AV215">
        <v>3.1</v>
      </c>
    </row>
    <row r="216" spans="40:48" x14ac:dyDescent="0.25">
      <c r="AN216" t="s">
        <v>77</v>
      </c>
      <c r="AO216" t="s">
        <v>60</v>
      </c>
      <c r="AP216">
        <v>2002</v>
      </c>
      <c r="AQ216" t="s">
        <v>79</v>
      </c>
      <c r="AR216" t="s">
        <v>306</v>
      </c>
      <c r="AS216" t="s">
        <v>352</v>
      </c>
      <c r="AT216" t="s">
        <v>238</v>
      </c>
      <c r="AU216" t="s">
        <v>311</v>
      </c>
      <c r="AV216">
        <v>7.6</v>
      </c>
    </row>
    <row r="217" spans="40:48" x14ac:dyDescent="0.25">
      <c r="AN217" t="s">
        <v>77</v>
      </c>
      <c r="AO217" t="s">
        <v>60</v>
      </c>
      <c r="AP217">
        <v>2002</v>
      </c>
      <c r="AQ217" t="s">
        <v>79</v>
      </c>
      <c r="AR217" t="s">
        <v>306</v>
      </c>
      <c r="AS217" t="s">
        <v>352</v>
      </c>
      <c r="AT217" t="s">
        <v>238</v>
      </c>
      <c r="AU217" t="s">
        <v>268</v>
      </c>
      <c r="AV217">
        <v>10.7</v>
      </c>
    </row>
    <row r="218" spans="40:48" x14ac:dyDescent="0.25">
      <c r="AN218" t="s">
        <v>77</v>
      </c>
      <c r="AO218" t="s">
        <v>60</v>
      </c>
      <c r="AP218">
        <v>2002</v>
      </c>
      <c r="AQ218" t="s">
        <v>79</v>
      </c>
      <c r="AR218" t="s">
        <v>306</v>
      </c>
      <c r="AS218" t="s">
        <v>352</v>
      </c>
      <c r="AT218" t="s">
        <v>239</v>
      </c>
      <c r="AU218" t="s">
        <v>310</v>
      </c>
      <c r="AV218">
        <v>3.4</v>
      </c>
    </row>
    <row r="219" spans="40:48" x14ac:dyDescent="0.25">
      <c r="AN219" t="s">
        <v>77</v>
      </c>
      <c r="AO219" t="s">
        <v>60</v>
      </c>
      <c r="AP219">
        <v>2002</v>
      </c>
      <c r="AQ219" t="s">
        <v>79</v>
      </c>
      <c r="AR219" t="s">
        <v>306</v>
      </c>
      <c r="AS219" t="s">
        <v>352</v>
      </c>
      <c r="AT219" t="s">
        <v>239</v>
      </c>
      <c r="AU219" t="s">
        <v>311</v>
      </c>
      <c r="AV219">
        <v>6</v>
      </c>
    </row>
    <row r="220" spans="40:48" x14ac:dyDescent="0.25">
      <c r="AN220" t="s">
        <v>77</v>
      </c>
      <c r="AO220" t="s">
        <v>60</v>
      </c>
      <c r="AP220">
        <v>2002</v>
      </c>
      <c r="AQ220" t="s">
        <v>79</v>
      </c>
      <c r="AR220" t="s">
        <v>306</v>
      </c>
      <c r="AS220" t="s">
        <v>352</v>
      </c>
      <c r="AT220" t="s">
        <v>239</v>
      </c>
      <c r="AU220" t="s">
        <v>268</v>
      </c>
      <c r="AV220">
        <v>9.4</v>
      </c>
    </row>
    <row r="221" spans="40:48" x14ac:dyDescent="0.25">
      <c r="AN221" t="s">
        <v>77</v>
      </c>
      <c r="AO221" t="s">
        <v>60</v>
      </c>
      <c r="AP221">
        <v>2002</v>
      </c>
      <c r="AQ221" t="s">
        <v>79</v>
      </c>
      <c r="AR221" t="s">
        <v>306</v>
      </c>
      <c r="AS221" t="s">
        <v>352</v>
      </c>
      <c r="AT221" t="s">
        <v>240</v>
      </c>
      <c r="AU221" t="s">
        <v>310</v>
      </c>
      <c r="AV221">
        <v>3.2</v>
      </c>
    </row>
    <row r="222" spans="40:48" x14ac:dyDescent="0.25">
      <c r="AN222" t="s">
        <v>77</v>
      </c>
      <c r="AO222" t="s">
        <v>60</v>
      </c>
      <c r="AP222">
        <v>2002</v>
      </c>
      <c r="AQ222" t="s">
        <v>79</v>
      </c>
      <c r="AR222" t="s">
        <v>306</v>
      </c>
      <c r="AS222" t="s">
        <v>352</v>
      </c>
      <c r="AT222" t="s">
        <v>240</v>
      </c>
      <c r="AU222" t="s">
        <v>311</v>
      </c>
      <c r="AV222">
        <v>8.3000000000000007</v>
      </c>
    </row>
    <row r="223" spans="40:48" x14ac:dyDescent="0.25">
      <c r="AN223" t="s">
        <v>77</v>
      </c>
      <c r="AO223" t="s">
        <v>60</v>
      </c>
      <c r="AP223">
        <v>2002</v>
      </c>
      <c r="AQ223" t="s">
        <v>79</v>
      </c>
      <c r="AR223" t="s">
        <v>306</v>
      </c>
      <c r="AS223" t="s">
        <v>352</v>
      </c>
      <c r="AT223" t="s">
        <v>240</v>
      </c>
      <c r="AU223" t="s">
        <v>268</v>
      </c>
      <c r="AV223">
        <v>11.5</v>
      </c>
    </row>
    <row r="224" spans="40:48" x14ac:dyDescent="0.25">
      <c r="AN224" t="s">
        <v>77</v>
      </c>
      <c r="AO224" t="s">
        <v>60</v>
      </c>
      <c r="AP224">
        <v>2002</v>
      </c>
      <c r="AQ224" t="s">
        <v>79</v>
      </c>
      <c r="AR224" t="s">
        <v>306</v>
      </c>
      <c r="AS224" t="s">
        <v>352</v>
      </c>
      <c r="AT224" t="s">
        <v>316</v>
      </c>
      <c r="AU224" t="s">
        <v>310</v>
      </c>
      <c r="AV224">
        <v>3.1</v>
      </c>
    </row>
    <row r="225" spans="40:48" x14ac:dyDescent="0.25">
      <c r="AN225" t="s">
        <v>77</v>
      </c>
      <c r="AO225" t="s">
        <v>60</v>
      </c>
      <c r="AP225">
        <v>2002</v>
      </c>
      <c r="AQ225" t="s">
        <v>79</v>
      </c>
      <c r="AR225" t="s">
        <v>306</v>
      </c>
      <c r="AS225" t="s">
        <v>352</v>
      </c>
      <c r="AT225" t="s">
        <v>316</v>
      </c>
      <c r="AU225" t="s">
        <v>311</v>
      </c>
      <c r="AV225">
        <v>6.9</v>
      </c>
    </row>
    <row r="226" spans="40:48" x14ac:dyDescent="0.25">
      <c r="AN226" t="s">
        <v>77</v>
      </c>
      <c r="AO226" t="s">
        <v>60</v>
      </c>
      <c r="AP226">
        <v>2002</v>
      </c>
      <c r="AQ226" t="s">
        <v>79</v>
      </c>
      <c r="AR226" t="s">
        <v>306</v>
      </c>
      <c r="AS226" t="s">
        <v>352</v>
      </c>
      <c r="AT226" t="s">
        <v>316</v>
      </c>
      <c r="AU226" t="s">
        <v>268</v>
      </c>
      <c r="AV226">
        <v>10</v>
      </c>
    </row>
    <row r="227" spans="40:48" x14ac:dyDescent="0.25">
      <c r="AN227" t="s">
        <v>77</v>
      </c>
      <c r="AO227" t="s">
        <v>60</v>
      </c>
      <c r="AP227">
        <v>2002</v>
      </c>
      <c r="AQ227" t="s">
        <v>79</v>
      </c>
      <c r="AR227" t="s">
        <v>306</v>
      </c>
      <c r="AS227" t="s">
        <v>352</v>
      </c>
      <c r="AT227" t="s">
        <v>242</v>
      </c>
      <c r="AU227" t="s">
        <v>310</v>
      </c>
      <c r="AV227">
        <v>2.6</v>
      </c>
    </row>
    <row r="228" spans="40:48" x14ac:dyDescent="0.25">
      <c r="AN228" t="s">
        <v>77</v>
      </c>
      <c r="AO228" t="s">
        <v>60</v>
      </c>
      <c r="AP228">
        <v>2002</v>
      </c>
      <c r="AQ228" t="s">
        <v>79</v>
      </c>
      <c r="AR228" t="s">
        <v>306</v>
      </c>
      <c r="AS228" t="s">
        <v>352</v>
      </c>
      <c r="AT228" t="s">
        <v>242</v>
      </c>
      <c r="AU228" t="s">
        <v>311</v>
      </c>
      <c r="AV228">
        <v>7.3</v>
      </c>
    </row>
    <row r="229" spans="40:48" x14ac:dyDescent="0.25">
      <c r="AN229" t="s">
        <v>77</v>
      </c>
      <c r="AO229" t="s">
        <v>60</v>
      </c>
      <c r="AP229">
        <v>2002</v>
      </c>
      <c r="AQ229" t="s">
        <v>79</v>
      </c>
      <c r="AR229" t="s">
        <v>306</v>
      </c>
      <c r="AS229" t="s">
        <v>352</v>
      </c>
      <c r="AT229" t="s">
        <v>242</v>
      </c>
      <c r="AU229" t="s">
        <v>268</v>
      </c>
      <c r="AV229">
        <v>9.9</v>
      </c>
    </row>
    <row r="230" spans="40:48" x14ac:dyDescent="0.25">
      <c r="AN230" t="s">
        <v>77</v>
      </c>
      <c r="AO230" t="s">
        <v>60</v>
      </c>
      <c r="AP230">
        <v>2002</v>
      </c>
      <c r="AQ230" t="s">
        <v>79</v>
      </c>
      <c r="AR230" t="s">
        <v>306</v>
      </c>
      <c r="AS230" t="s">
        <v>352</v>
      </c>
      <c r="AT230" t="s">
        <v>243</v>
      </c>
      <c r="AU230" t="s">
        <v>337</v>
      </c>
      <c r="AV230">
        <v>19.200000000000003</v>
      </c>
    </row>
    <row r="231" spans="40:48" x14ac:dyDescent="0.25">
      <c r="AN231" t="s">
        <v>77</v>
      </c>
      <c r="AO231" t="s">
        <v>60</v>
      </c>
      <c r="AP231">
        <v>2002</v>
      </c>
      <c r="AQ231" t="s">
        <v>79</v>
      </c>
      <c r="AR231" t="s">
        <v>306</v>
      </c>
      <c r="AS231" t="s">
        <v>352</v>
      </c>
      <c r="AT231" t="s">
        <v>243</v>
      </c>
      <c r="AU231" t="s">
        <v>338</v>
      </c>
      <c r="AV231">
        <v>43.5</v>
      </c>
    </row>
    <row r="232" spans="40:48" x14ac:dyDescent="0.25">
      <c r="AN232" t="s">
        <v>77</v>
      </c>
      <c r="AO232" t="s">
        <v>60</v>
      </c>
      <c r="AP232">
        <v>2002</v>
      </c>
      <c r="AQ232" t="s">
        <v>79</v>
      </c>
      <c r="AR232" t="s">
        <v>306</v>
      </c>
      <c r="AS232" t="s">
        <v>352</v>
      </c>
      <c r="AT232" t="s">
        <v>243</v>
      </c>
      <c r="AU232" t="s">
        <v>349</v>
      </c>
      <c r="AV232">
        <v>62.7</v>
      </c>
    </row>
    <row r="233" spans="40:48" x14ac:dyDescent="0.25">
      <c r="AN233" t="s">
        <v>80</v>
      </c>
      <c r="AO233" t="s">
        <v>60</v>
      </c>
      <c r="AP233">
        <v>2004</v>
      </c>
      <c r="AQ233" t="s">
        <v>62</v>
      </c>
      <c r="AR233" t="s">
        <v>306</v>
      </c>
      <c r="AS233" t="s">
        <v>352</v>
      </c>
      <c r="AT233" t="s">
        <v>218</v>
      </c>
      <c r="AU233" t="s">
        <v>310</v>
      </c>
      <c r="AV233">
        <v>3.6</v>
      </c>
    </row>
    <row r="234" spans="40:48" x14ac:dyDescent="0.25">
      <c r="AN234" t="s">
        <v>80</v>
      </c>
      <c r="AO234" t="s">
        <v>60</v>
      </c>
      <c r="AP234">
        <v>2004</v>
      </c>
      <c r="AQ234" t="s">
        <v>62</v>
      </c>
      <c r="AR234" t="s">
        <v>306</v>
      </c>
      <c r="AS234" t="s">
        <v>352</v>
      </c>
      <c r="AT234" t="s">
        <v>218</v>
      </c>
      <c r="AU234" t="s">
        <v>311</v>
      </c>
      <c r="AV234">
        <v>7.45</v>
      </c>
    </row>
    <row r="235" spans="40:48" x14ac:dyDescent="0.25">
      <c r="AN235" t="s">
        <v>80</v>
      </c>
      <c r="AO235" t="s">
        <v>60</v>
      </c>
      <c r="AP235">
        <v>2004</v>
      </c>
      <c r="AQ235" t="s">
        <v>62</v>
      </c>
      <c r="AR235" t="s">
        <v>306</v>
      </c>
      <c r="AS235" t="s">
        <v>352</v>
      </c>
      <c r="AT235" t="s">
        <v>218</v>
      </c>
      <c r="AU235" t="s">
        <v>268</v>
      </c>
      <c r="AV235">
        <v>11.05</v>
      </c>
    </row>
    <row r="236" spans="40:48" x14ac:dyDescent="0.25">
      <c r="AN236" t="s">
        <v>80</v>
      </c>
      <c r="AO236" t="s">
        <v>60</v>
      </c>
      <c r="AP236">
        <v>2004</v>
      </c>
      <c r="AQ236" t="s">
        <v>62</v>
      </c>
      <c r="AR236" t="s">
        <v>306</v>
      </c>
      <c r="AS236" t="s">
        <v>352</v>
      </c>
      <c r="AT236" t="s">
        <v>238</v>
      </c>
      <c r="AU236" t="s">
        <v>310</v>
      </c>
      <c r="AV236">
        <v>4.0999999999999996</v>
      </c>
    </row>
    <row r="237" spans="40:48" x14ac:dyDescent="0.25">
      <c r="AN237" t="s">
        <v>80</v>
      </c>
      <c r="AO237" t="s">
        <v>60</v>
      </c>
      <c r="AP237">
        <v>2004</v>
      </c>
      <c r="AQ237" t="s">
        <v>62</v>
      </c>
      <c r="AR237" t="s">
        <v>306</v>
      </c>
      <c r="AS237" t="s">
        <v>352</v>
      </c>
      <c r="AT237" t="s">
        <v>238</v>
      </c>
      <c r="AU237" t="s">
        <v>311</v>
      </c>
      <c r="AV237">
        <v>6.7</v>
      </c>
    </row>
    <row r="238" spans="40:48" x14ac:dyDescent="0.25">
      <c r="AN238" t="s">
        <v>80</v>
      </c>
      <c r="AO238" t="s">
        <v>60</v>
      </c>
      <c r="AP238">
        <v>2004</v>
      </c>
      <c r="AQ238" t="s">
        <v>62</v>
      </c>
      <c r="AR238" t="s">
        <v>306</v>
      </c>
      <c r="AS238" t="s">
        <v>352</v>
      </c>
      <c r="AT238" t="s">
        <v>238</v>
      </c>
      <c r="AU238" t="s">
        <v>268</v>
      </c>
      <c r="AV238">
        <v>10.8</v>
      </c>
    </row>
    <row r="239" spans="40:48" x14ac:dyDescent="0.25">
      <c r="AN239" t="s">
        <v>80</v>
      </c>
      <c r="AO239" t="s">
        <v>60</v>
      </c>
      <c r="AP239">
        <v>2004</v>
      </c>
      <c r="AQ239" t="s">
        <v>62</v>
      </c>
      <c r="AR239" t="s">
        <v>306</v>
      </c>
      <c r="AS239" t="s">
        <v>352</v>
      </c>
      <c r="AT239" t="s">
        <v>239</v>
      </c>
      <c r="AU239" t="s">
        <v>310</v>
      </c>
      <c r="AV239">
        <v>3.5</v>
      </c>
    </row>
    <row r="240" spans="40:48" x14ac:dyDescent="0.25">
      <c r="AN240" t="s">
        <v>80</v>
      </c>
      <c r="AO240" t="s">
        <v>60</v>
      </c>
      <c r="AP240">
        <v>2004</v>
      </c>
      <c r="AQ240" t="s">
        <v>62</v>
      </c>
      <c r="AR240" t="s">
        <v>306</v>
      </c>
      <c r="AS240" t="s">
        <v>352</v>
      </c>
      <c r="AT240" t="s">
        <v>239</v>
      </c>
      <c r="AU240" t="s">
        <v>311</v>
      </c>
      <c r="AV240">
        <v>8.3000000000000007</v>
      </c>
    </row>
    <row r="241" spans="40:48" x14ac:dyDescent="0.25">
      <c r="AN241" t="s">
        <v>80</v>
      </c>
      <c r="AO241" t="s">
        <v>60</v>
      </c>
      <c r="AP241">
        <v>2004</v>
      </c>
      <c r="AQ241" t="s">
        <v>62</v>
      </c>
      <c r="AR241" t="s">
        <v>306</v>
      </c>
      <c r="AS241" t="s">
        <v>352</v>
      </c>
      <c r="AT241" t="s">
        <v>239</v>
      </c>
      <c r="AU241" t="s">
        <v>268</v>
      </c>
      <c r="AV241">
        <v>11.8</v>
      </c>
    </row>
    <row r="242" spans="40:48" x14ac:dyDescent="0.25">
      <c r="AN242" t="s">
        <v>80</v>
      </c>
      <c r="AO242" t="s">
        <v>60</v>
      </c>
      <c r="AP242">
        <v>2004</v>
      </c>
      <c r="AQ242" t="s">
        <v>62</v>
      </c>
      <c r="AR242" t="s">
        <v>306</v>
      </c>
      <c r="AS242" t="s">
        <v>352</v>
      </c>
      <c r="AT242" t="s">
        <v>240</v>
      </c>
      <c r="AU242" t="s">
        <v>310</v>
      </c>
      <c r="AV242">
        <v>2.4</v>
      </c>
    </row>
    <row r="243" spans="40:48" x14ac:dyDescent="0.25">
      <c r="AN243" t="s">
        <v>80</v>
      </c>
      <c r="AO243" t="s">
        <v>60</v>
      </c>
      <c r="AP243">
        <v>2004</v>
      </c>
      <c r="AQ243" t="s">
        <v>62</v>
      </c>
      <c r="AR243" t="s">
        <v>306</v>
      </c>
      <c r="AS243" t="s">
        <v>352</v>
      </c>
      <c r="AT243" t="s">
        <v>240</v>
      </c>
      <c r="AU243" t="s">
        <v>311</v>
      </c>
      <c r="AV243">
        <v>8.3000000000000007</v>
      </c>
    </row>
    <row r="244" spans="40:48" x14ac:dyDescent="0.25">
      <c r="AN244" t="s">
        <v>80</v>
      </c>
      <c r="AO244" t="s">
        <v>60</v>
      </c>
      <c r="AP244">
        <v>2004</v>
      </c>
      <c r="AQ244" t="s">
        <v>62</v>
      </c>
      <c r="AR244" t="s">
        <v>306</v>
      </c>
      <c r="AS244" t="s">
        <v>352</v>
      </c>
      <c r="AT244" t="s">
        <v>240</v>
      </c>
      <c r="AU244" t="s">
        <v>268</v>
      </c>
      <c r="AV244">
        <v>10.7</v>
      </c>
    </row>
    <row r="245" spans="40:48" x14ac:dyDescent="0.25">
      <c r="AN245" t="s">
        <v>80</v>
      </c>
      <c r="AO245" t="s">
        <v>60</v>
      </c>
      <c r="AP245">
        <v>2004</v>
      </c>
      <c r="AQ245" t="s">
        <v>62</v>
      </c>
      <c r="AR245" t="s">
        <v>306</v>
      </c>
      <c r="AS245" t="s">
        <v>352</v>
      </c>
      <c r="AT245" t="s">
        <v>316</v>
      </c>
      <c r="AU245" t="s">
        <v>310</v>
      </c>
      <c r="AV245">
        <v>2.7</v>
      </c>
    </row>
    <row r="246" spans="40:48" x14ac:dyDescent="0.25">
      <c r="AN246" t="s">
        <v>80</v>
      </c>
      <c r="AO246" t="s">
        <v>60</v>
      </c>
      <c r="AP246">
        <v>2004</v>
      </c>
      <c r="AQ246" t="s">
        <v>62</v>
      </c>
      <c r="AR246" t="s">
        <v>306</v>
      </c>
      <c r="AS246" t="s">
        <v>352</v>
      </c>
      <c r="AT246" t="s">
        <v>316</v>
      </c>
      <c r="AU246" t="s">
        <v>311</v>
      </c>
      <c r="AV246">
        <v>6</v>
      </c>
    </row>
    <row r="247" spans="40:48" x14ac:dyDescent="0.25">
      <c r="AN247" t="s">
        <v>80</v>
      </c>
      <c r="AO247" t="s">
        <v>60</v>
      </c>
      <c r="AP247">
        <v>2004</v>
      </c>
      <c r="AQ247" t="s">
        <v>62</v>
      </c>
      <c r="AR247" t="s">
        <v>306</v>
      </c>
      <c r="AS247" t="s">
        <v>352</v>
      </c>
      <c r="AT247" t="s">
        <v>316</v>
      </c>
      <c r="AU247" t="s">
        <v>268</v>
      </c>
      <c r="AV247">
        <v>8.6999999999999993</v>
      </c>
    </row>
    <row r="248" spans="40:48" x14ac:dyDescent="0.25">
      <c r="AN248" t="s">
        <v>80</v>
      </c>
      <c r="AO248" t="s">
        <v>60</v>
      </c>
      <c r="AP248">
        <v>2004</v>
      </c>
      <c r="AQ248" t="s">
        <v>62</v>
      </c>
      <c r="AR248" t="s">
        <v>306</v>
      </c>
      <c r="AS248" t="s">
        <v>352</v>
      </c>
      <c r="AT248" t="s">
        <v>242</v>
      </c>
      <c r="AU248" t="s">
        <v>310</v>
      </c>
      <c r="AV248">
        <v>2.2000000000000002</v>
      </c>
    </row>
    <row r="249" spans="40:48" x14ac:dyDescent="0.25">
      <c r="AN249" t="s">
        <v>80</v>
      </c>
      <c r="AO249" t="s">
        <v>60</v>
      </c>
      <c r="AP249">
        <v>2004</v>
      </c>
      <c r="AQ249" t="s">
        <v>62</v>
      </c>
      <c r="AR249" t="s">
        <v>306</v>
      </c>
      <c r="AS249" t="s">
        <v>352</v>
      </c>
      <c r="AT249" t="s">
        <v>242</v>
      </c>
      <c r="AU249" t="s">
        <v>311</v>
      </c>
      <c r="AV249">
        <v>1</v>
      </c>
    </row>
    <row r="250" spans="40:48" x14ac:dyDescent="0.25">
      <c r="AN250" t="s">
        <v>80</v>
      </c>
      <c r="AO250" t="s">
        <v>60</v>
      </c>
      <c r="AP250">
        <v>2004</v>
      </c>
      <c r="AQ250" t="s">
        <v>62</v>
      </c>
      <c r="AR250" t="s">
        <v>306</v>
      </c>
      <c r="AS250" t="s">
        <v>352</v>
      </c>
      <c r="AT250" t="s">
        <v>242</v>
      </c>
      <c r="AU250" t="s">
        <v>268</v>
      </c>
      <c r="AV250">
        <v>3.2</v>
      </c>
    </row>
    <row r="251" spans="40:48" x14ac:dyDescent="0.25">
      <c r="AN251" t="s">
        <v>80</v>
      </c>
      <c r="AO251" t="s">
        <v>60</v>
      </c>
      <c r="AP251">
        <v>2004</v>
      </c>
      <c r="AQ251" t="s">
        <v>62</v>
      </c>
      <c r="AR251" t="s">
        <v>306</v>
      </c>
      <c r="AS251" t="s">
        <v>352</v>
      </c>
      <c r="AT251" t="s">
        <v>243</v>
      </c>
      <c r="AU251" t="s">
        <v>337</v>
      </c>
      <c r="AV251">
        <v>18.5</v>
      </c>
    </row>
    <row r="252" spans="40:48" x14ac:dyDescent="0.25">
      <c r="AN252" t="s">
        <v>80</v>
      </c>
      <c r="AO252" t="s">
        <v>60</v>
      </c>
      <c r="AP252">
        <v>2004</v>
      </c>
      <c r="AQ252" t="s">
        <v>62</v>
      </c>
      <c r="AR252" t="s">
        <v>306</v>
      </c>
      <c r="AS252" t="s">
        <v>352</v>
      </c>
      <c r="AT252" t="s">
        <v>243</v>
      </c>
      <c r="AU252" t="s">
        <v>338</v>
      </c>
      <c r="AV252">
        <v>37.75</v>
      </c>
    </row>
    <row r="253" spans="40:48" x14ac:dyDescent="0.25">
      <c r="AN253" t="s">
        <v>80</v>
      </c>
      <c r="AO253" t="s">
        <v>60</v>
      </c>
      <c r="AP253">
        <v>2004</v>
      </c>
      <c r="AQ253" t="s">
        <v>62</v>
      </c>
      <c r="AR253" t="s">
        <v>306</v>
      </c>
      <c r="AS253" t="s">
        <v>352</v>
      </c>
      <c r="AT253" t="s">
        <v>243</v>
      </c>
      <c r="AU253" t="s">
        <v>349</v>
      </c>
      <c r="AV253">
        <v>56.25</v>
      </c>
    </row>
    <row r="254" spans="40:48" x14ac:dyDescent="0.25">
      <c r="AN254" t="s">
        <v>88</v>
      </c>
      <c r="AO254" t="s">
        <v>60</v>
      </c>
      <c r="AP254">
        <v>2003</v>
      </c>
      <c r="AQ254" t="s">
        <v>36</v>
      </c>
      <c r="AR254" t="s">
        <v>306</v>
      </c>
      <c r="AS254" t="s">
        <v>352</v>
      </c>
      <c r="AT254" t="s">
        <v>218</v>
      </c>
      <c r="AU254" t="s">
        <v>310</v>
      </c>
      <c r="AV254">
        <v>3.2</v>
      </c>
    </row>
    <row r="255" spans="40:48" x14ac:dyDescent="0.25">
      <c r="AN255" t="s">
        <v>88</v>
      </c>
      <c r="AO255" t="s">
        <v>60</v>
      </c>
      <c r="AP255">
        <v>2003</v>
      </c>
      <c r="AQ255" t="s">
        <v>36</v>
      </c>
      <c r="AR255" t="s">
        <v>306</v>
      </c>
      <c r="AS255" t="s">
        <v>352</v>
      </c>
      <c r="AT255" t="s">
        <v>218</v>
      </c>
      <c r="AU255" t="s">
        <v>311</v>
      </c>
      <c r="AV255">
        <v>7</v>
      </c>
    </row>
    <row r="256" spans="40:48" x14ac:dyDescent="0.25">
      <c r="AN256" t="s">
        <v>88</v>
      </c>
      <c r="AO256" t="s">
        <v>60</v>
      </c>
      <c r="AP256">
        <v>2003</v>
      </c>
      <c r="AQ256" t="s">
        <v>36</v>
      </c>
      <c r="AR256" t="s">
        <v>306</v>
      </c>
      <c r="AS256" t="s">
        <v>352</v>
      </c>
      <c r="AT256" t="s">
        <v>218</v>
      </c>
      <c r="AU256" t="s">
        <v>268</v>
      </c>
      <c r="AV256">
        <v>10.199999999999999</v>
      </c>
    </row>
    <row r="257" spans="40:48" x14ac:dyDescent="0.25">
      <c r="AN257" t="s">
        <v>88</v>
      </c>
      <c r="AO257" t="s">
        <v>60</v>
      </c>
      <c r="AP257">
        <v>2003</v>
      </c>
      <c r="AQ257" t="s">
        <v>36</v>
      </c>
      <c r="AR257" t="s">
        <v>306</v>
      </c>
      <c r="AS257" t="s">
        <v>352</v>
      </c>
      <c r="AT257" t="s">
        <v>238</v>
      </c>
      <c r="AU257" t="s">
        <v>310</v>
      </c>
      <c r="AV257">
        <v>2.4</v>
      </c>
    </row>
    <row r="258" spans="40:48" x14ac:dyDescent="0.25">
      <c r="AN258" t="s">
        <v>88</v>
      </c>
      <c r="AO258" t="s">
        <v>60</v>
      </c>
      <c r="AP258">
        <v>2003</v>
      </c>
      <c r="AQ258" t="s">
        <v>36</v>
      </c>
      <c r="AR258" t="s">
        <v>306</v>
      </c>
      <c r="AS258" t="s">
        <v>352</v>
      </c>
      <c r="AT258" t="s">
        <v>238</v>
      </c>
      <c r="AU258" t="s">
        <v>311</v>
      </c>
      <c r="AV258">
        <v>5.8</v>
      </c>
    </row>
    <row r="259" spans="40:48" x14ac:dyDescent="0.25">
      <c r="AN259" t="s">
        <v>88</v>
      </c>
      <c r="AO259" t="s">
        <v>60</v>
      </c>
      <c r="AP259">
        <v>2003</v>
      </c>
      <c r="AQ259" t="s">
        <v>36</v>
      </c>
      <c r="AR259" t="s">
        <v>306</v>
      </c>
      <c r="AS259" t="s">
        <v>352</v>
      </c>
      <c r="AT259" t="s">
        <v>238</v>
      </c>
      <c r="AU259" t="s">
        <v>268</v>
      </c>
      <c r="AV259">
        <v>8.1999999999999993</v>
      </c>
    </row>
    <row r="260" spans="40:48" x14ac:dyDescent="0.25">
      <c r="AN260" t="s">
        <v>88</v>
      </c>
      <c r="AO260" t="s">
        <v>60</v>
      </c>
      <c r="AP260">
        <v>2003</v>
      </c>
      <c r="AQ260" t="s">
        <v>36</v>
      </c>
      <c r="AR260" t="s">
        <v>306</v>
      </c>
      <c r="AS260" t="s">
        <v>352</v>
      </c>
      <c r="AT260" t="s">
        <v>239</v>
      </c>
      <c r="AU260" t="s">
        <v>310</v>
      </c>
      <c r="AV260">
        <v>2.2000000000000002</v>
      </c>
    </row>
    <row r="261" spans="40:48" x14ac:dyDescent="0.25">
      <c r="AN261" t="s">
        <v>88</v>
      </c>
      <c r="AO261" t="s">
        <v>60</v>
      </c>
      <c r="AP261">
        <v>2003</v>
      </c>
      <c r="AQ261" t="s">
        <v>36</v>
      </c>
      <c r="AR261" t="s">
        <v>306</v>
      </c>
      <c r="AS261" t="s">
        <v>352</v>
      </c>
      <c r="AT261" t="s">
        <v>239</v>
      </c>
      <c r="AU261" t="s">
        <v>311</v>
      </c>
      <c r="AV261">
        <v>7.7</v>
      </c>
    </row>
    <row r="262" spans="40:48" x14ac:dyDescent="0.25">
      <c r="AN262" t="s">
        <v>88</v>
      </c>
      <c r="AO262" t="s">
        <v>60</v>
      </c>
      <c r="AP262">
        <v>2003</v>
      </c>
      <c r="AQ262" t="s">
        <v>36</v>
      </c>
      <c r="AR262" t="s">
        <v>306</v>
      </c>
      <c r="AS262" t="s">
        <v>352</v>
      </c>
      <c r="AT262" t="s">
        <v>239</v>
      </c>
      <c r="AU262" t="s">
        <v>268</v>
      </c>
      <c r="AV262">
        <v>9.9</v>
      </c>
    </row>
    <row r="263" spans="40:48" x14ac:dyDescent="0.25">
      <c r="AN263" t="s">
        <v>88</v>
      </c>
      <c r="AO263" t="s">
        <v>60</v>
      </c>
      <c r="AP263">
        <v>2003</v>
      </c>
      <c r="AQ263" t="s">
        <v>36</v>
      </c>
      <c r="AR263" t="s">
        <v>306</v>
      </c>
      <c r="AS263" t="s">
        <v>352</v>
      </c>
      <c r="AT263" t="s">
        <v>240</v>
      </c>
      <c r="AU263" t="s">
        <v>310</v>
      </c>
      <c r="AV263">
        <v>2.4</v>
      </c>
    </row>
    <row r="264" spans="40:48" x14ac:dyDescent="0.25">
      <c r="AN264" t="s">
        <v>88</v>
      </c>
      <c r="AO264" t="s">
        <v>60</v>
      </c>
      <c r="AP264">
        <v>2003</v>
      </c>
      <c r="AQ264" t="s">
        <v>36</v>
      </c>
      <c r="AR264" t="s">
        <v>306</v>
      </c>
      <c r="AS264" t="s">
        <v>352</v>
      </c>
      <c r="AT264" t="s">
        <v>240</v>
      </c>
      <c r="AU264" t="s">
        <v>311</v>
      </c>
      <c r="AV264">
        <v>8</v>
      </c>
    </row>
    <row r="265" spans="40:48" x14ac:dyDescent="0.25">
      <c r="AN265" t="s">
        <v>88</v>
      </c>
      <c r="AO265" t="s">
        <v>60</v>
      </c>
      <c r="AP265">
        <v>2003</v>
      </c>
      <c r="AQ265" t="s">
        <v>36</v>
      </c>
      <c r="AR265" t="s">
        <v>306</v>
      </c>
      <c r="AS265" t="s">
        <v>352</v>
      </c>
      <c r="AT265" t="s">
        <v>240</v>
      </c>
      <c r="AU265" t="s">
        <v>268</v>
      </c>
      <c r="AV265">
        <v>10.4</v>
      </c>
    </row>
    <row r="266" spans="40:48" x14ac:dyDescent="0.25">
      <c r="AN266" t="s">
        <v>88</v>
      </c>
      <c r="AO266" t="s">
        <v>60</v>
      </c>
      <c r="AP266">
        <v>2003</v>
      </c>
      <c r="AQ266" t="s">
        <v>36</v>
      </c>
      <c r="AR266" t="s">
        <v>306</v>
      </c>
      <c r="AS266" t="s">
        <v>352</v>
      </c>
      <c r="AT266" t="s">
        <v>316</v>
      </c>
      <c r="AU266" t="s">
        <v>310</v>
      </c>
      <c r="AV266">
        <v>2.7</v>
      </c>
    </row>
    <row r="267" spans="40:48" x14ac:dyDescent="0.25">
      <c r="AN267" t="s">
        <v>88</v>
      </c>
      <c r="AO267" t="s">
        <v>60</v>
      </c>
      <c r="AP267">
        <v>2003</v>
      </c>
      <c r="AQ267" t="s">
        <v>36</v>
      </c>
      <c r="AR267" t="s">
        <v>306</v>
      </c>
      <c r="AS267" t="s">
        <v>352</v>
      </c>
      <c r="AT267" t="s">
        <v>316</v>
      </c>
      <c r="AU267" t="s">
        <v>311</v>
      </c>
      <c r="AV267">
        <v>7.9</v>
      </c>
    </row>
    <row r="268" spans="40:48" x14ac:dyDescent="0.25">
      <c r="AN268" t="s">
        <v>88</v>
      </c>
      <c r="AO268" t="s">
        <v>60</v>
      </c>
      <c r="AP268">
        <v>2003</v>
      </c>
      <c r="AQ268" t="s">
        <v>36</v>
      </c>
      <c r="AR268" t="s">
        <v>306</v>
      </c>
      <c r="AS268" t="s">
        <v>352</v>
      </c>
      <c r="AT268" t="s">
        <v>316</v>
      </c>
      <c r="AU268" t="s">
        <v>268</v>
      </c>
      <c r="AV268">
        <v>10.6</v>
      </c>
    </row>
    <row r="269" spans="40:48" x14ac:dyDescent="0.25">
      <c r="AN269" t="s">
        <v>88</v>
      </c>
      <c r="AO269" t="s">
        <v>60</v>
      </c>
      <c r="AP269">
        <v>2003</v>
      </c>
      <c r="AQ269" t="s">
        <v>36</v>
      </c>
      <c r="AR269" t="s">
        <v>306</v>
      </c>
      <c r="AS269" t="s">
        <v>352</v>
      </c>
      <c r="AT269" t="s">
        <v>242</v>
      </c>
      <c r="AU269" t="s">
        <v>310</v>
      </c>
      <c r="AV269">
        <v>1.9</v>
      </c>
    </row>
    <row r="270" spans="40:48" x14ac:dyDescent="0.25">
      <c r="AN270" t="s">
        <v>88</v>
      </c>
      <c r="AO270" t="s">
        <v>60</v>
      </c>
      <c r="AP270">
        <v>2003</v>
      </c>
      <c r="AQ270" t="s">
        <v>36</v>
      </c>
      <c r="AR270" t="s">
        <v>306</v>
      </c>
      <c r="AS270" t="s">
        <v>352</v>
      </c>
      <c r="AT270" t="s">
        <v>242</v>
      </c>
      <c r="AU270" t="s">
        <v>311</v>
      </c>
      <c r="AV270">
        <v>4.2</v>
      </c>
    </row>
    <row r="271" spans="40:48" x14ac:dyDescent="0.25">
      <c r="AN271" t="s">
        <v>88</v>
      </c>
      <c r="AO271" t="s">
        <v>60</v>
      </c>
      <c r="AP271">
        <v>2003</v>
      </c>
      <c r="AQ271" t="s">
        <v>36</v>
      </c>
      <c r="AR271" t="s">
        <v>306</v>
      </c>
      <c r="AS271" t="s">
        <v>352</v>
      </c>
      <c r="AT271" t="s">
        <v>242</v>
      </c>
      <c r="AU271" t="s">
        <v>268</v>
      </c>
      <c r="AV271">
        <v>6.1</v>
      </c>
    </row>
    <row r="272" spans="40:48" x14ac:dyDescent="0.25">
      <c r="AN272" t="s">
        <v>88</v>
      </c>
      <c r="AO272" t="s">
        <v>60</v>
      </c>
      <c r="AP272">
        <v>2003</v>
      </c>
      <c r="AQ272" t="s">
        <v>36</v>
      </c>
      <c r="AR272" t="s">
        <v>306</v>
      </c>
      <c r="AS272" t="s">
        <v>352</v>
      </c>
      <c r="AT272" t="s">
        <v>243</v>
      </c>
      <c r="AU272" t="s">
        <v>337</v>
      </c>
      <c r="AV272">
        <v>14.799999999999999</v>
      </c>
    </row>
    <row r="273" spans="40:48" x14ac:dyDescent="0.25">
      <c r="AN273" t="s">
        <v>88</v>
      </c>
      <c r="AO273" t="s">
        <v>60</v>
      </c>
      <c r="AP273">
        <v>2003</v>
      </c>
      <c r="AQ273" t="s">
        <v>36</v>
      </c>
      <c r="AR273" t="s">
        <v>306</v>
      </c>
      <c r="AS273" t="s">
        <v>352</v>
      </c>
      <c r="AT273" t="s">
        <v>243</v>
      </c>
      <c r="AU273" t="s">
        <v>338</v>
      </c>
      <c r="AV273">
        <v>40.6</v>
      </c>
    </row>
    <row r="274" spans="40:48" x14ac:dyDescent="0.25">
      <c r="AN274" t="s">
        <v>88</v>
      </c>
      <c r="AO274" t="s">
        <v>60</v>
      </c>
      <c r="AP274">
        <v>2003</v>
      </c>
      <c r="AQ274" t="s">
        <v>36</v>
      </c>
      <c r="AR274" t="s">
        <v>306</v>
      </c>
      <c r="AS274" t="s">
        <v>352</v>
      </c>
      <c r="AT274" t="s">
        <v>243</v>
      </c>
      <c r="AU274" t="s">
        <v>349</v>
      </c>
      <c r="AV274">
        <v>55.4</v>
      </c>
    </row>
    <row r="275" spans="40:48" x14ac:dyDescent="0.25">
      <c r="AN275" t="s">
        <v>86</v>
      </c>
      <c r="AO275" t="s">
        <v>60</v>
      </c>
      <c r="AP275">
        <v>2003</v>
      </c>
      <c r="AQ275" t="s">
        <v>72</v>
      </c>
      <c r="AR275" t="s">
        <v>307</v>
      </c>
      <c r="AS275" t="s">
        <v>352</v>
      </c>
      <c r="AT275" t="s">
        <v>218</v>
      </c>
      <c r="AU275" t="s">
        <v>310</v>
      </c>
      <c r="AV275">
        <v>3.9</v>
      </c>
    </row>
    <row r="276" spans="40:48" x14ac:dyDescent="0.25">
      <c r="AN276" t="s">
        <v>86</v>
      </c>
      <c r="AO276" t="s">
        <v>60</v>
      </c>
      <c r="AP276">
        <v>2003</v>
      </c>
      <c r="AQ276" t="s">
        <v>72</v>
      </c>
      <c r="AR276" t="s">
        <v>307</v>
      </c>
      <c r="AS276" t="s">
        <v>352</v>
      </c>
      <c r="AT276" t="s">
        <v>218</v>
      </c>
      <c r="AU276" t="s">
        <v>311</v>
      </c>
      <c r="AV276">
        <v>7.2</v>
      </c>
    </row>
    <row r="277" spans="40:48" x14ac:dyDescent="0.25">
      <c r="AN277" t="s">
        <v>86</v>
      </c>
      <c r="AO277" t="s">
        <v>60</v>
      </c>
      <c r="AP277">
        <v>2003</v>
      </c>
      <c r="AQ277" t="s">
        <v>72</v>
      </c>
      <c r="AR277" t="s">
        <v>307</v>
      </c>
      <c r="AS277" t="s">
        <v>352</v>
      </c>
      <c r="AT277" t="s">
        <v>218</v>
      </c>
      <c r="AU277" t="s">
        <v>268</v>
      </c>
      <c r="AV277">
        <v>11.1</v>
      </c>
    </row>
    <row r="278" spans="40:48" x14ac:dyDescent="0.25">
      <c r="AN278" t="s">
        <v>86</v>
      </c>
      <c r="AO278" t="s">
        <v>60</v>
      </c>
      <c r="AP278">
        <v>2003</v>
      </c>
      <c r="AQ278" t="s">
        <v>72</v>
      </c>
      <c r="AR278" t="s">
        <v>307</v>
      </c>
      <c r="AS278" t="s">
        <v>352</v>
      </c>
      <c r="AT278" t="s">
        <v>238</v>
      </c>
      <c r="AU278" t="s">
        <v>310</v>
      </c>
      <c r="AV278">
        <v>3.8</v>
      </c>
    </row>
    <row r="279" spans="40:48" x14ac:dyDescent="0.25">
      <c r="AN279" t="s">
        <v>86</v>
      </c>
      <c r="AO279" t="s">
        <v>60</v>
      </c>
      <c r="AP279">
        <v>2003</v>
      </c>
      <c r="AQ279" t="s">
        <v>72</v>
      </c>
      <c r="AR279" t="s">
        <v>307</v>
      </c>
      <c r="AS279" t="s">
        <v>352</v>
      </c>
      <c r="AT279" t="s">
        <v>238</v>
      </c>
      <c r="AU279" t="s">
        <v>311</v>
      </c>
      <c r="AV279">
        <v>7.6</v>
      </c>
    </row>
    <row r="280" spans="40:48" x14ac:dyDescent="0.25">
      <c r="AN280" t="s">
        <v>86</v>
      </c>
      <c r="AO280" t="s">
        <v>60</v>
      </c>
      <c r="AP280">
        <v>2003</v>
      </c>
      <c r="AQ280" t="s">
        <v>72</v>
      </c>
      <c r="AR280" t="s">
        <v>307</v>
      </c>
      <c r="AS280" t="s">
        <v>352</v>
      </c>
      <c r="AT280" t="s">
        <v>238</v>
      </c>
      <c r="AU280" t="s">
        <v>268</v>
      </c>
      <c r="AV280">
        <v>11.4</v>
      </c>
    </row>
    <row r="281" spans="40:48" x14ac:dyDescent="0.25">
      <c r="AN281" t="s">
        <v>86</v>
      </c>
      <c r="AO281" t="s">
        <v>60</v>
      </c>
      <c r="AP281">
        <v>2003</v>
      </c>
      <c r="AQ281" t="s">
        <v>72</v>
      </c>
      <c r="AR281" t="s">
        <v>307</v>
      </c>
      <c r="AS281" t="s">
        <v>352</v>
      </c>
      <c r="AT281" t="s">
        <v>239</v>
      </c>
      <c r="AU281" t="s">
        <v>310</v>
      </c>
      <c r="AV281">
        <v>2.7</v>
      </c>
    </row>
    <row r="282" spans="40:48" x14ac:dyDescent="0.25">
      <c r="AN282" t="s">
        <v>86</v>
      </c>
      <c r="AO282" t="s">
        <v>60</v>
      </c>
      <c r="AP282">
        <v>2003</v>
      </c>
      <c r="AQ282" t="s">
        <v>72</v>
      </c>
      <c r="AR282" t="s">
        <v>307</v>
      </c>
      <c r="AS282" t="s">
        <v>352</v>
      </c>
      <c r="AT282" t="s">
        <v>239</v>
      </c>
      <c r="AU282" t="s">
        <v>311</v>
      </c>
      <c r="AV282">
        <v>6</v>
      </c>
    </row>
    <row r="283" spans="40:48" x14ac:dyDescent="0.25">
      <c r="AN283" t="s">
        <v>86</v>
      </c>
      <c r="AO283" t="s">
        <v>60</v>
      </c>
      <c r="AP283">
        <v>2003</v>
      </c>
      <c r="AQ283" t="s">
        <v>72</v>
      </c>
      <c r="AR283" t="s">
        <v>307</v>
      </c>
      <c r="AS283" t="s">
        <v>352</v>
      </c>
      <c r="AT283" t="s">
        <v>239</v>
      </c>
      <c r="AU283" t="s">
        <v>268</v>
      </c>
      <c r="AV283">
        <v>8.6999999999999993</v>
      </c>
    </row>
    <row r="284" spans="40:48" x14ac:dyDescent="0.25">
      <c r="AN284" t="s">
        <v>86</v>
      </c>
      <c r="AO284" t="s">
        <v>60</v>
      </c>
      <c r="AP284">
        <v>2003</v>
      </c>
      <c r="AQ284" t="s">
        <v>72</v>
      </c>
      <c r="AR284" t="s">
        <v>307</v>
      </c>
      <c r="AS284" t="s">
        <v>352</v>
      </c>
      <c r="AT284" t="s">
        <v>240</v>
      </c>
      <c r="AU284" t="s">
        <v>310</v>
      </c>
      <c r="AV284">
        <v>2.8</v>
      </c>
    </row>
    <row r="285" spans="40:48" x14ac:dyDescent="0.25">
      <c r="AN285" t="s">
        <v>86</v>
      </c>
      <c r="AO285" t="s">
        <v>60</v>
      </c>
      <c r="AP285">
        <v>2003</v>
      </c>
      <c r="AQ285" t="s">
        <v>72</v>
      </c>
      <c r="AR285" t="s">
        <v>307</v>
      </c>
      <c r="AS285" t="s">
        <v>352</v>
      </c>
      <c r="AT285" t="s">
        <v>240</v>
      </c>
      <c r="AU285" t="s">
        <v>311</v>
      </c>
      <c r="AV285">
        <v>8.3000000000000007</v>
      </c>
    </row>
    <row r="286" spans="40:48" x14ac:dyDescent="0.25">
      <c r="AN286" t="s">
        <v>86</v>
      </c>
      <c r="AO286" t="s">
        <v>60</v>
      </c>
      <c r="AP286">
        <v>2003</v>
      </c>
      <c r="AQ286" t="s">
        <v>72</v>
      </c>
      <c r="AR286" t="s">
        <v>307</v>
      </c>
      <c r="AS286" t="s">
        <v>352</v>
      </c>
      <c r="AT286" t="s">
        <v>240</v>
      </c>
      <c r="AU286" t="s">
        <v>268</v>
      </c>
      <c r="AV286">
        <v>11.1</v>
      </c>
    </row>
    <row r="287" spans="40:48" x14ac:dyDescent="0.25">
      <c r="AN287" t="s">
        <v>86</v>
      </c>
      <c r="AO287" t="s">
        <v>60</v>
      </c>
      <c r="AP287">
        <v>2003</v>
      </c>
      <c r="AQ287" t="s">
        <v>72</v>
      </c>
      <c r="AR287" t="s">
        <v>307</v>
      </c>
      <c r="AS287" t="s">
        <v>352</v>
      </c>
      <c r="AT287" t="s">
        <v>316</v>
      </c>
      <c r="AU287" t="s">
        <v>310</v>
      </c>
      <c r="AV287">
        <v>2.4</v>
      </c>
    </row>
    <row r="288" spans="40:48" x14ac:dyDescent="0.25">
      <c r="AN288" t="s">
        <v>86</v>
      </c>
      <c r="AO288" t="s">
        <v>60</v>
      </c>
      <c r="AP288">
        <v>2003</v>
      </c>
      <c r="AQ288" t="s">
        <v>72</v>
      </c>
      <c r="AR288" t="s">
        <v>307</v>
      </c>
      <c r="AS288" t="s">
        <v>352</v>
      </c>
      <c r="AT288" t="s">
        <v>316</v>
      </c>
      <c r="AU288" t="s">
        <v>311</v>
      </c>
      <c r="AV288">
        <v>4</v>
      </c>
    </row>
    <row r="289" spans="40:48" x14ac:dyDescent="0.25">
      <c r="AN289" t="s">
        <v>86</v>
      </c>
      <c r="AO289" t="s">
        <v>60</v>
      </c>
      <c r="AP289">
        <v>2003</v>
      </c>
      <c r="AQ289" t="s">
        <v>72</v>
      </c>
      <c r="AR289" t="s">
        <v>307</v>
      </c>
      <c r="AS289" t="s">
        <v>352</v>
      </c>
      <c r="AT289" t="s">
        <v>316</v>
      </c>
      <c r="AU289" t="s">
        <v>268</v>
      </c>
      <c r="AV289">
        <v>6.4</v>
      </c>
    </row>
    <row r="290" spans="40:48" x14ac:dyDescent="0.25">
      <c r="AN290" t="s">
        <v>86</v>
      </c>
      <c r="AO290" t="s">
        <v>60</v>
      </c>
      <c r="AP290">
        <v>2003</v>
      </c>
      <c r="AQ290" t="s">
        <v>72</v>
      </c>
      <c r="AR290" t="s">
        <v>307</v>
      </c>
      <c r="AS290" t="s">
        <v>352</v>
      </c>
      <c r="AT290" t="s">
        <v>242</v>
      </c>
      <c r="AU290" t="s">
        <v>310</v>
      </c>
      <c r="AV290">
        <v>0</v>
      </c>
    </row>
    <row r="291" spans="40:48" x14ac:dyDescent="0.25">
      <c r="AN291" t="s">
        <v>86</v>
      </c>
      <c r="AO291" t="s">
        <v>60</v>
      </c>
      <c r="AP291">
        <v>2003</v>
      </c>
      <c r="AQ291" t="s">
        <v>72</v>
      </c>
      <c r="AR291" t="s">
        <v>307</v>
      </c>
      <c r="AS291" t="s">
        <v>352</v>
      </c>
      <c r="AT291" t="s">
        <v>242</v>
      </c>
      <c r="AU291" t="s">
        <v>311</v>
      </c>
      <c r="AV291">
        <v>0</v>
      </c>
    </row>
    <row r="292" spans="40:48" x14ac:dyDescent="0.25">
      <c r="AN292" t="s">
        <v>86</v>
      </c>
      <c r="AO292" t="s">
        <v>60</v>
      </c>
      <c r="AP292">
        <v>2003</v>
      </c>
      <c r="AQ292" t="s">
        <v>72</v>
      </c>
      <c r="AR292" t="s">
        <v>307</v>
      </c>
      <c r="AS292" t="s">
        <v>352</v>
      </c>
      <c r="AT292" t="s">
        <v>242</v>
      </c>
      <c r="AU292" t="s">
        <v>268</v>
      </c>
      <c r="AV292">
        <v>0</v>
      </c>
    </row>
    <row r="293" spans="40:48" x14ac:dyDescent="0.25">
      <c r="AN293" t="s">
        <v>86</v>
      </c>
      <c r="AO293" t="s">
        <v>60</v>
      </c>
      <c r="AP293">
        <v>2003</v>
      </c>
      <c r="AQ293" t="s">
        <v>72</v>
      </c>
      <c r="AR293" t="s">
        <v>307</v>
      </c>
      <c r="AS293" t="s">
        <v>352</v>
      </c>
      <c r="AT293" t="s">
        <v>243</v>
      </c>
      <c r="AU293" t="s">
        <v>337</v>
      </c>
      <c r="AV293">
        <v>0</v>
      </c>
    </row>
    <row r="294" spans="40:48" x14ac:dyDescent="0.25">
      <c r="AN294" t="s">
        <v>86</v>
      </c>
      <c r="AO294" t="s">
        <v>60</v>
      </c>
      <c r="AP294">
        <v>2003</v>
      </c>
      <c r="AQ294" t="s">
        <v>72</v>
      </c>
      <c r="AR294" t="s">
        <v>307</v>
      </c>
      <c r="AS294" t="s">
        <v>352</v>
      </c>
      <c r="AT294" t="s">
        <v>243</v>
      </c>
      <c r="AU294" t="s">
        <v>338</v>
      </c>
      <c r="AV294">
        <v>0</v>
      </c>
    </row>
    <row r="295" spans="40:48" x14ac:dyDescent="0.25">
      <c r="AN295" t="s">
        <v>86</v>
      </c>
      <c r="AO295" t="s">
        <v>60</v>
      </c>
      <c r="AP295">
        <v>2003</v>
      </c>
      <c r="AQ295" t="s">
        <v>72</v>
      </c>
      <c r="AR295" t="s">
        <v>307</v>
      </c>
      <c r="AS295" t="s">
        <v>352</v>
      </c>
      <c r="AT295" t="s">
        <v>243</v>
      </c>
      <c r="AU295" t="s">
        <v>349</v>
      </c>
      <c r="AV295">
        <v>48.7</v>
      </c>
    </row>
    <row r="296" spans="40:48" x14ac:dyDescent="0.25">
      <c r="AN296" t="s">
        <v>90</v>
      </c>
      <c r="AO296" t="s">
        <v>60</v>
      </c>
      <c r="AP296">
        <v>2004</v>
      </c>
      <c r="AQ296" t="s">
        <v>36</v>
      </c>
      <c r="AR296" t="s">
        <v>307</v>
      </c>
      <c r="AS296" t="s">
        <v>352</v>
      </c>
      <c r="AT296" t="s">
        <v>218</v>
      </c>
      <c r="AU296" t="s">
        <v>310</v>
      </c>
      <c r="AV296">
        <v>3.6</v>
      </c>
    </row>
    <row r="297" spans="40:48" x14ac:dyDescent="0.25">
      <c r="AN297" t="s">
        <v>90</v>
      </c>
      <c r="AO297" t="s">
        <v>60</v>
      </c>
      <c r="AP297">
        <v>2004</v>
      </c>
      <c r="AQ297" t="s">
        <v>36</v>
      </c>
      <c r="AR297" t="s">
        <v>307</v>
      </c>
      <c r="AS297" t="s">
        <v>352</v>
      </c>
      <c r="AT297" t="s">
        <v>218</v>
      </c>
      <c r="AU297" t="s">
        <v>311</v>
      </c>
      <c r="AV297">
        <v>5.7</v>
      </c>
    </row>
    <row r="298" spans="40:48" x14ac:dyDescent="0.25">
      <c r="AN298" t="s">
        <v>90</v>
      </c>
      <c r="AO298" t="s">
        <v>60</v>
      </c>
      <c r="AP298">
        <v>2004</v>
      </c>
      <c r="AQ298" t="s">
        <v>36</v>
      </c>
      <c r="AR298" t="s">
        <v>307</v>
      </c>
      <c r="AS298" t="s">
        <v>352</v>
      </c>
      <c r="AT298" t="s">
        <v>218</v>
      </c>
      <c r="AU298" t="s">
        <v>268</v>
      </c>
      <c r="AV298">
        <v>9.3000000000000007</v>
      </c>
    </row>
    <row r="299" spans="40:48" x14ac:dyDescent="0.25">
      <c r="AN299" t="s">
        <v>90</v>
      </c>
      <c r="AO299" t="s">
        <v>60</v>
      </c>
      <c r="AP299">
        <v>2004</v>
      </c>
      <c r="AQ299" t="s">
        <v>36</v>
      </c>
      <c r="AR299" t="s">
        <v>307</v>
      </c>
      <c r="AS299" t="s">
        <v>352</v>
      </c>
      <c r="AT299" t="s">
        <v>238</v>
      </c>
      <c r="AU299" t="s">
        <v>310</v>
      </c>
      <c r="AV299">
        <v>3.4</v>
      </c>
    </row>
    <row r="300" spans="40:48" x14ac:dyDescent="0.25">
      <c r="AN300" t="s">
        <v>90</v>
      </c>
      <c r="AO300" t="s">
        <v>60</v>
      </c>
      <c r="AP300">
        <v>2004</v>
      </c>
      <c r="AQ300" t="s">
        <v>36</v>
      </c>
      <c r="AR300" t="s">
        <v>307</v>
      </c>
      <c r="AS300" t="s">
        <v>352</v>
      </c>
      <c r="AT300" t="s">
        <v>238</v>
      </c>
      <c r="AU300" t="s">
        <v>311</v>
      </c>
      <c r="AV300">
        <v>8.4</v>
      </c>
    </row>
    <row r="301" spans="40:48" x14ac:dyDescent="0.25">
      <c r="AN301" t="s">
        <v>90</v>
      </c>
      <c r="AO301" t="s">
        <v>60</v>
      </c>
      <c r="AP301">
        <v>2004</v>
      </c>
      <c r="AQ301" t="s">
        <v>36</v>
      </c>
      <c r="AR301" t="s">
        <v>307</v>
      </c>
      <c r="AS301" t="s">
        <v>352</v>
      </c>
      <c r="AT301" t="s">
        <v>238</v>
      </c>
      <c r="AU301" t="s">
        <v>268</v>
      </c>
      <c r="AV301">
        <v>11.8</v>
      </c>
    </row>
    <row r="302" spans="40:48" x14ac:dyDescent="0.25">
      <c r="AN302" t="s">
        <v>90</v>
      </c>
      <c r="AO302" t="s">
        <v>60</v>
      </c>
      <c r="AP302">
        <v>2004</v>
      </c>
      <c r="AQ302" t="s">
        <v>36</v>
      </c>
      <c r="AR302" t="s">
        <v>307</v>
      </c>
      <c r="AS302" t="s">
        <v>352</v>
      </c>
      <c r="AT302" t="s">
        <v>239</v>
      </c>
      <c r="AU302" t="s">
        <v>310</v>
      </c>
      <c r="AV302">
        <v>0</v>
      </c>
    </row>
    <row r="303" spans="40:48" x14ac:dyDescent="0.25">
      <c r="AN303" t="s">
        <v>90</v>
      </c>
      <c r="AO303" t="s">
        <v>60</v>
      </c>
      <c r="AP303">
        <v>2004</v>
      </c>
      <c r="AQ303" t="s">
        <v>36</v>
      </c>
      <c r="AR303" t="s">
        <v>307</v>
      </c>
      <c r="AS303" t="s">
        <v>352</v>
      </c>
      <c r="AT303" t="s">
        <v>239</v>
      </c>
      <c r="AU303" t="s">
        <v>311</v>
      </c>
      <c r="AV303">
        <v>0</v>
      </c>
    </row>
    <row r="304" spans="40:48" x14ac:dyDescent="0.25">
      <c r="AN304" t="s">
        <v>90</v>
      </c>
      <c r="AO304" t="s">
        <v>60</v>
      </c>
      <c r="AP304">
        <v>2004</v>
      </c>
      <c r="AQ304" t="s">
        <v>36</v>
      </c>
      <c r="AR304" t="s">
        <v>307</v>
      </c>
      <c r="AS304" t="s">
        <v>352</v>
      </c>
      <c r="AT304" t="s">
        <v>239</v>
      </c>
      <c r="AU304" t="s">
        <v>268</v>
      </c>
      <c r="AV304">
        <v>0</v>
      </c>
    </row>
    <row r="305" spans="40:48" x14ac:dyDescent="0.25">
      <c r="AN305" t="s">
        <v>90</v>
      </c>
      <c r="AO305" t="s">
        <v>60</v>
      </c>
      <c r="AP305">
        <v>2004</v>
      </c>
      <c r="AQ305" t="s">
        <v>36</v>
      </c>
      <c r="AR305" t="s">
        <v>307</v>
      </c>
      <c r="AS305" t="s">
        <v>352</v>
      </c>
      <c r="AT305" t="s">
        <v>240</v>
      </c>
      <c r="AU305" t="s">
        <v>310</v>
      </c>
      <c r="AV305">
        <v>4</v>
      </c>
    </row>
    <row r="306" spans="40:48" x14ac:dyDescent="0.25">
      <c r="AN306" t="s">
        <v>90</v>
      </c>
      <c r="AO306" t="s">
        <v>60</v>
      </c>
      <c r="AP306">
        <v>2004</v>
      </c>
      <c r="AQ306" t="s">
        <v>36</v>
      </c>
      <c r="AR306" t="s">
        <v>307</v>
      </c>
      <c r="AS306" t="s">
        <v>352</v>
      </c>
      <c r="AT306" t="s">
        <v>240</v>
      </c>
      <c r="AU306" t="s">
        <v>311</v>
      </c>
      <c r="AV306">
        <v>8.9</v>
      </c>
    </row>
    <row r="307" spans="40:48" x14ac:dyDescent="0.25">
      <c r="AN307" t="s">
        <v>90</v>
      </c>
      <c r="AO307" t="s">
        <v>60</v>
      </c>
      <c r="AP307">
        <v>2004</v>
      </c>
      <c r="AQ307" t="s">
        <v>36</v>
      </c>
      <c r="AR307" t="s">
        <v>307</v>
      </c>
      <c r="AS307" t="s">
        <v>352</v>
      </c>
      <c r="AT307" t="s">
        <v>240</v>
      </c>
      <c r="AU307" t="s">
        <v>268</v>
      </c>
      <c r="AV307">
        <v>12.9</v>
      </c>
    </row>
    <row r="308" spans="40:48" x14ac:dyDescent="0.25">
      <c r="AN308" t="s">
        <v>90</v>
      </c>
      <c r="AO308" t="s">
        <v>60</v>
      </c>
      <c r="AP308">
        <v>2004</v>
      </c>
      <c r="AQ308" t="s">
        <v>36</v>
      </c>
      <c r="AR308" t="s">
        <v>307</v>
      </c>
      <c r="AS308" t="s">
        <v>352</v>
      </c>
      <c r="AT308" t="s">
        <v>316</v>
      </c>
      <c r="AU308" t="s">
        <v>310</v>
      </c>
      <c r="AV308">
        <v>0</v>
      </c>
    </row>
    <row r="309" spans="40:48" x14ac:dyDescent="0.25">
      <c r="AN309" t="s">
        <v>90</v>
      </c>
      <c r="AO309" t="s">
        <v>60</v>
      </c>
      <c r="AP309">
        <v>2004</v>
      </c>
      <c r="AQ309" t="s">
        <v>36</v>
      </c>
      <c r="AR309" t="s">
        <v>307</v>
      </c>
      <c r="AS309" t="s">
        <v>352</v>
      </c>
      <c r="AT309" t="s">
        <v>316</v>
      </c>
      <c r="AU309" t="s">
        <v>311</v>
      </c>
      <c r="AV309">
        <v>0</v>
      </c>
    </row>
    <row r="310" spans="40:48" x14ac:dyDescent="0.25">
      <c r="AN310" t="s">
        <v>90</v>
      </c>
      <c r="AO310" t="s">
        <v>60</v>
      </c>
      <c r="AP310">
        <v>2004</v>
      </c>
      <c r="AQ310" t="s">
        <v>36</v>
      </c>
      <c r="AR310" t="s">
        <v>307</v>
      </c>
      <c r="AS310" t="s">
        <v>352</v>
      </c>
      <c r="AT310" t="s">
        <v>316</v>
      </c>
      <c r="AU310" t="s">
        <v>268</v>
      </c>
      <c r="AV310">
        <v>0</v>
      </c>
    </row>
    <row r="311" spans="40:48" x14ac:dyDescent="0.25">
      <c r="AN311" t="s">
        <v>90</v>
      </c>
      <c r="AO311" t="s">
        <v>60</v>
      </c>
      <c r="AP311">
        <v>2004</v>
      </c>
      <c r="AQ311" t="s">
        <v>36</v>
      </c>
      <c r="AR311" t="s">
        <v>307</v>
      </c>
      <c r="AS311" t="s">
        <v>352</v>
      </c>
      <c r="AT311" t="s">
        <v>242</v>
      </c>
      <c r="AU311" t="s">
        <v>310</v>
      </c>
      <c r="AV311">
        <v>0</v>
      </c>
    </row>
    <row r="312" spans="40:48" x14ac:dyDescent="0.25">
      <c r="AN312" t="s">
        <v>90</v>
      </c>
      <c r="AO312" t="s">
        <v>60</v>
      </c>
      <c r="AP312">
        <v>2004</v>
      </c>
      <c r="AQ312" t="s">
        <v>36</v>
      </c>
      <c r="AR312" t="s">
        <v>307</v>
      </c>
      <c r="AS312" t="s">
        <v>352</v>
      </c>
      <c r="AT312" t="s">
        <v>242</v>
      </c>
      <c r="AU312" t="s">
        <v>311</v>
      </c>
      <c r="AV312">
        <v>0</v>
      </c>
    </row>
    <row r="313" spans="40:48" x14ac:dyDescent="0.25">
      <c r="AN313" t="s">
        <v>90</v>
      </c>
      <c r="AO313" t="s">
        <v>60</v>
      </c>
      <c r="AP313">
        <v>2004</v>
      </c>
      <c r="AQ313" t="s">
        <v>36</v>
      </c>
      <c r="AR313" t="s">
        <v>307</v>
      </c>
      <c r="AS313" t="s">
        <v>352</v>
      </c>
      <c r="AT313" t="s">
        <v>242</v>
      </c>
      <c r="AU313" t="s">
        <v>268</v>
      </c>
      <c r="AV313">
        <v>0</v>
      </c>
    </row>
    <row r="314" spans="40:48" x14ac:dyDescent="0.25">
      <c r="AN314" t="s">
        <v>90</v>
      </c>
      <c r="AO314" t="s">
        <v>60</v>
      </c>
      <c r="AP314">
        <v>2004</v>
      </c>
      <c r="AQ314" t="s">
        <v>36</v>
      </c>
      <c r="AR314" t="s">
        <v>307</v>
      </c>
      <c r="AS314" t="s">
        <v>352</v>
      </c>
      <c r="AT314" t="s">
        <v>243</v>
      </c>
      <c r="AU314" t="s">
        <v>337</v>
      </c>
      <c r="AV314">
        <v>0</v>
      </c>
    </row>
    <row r="315" spans="40:48" x14ac:dyDescent="0.25">
      <c r="AN315" t="s">
        <v>90</v>
      </c>
      <c r="AO315" t="s">
        <v>60</v>
      </c>
      <c r="AP315">
        <v>2004</v>
      </c>
      <c r="AQ315" t="s">
        <v>36</v>
      </c>
      <c r="AR315" t="s">
        <v>307</v>
      </c>
      <c r="AS315" t="s">
        <v>352</v>
      </c>
      <c r="AT315" t="s">
        <v>243</v>
      </c>
      <c r="AU315" t="s">
        <v>338</v>
      </c>
      <c r="AV315">
        <v>0</v>
      </c>
    </row>
    <row r="316" spans="40:48" x14ac:dyDescent="0.25">
      <c r="AN316" t="s">
        <v>90</v>
      </c>
      <c r="AO316" t="s">
        <v>60</v>
      </c>
      <c r="AP316">
        <v>2004</v>
      </c>
      <c r="AQ316" t="s">
        <v>36</v>
      </c>
      <c r="AR316" t="s">
        <v>307</v>
      </c>
      <c r="AS316" t="s">
        <v>352</v>
      </c>
      <c r="AT316" t="s">
        <v>243</v>
      </c>
      <c r="AU316" t="s">
        <v>349</v>
      </c>
      <c r="AV316">
        <v>34</v>
      </c>
    </row>
    <row r="317" spans="40:48" x14ac:dyDescent="0.25">
      <c r="AN317" t="s">
        <v>98</v>
      </c>
      <c r="AO317" t="s">
        <v>60</v>
      </c>
      <c r="AP317">
        <v>2003</v>
      </c>
      <c r="AQ317" t="s">
        <v>72</v>
      </c>
      <c r="AR317" t="s">
        <v>307</v>
      </c>
      <c r="AS317" t="s">
        <v>352</v>
      </c>
      <c r="AT317" t="s">
        <v>218</v>
      </c>
      <c r="AU317" t="s">
        <v>310</v>
      </c>
      <c r="AV317">
        <v>3.5</v>
      </c>
    </row>
    <row r="318" spans="40:48" x14ac:dyDescent="0.25">
      <c r="AN318" t="s">
        <v>98</v>
      </c>
      <c r="AO318" t="s">
        <v>60</v>
      </c>
      <c r="AP318">
        <v>2003</v>
      </c>
      <c r="AQ318" t="s">
        <v>72</v>
      </c>
      <c r="AR318" t="s">
        <v>307</v>
      </c>
      <c r="AS318" t="s">
        <v>352</v>
      </c>
      <c r="AT318" t="s">
        <v>218</v>
      </c>
      <c r="AU318" t="s">
        <v>311</v>
      </c>
      <c r="AV318">
        <v>7.1</v>
      </c>
    </row>
    <row r="319" spans="40:48" x14ac:dyDescent="0.25">
      <c r="AN319" t="s">
        <v>98</v>
      </c>
      <c r="AO319" t="s">
        <v>60</v>
      </c>
      <c r="AP319">
        <v>2003</v>
      </c>
      <c r="AQ319" t="s">
        <v>72</v>
      </c>
      <c r="AR319" t="s">
        <v>307</v>
      </c>
      <c r="AS319" t="s">
        <v>352</v>
      </c>
      <c r="AT319" t="s">
        <v>218</v>
      </c>
      <c r="AU319" t="s">
        <v>268</v>
      </c>
      <c r="AV319">
        <v>10.6</v>
      </c>
    </row>
    <row r="320" spans="40:48" x14ac:dyDescent="0.25">
      <c r="AN320" t="s">
        <v>98</v>
      </c>
      <c r="AO320" t="s">
        <v>60</v>
      </c>
      <c r="AP320">
        <v>2003</v>
      </c>
      <c r="AQ320" t="s">
        <v>72</v>
      </c>
      <c r="AR320" t="s">
        <v>307</v>
      </c>
      <c r="AS320" t="s">
        <v>352</v>
      </c>
      <c r="AT320" t="s">
        <v>238</v>
      </c>
      <c r="AU320" t="s">
        <v>310</v>
      </c>
      <c r="AV320">
        <v>2.6</v>
      </c>
    </row>
    <row r="321" spans="40:48" x14ac:dyDescent="0.25">
      <c r="AN321" t="s">
        <v>98</v>
      </c>
      <c r="AO321" t="s">
        <v>60</v>
      </c>
      <c r="AP321">
        <v>2003</v>
      </c>
      <c r="AQ321" t="s">
        <v>72</v>
      </c>
      <c r="AR321" t="s">
        <v>307</v>
      </c>
      <c r="AS321" t="s">
        <v>352</v>
      </c>
      <c r="AT321" t="s">
        <v>238</v>
      </c>
      <c r="AU321" t="s">
        <v>311</v>
      </c>
      <c r="AV321">
        <v>4.4000000000000004</v>
      </c>
    </row>
    <row r="322" spans="40:48" x14ac:dyDescent="0.25">
      <c r="AN322" t="s">
        <v>98</v>
      </c>
      <c r="AO322" t="s">
        <v>60</v>
      </c>
      <c r="AP322">
        <v>2003</v>
      </c>
      <c r="AQ322" t="s">
        <v>72</v>
      </c>
      <c r="AR322" t="s">
        <v>307</v>
      </c>
      <c r="AS322" t="s">
        <v>352</v>
      </c>
      <c r="AT322" t="s">
        <v>238</v>
      </c>
      <c r="AU322" t="s">
        <v>268</v>
      </c>
      <c r="AV322">
        <v>7</v>
      </c>
    </row>
    <row r="323" spans="40:48" x14ac:dyDescent="0.25">
      <c r="AN323" t="s">
        <v>98</v>
      </c>
      <c r="AO323" t="s">
        <v>60</v>
      </c>
      <c r="AP323">
        <v>2003</v>
      </c>
      <c r="AQ323" t="s">
        <v>72</v>
      </c>
      <c r="AR323" t="s">
        <v>307</v>
      </c>
      <c r="AS323" t="s">
        <v>352</v>
      </c>
      <c r="AT323" t="s">
        <v>239</v>
      </c>
      <c r="AU323" t="s">
        <v>310</v>
      </c>
      <c r="AV323">
        <v>0</v>
      </c>
    </row>
    <row r="324" spans="40:48" x14ac:dyDescent="0.25">
      <c r="AN324" t="s">
        <v>98</v>
      </c>
      <c r="AO324" t="s">
        <v>60</v>
      </c>
      <c r="AP324">
        <v>2003</v>
      </c>
      <c r="AQ324" t="s">
        <v>72</v>
      </c>
      <c r="AR324" t="s">
        <v>307</v>
      </c>
      <c r="AS324" t="s">
        <v>352</v>
      </c>
      <c r="AT324" t="s">
        <v>239</v>
      </c>
      <c r="AU324" t="s">
        <v>311</v>
      </c>
      <c r="AV324">
        <v>0</v>
      </c>
    </row>
    <row r="325" spans="40:48" x14ac:dyDescent="0.25">
      <c r="AN325" t="s">
        <v>98</v>
      </c>
      <c r="AO325" t="s">
        <v>60</v>
      </c>
      <c r="AP325">
        <v>2003</v>
      </c>
      <c r="AQ325" t="s">
        <v>72</v>
      </c>
      <c r="AR325" t="s">
        <v>307</v>
      </c>
      <c r="AS325" t="s">
        <v>352</v>
      </c>
      <c r="AT325" t="s">
        <v>239</v>
      </c>
      <c r="AU325" t="s">
        <v>268</v>
      </c>
      <c r="AV325">
        <v>0</v>
      </c>
    </row>
    <row r="326" spans="40:48" x14ac:dyDescent="0.25">
      <c r="AN326" t="s">
        <v>98</v>
      </c>
      <c r="AO326" t="s">
        <v>60</v>
      </c>
      <c r="AP326">
        <v>2003</v>
      </c>
      <c r="AQ326" t="s">
        <v>72</v>
      </c>
      <c r="AR326" t="s">
        <v>307</v>
      </c>
      <c r="AS326" t="s">
        <v>352</v>
      </c>
      <c r="AT326" t="s">
        <v>240</v>
      </c>
      <c r="AU326" t="s">
        <v>310</v>
      </c>
      <c r="AV326">
        <v>0</v>
      </c>
    </row>
    <row r="327" spans="40:48" x14ac:dyDescent="0.25">
      <c r="AN327" t="s">
        <v>98</v>
      </c>
      <c r="AO327" t="s">
        <v>60</v>
      </c>
      <c r="AP327">
        <v>2003</v>
      </c>
      <c r="AQ327" t="s">
        <v>72</v>
      </c>
      <c r="AR327" t="s">
        <v>307</v>
      </c>
      <c r="AS327" t="s">
        <v>352</v>
      </c>
      <c r="AT327" t="s">
        <v>240</v>
      </c>
      <c r="AU327" t="s">
        <v>311</v>
      </c>
      <c r="AV327">
        <v>0</v>
      </c>
    </row>
    <row r="328" spans="40:48" x14ac:dyDescent="0.25">
      <c r="AN328" t="s">
        <v>98</v>
      </c>
      <c r="AO328" t="s">
        <v>60</v>
      </c>
      <c r="AP328">
        <v>2003</v>
      </c>
      <c r="AQ328" t="s">
        <v>72</v>
      </c>
      <c r="AR328" t="s">
        <v>307</v>
      </c>
      <c r="AS328" t="s">
        <v>352</v>
      </c>
      <c r="AT328" t="s">
        <v>240</v>
      </c>
      <c r="AU328" t="s">
        <v>268</v>
      </c>
      <c r="AV328">
        <v>0</v>
      </c>
    </row>
    <row r="329" spans="40:48" x14ac:dyDescent="0.25">
      <c r="AN329" t="s">
        <v>98</v>
      </c>
      <c r="AO329" t="s">
        <v>60</v>
      </c>
      <c r="AP329">
        <v>2003</v>
      </c>
      <c r="AQ329" t="s">
        <v>72</v>
      </c>
      <c r="AR329" t="s">
        <v>307</v>
      </c>
      <c r="AS329" t="s">
        <v>352</v>
      </c>
      <c r="AT329" t="s">
        <v>316</v>
      </c>
      <c r="AU329" t="s">
        <v>310</v>
      </c>
      <c r="AV329">
        <v>2.5</v>
      </c>
    </row>
    <row r="330" spans="40:48" x14ac:dyDescent="0.25">
      <c r="AN330" t="s">
        <v>98</v>
      </c>
      <c r="AO330" t="s">
        <v>60</v>
      </c>
      <c r="AP330">
        <v>2003</v>
      </c>
      <c r="AQ330" t="s">
        <v>72</v>
      </c>
      <c r="AR330" t="s">
        <v>307</v>
      </c>
      <c r="AS330" t="s">
        <v>352</v>
      </c>
      <c r="AT330" t="s">
        <v>316</v>
      </c>
      <c r="AU330" t="s">
        <v>311</v>
      </c>
      <c r="AV330">
        <v>8.4</v>
      </c>
    </row>
    <row r="331" spans="40:48" x14ac:dyDescent="0.25">
      <c r="AN331" t="s">
        <v>98</v>
      </c>
      <c r="AO331" t="s">
        <v>60</v>
      </c>
      <c r="AP331">
        <v>2003</v>
      </c>
      <c r="AQ331" t="s">
        <v>72</v>
      </c>
      <c r="AR331" t="s">
        <v>307</v>
      </c>
      <c r="AS331" t="s">
        <v>352</v>
      </c>
      <c r="AT331" t="s">
        <v>316</v>
      </c>
      <c r="AU331" t="s">
        <v>268</v>
      </c>
      <c r="AV331">
        <v>10.9</v>
      </c>
    </row>
    <row r="332" spans="40:48" x14ac:dyDescent="0.25">
      <c r="AN332" t="s">
        <v>98</v>
      </c>
      <c r="AO332" t="s">
        <v>60</v>
      </c>
      <c r="AP332">
        <v>2003</v>
      </c>
      <c r="AQ332" t="s">
        <v>72</v>
      </c>
      <c r="AR332" t="s">
        <v>307</v>
      </c>
      <c r="AS332" t="s">
        <v>352</v>
      </c>
      <c r="AT332" t="s">
        <v>242</v>
      </c>
      <c r="AU332" t="s">
        <v>310</v>
      </c>
      <c r="AV332">
        <v>0</v>
      </c>
    </row>
    <row r="333" spans="40:48" x14ac:dyDescent="0.25">
      <c r="AN333" t="s">
        <v>98</v>
      </c>
      <c r="AO333" t="s">
        <v>60</v>
      </c>
      <c r="AP333">
        <v>2003</v>
      </c>
      <c r="AQ333" t="s">
        <v>72</v>
      </c>
      <c r="AR333" t="s">
        <v>307</v>
      </c>
      <c r="AS333" t="s">
        <v>352</v>
      </c>
      <c r="AT333" t="s">
        <v>242</v>
      </c>
      <c r="AU333" t="s">
        <v>311</v>
      </c>
      <c r="AV333">
        <v>0</v>
      </c>
    </row>
    <row r="334" spans="40:48" x14ac:dyDescent="0.25">
      <c r="AN334" t="s">
        <v>98</v>
      </c>
      <c r="AO334" t="s">
        <v>60</v>
      </c>
      <c r="AP334">
        <v>2003</v>
      </c>
      <c r="AQ334" t="s">
        <v>72</v>
      </c>
      <c r="AR334" t="s">
        <v>307</v>
      </c>
      <c r="AS334" t="s">
        <v>352</v>
      </c>
      <c r="AT334" t="s">
        <v>242</v>
      </c>
      <c r="AU334" t="s">
        <v>268</v>
      </c>
      <c r="AV334">
        <v>0</v>
      </c>
    </row>
    <row r="335" spans="40:48" x14ac:dyDescent="0.25">
      <c r="AN335" t="s">
        <v>98</v>
      </c>
      <c r="AO335" t="s">
        <v>60</v>
      </c>
      <c r="AP335">
        <v>2003</v>
      </c>
      <c r="AQ335" t="s">
        <v>72</v>
      </c>
      <c r="AR335" t="s">
        <v>307</v>
      </c>
      <c r="AS335" t="s">
        <v>352</v>
      </c>
      <c r="AT335" t="s">
        <v>243</v>
      </c>
      <c r="AU335" t="s">
        <v>337</v>
      </c>
      <c r="AV335">
        <v>0</v>
      </c>
    </row>
    <row r="336" spans="40:48" x14ac:dyDescent="0.25">
      <c r="AN336" t="s">
        <v>98</v>
      </c>
      <c r="AO336" t="s">
        <v>60</v>
      </c>
      <c r="AP336">
        <v>2003</v>
      </c>
      <c r="AQ336" t="s">
        <v>72</v>
      </c>
      <c r="AR336" t="s">
        <v>307</v>
      </c>
      <c r="AS336" t="s">
        <v>352</v>
      </c>
      <c r="AT336" t="s">
        <v>243</v>
      </c>
      <c r="AU336" t="s">
        <v>338</v>
      </c>
      <c r="AV336">
        <v>0</v>
      </c>
    </row>
    <row r="337" spans="40:48" x14ac:dyDescent="0.25">
      <c r="AN337" t="s">
        <v>98</v>
      </c>
      <c r="AO337" t="s">
        <v>60</v>
      </c>
      <c r="AP337">
        <v>2003</v>
      </c>
      <c r="AQ337" t="s">
        <v>72</v>
      </c>
      <c r="AR337" t="s">
        <v>307</v>
      </c>
      <c r="AS337" t="s">
        <v>352</v>
      </c>
      <c r="AT337" t="s">
        <v>243</v>
      </c>
      <c r="AU337" t="s">
        <v>349</v>
      </c>
      <c r="AV337">
        <v>28.5</v>
      </c>
    </row>
    <row r="338" spans="40:48" x14ac:dyDescent="0.25">
      <c r="AN338" t="s">
        <v>75</v>
      </c>
      <c r="AO338" t="s">
        <v>60</v>
      </c>
      <c r="AP338">
        <v>2003</v>
      </c>
      <c r="AQ338" t="s">
        <v>28</v>
      </c>
      <c r="AR338" t="s">
        <v>307</v>
      </c>
      <c r="AS338" t="s">
        <v>352</v>
      </c>
      <c r="AT338" t="s">
        <v>218</v>
      </c>
      <c r="AU338" t="s">
        <v>310</v>
      </c>
      <c r="AV338">
        <v>0</v>
      </c>
    </row>
    <row r="339" spans="40:48" x14ac:dyDescent="0.25">
      <c r="AN339" t="s">
        <v>75</v>
      </c>
      <c r="AO339" t="s">
        <v>60</v>
      </c>
      <c r="AP339">
        <v>2003</v>
      </c>
      <c r="AQ339" t="s">
        <v>28</v>
      </c>
      <c r="AR339" t="s">
        <v>307</v>
      </c>
      <c r="AS339" t="s">
        <v>352</v>
      </c>
      <c r="AT339" t="s">
        <v>218</v>
      </c>
      <c r="AU339" t="s">
        <v>311</v>
      </c>
      <c r="AV339">
        <v>0</v>
      </c>
    </row>
    <row r="340" spans="40:48" x14ac:dyDescent="0.25">
      <c r="AN340" t="s">
        <v>75</v>
      </c>
      <c r="AO340" t="s">
        <v>60</v>
      </c>
      <c r="AP340">
        <v>2003</v>
      </c>
      <c r="AQ340" t="s">
        <v>28</v>
      </c>
      <c r="AR340" t="s">
        <v>307</v>
      </c>
      <c r="AS340" t="s">
        <v>352</v>
      </c>
      <c r="AT340" t="s">
        <v>218</v>
      </c>
      <c r="AU340" t="s">
        <v>268</v>
      </c>
      <c r="AV340">
        <v>0</v>
      </c>
    </row>
    <row r="341" spans="40:48" x14ac:dyDescent="0.25">
      <c r="AN341" t="s">
        <v>75</v>
      </c>
      <c r="AO341" t="s">
        <v>60</v>
      </c>
      <c r="AP341">
        <v>2003</v>
      </c>
      <c r="AQ341" t="s">
        <v>28</v>
      </c>
      <c r="AR341" t="s">
        <v>307</v>
      </c>
      <c r="AS341" t="s">
        <v>352</v>
      </c>
      <c r="AT341" t="s">
        <v>238</v>
      </c>
      <c r="AU341" t="s">
        <v>310</v>
      </c>
      <c r="AV341">
        <v>4.2</v>
      </c>
    </row>
    <row r="342" spans="40:48" x14ac:dyDescent="0.25">
      <c r="AN342" t="s">
        <v>75</v>
      </c>
      <c r="AO342" t="s">
        <v>60</v>
      </c>
      <c r="AP342">
        <v>2003</v>
      </c>
      <c r="AQ342" t="s">
        <v>28</v>
      </c>
      <c r="AR342" t="s">
        <v>307</v>
      </c>
      <c r="AS342" t="s">
        <v>352</v>
      </c>
      <c r="AT342" t="s">
        <v>238</v>
      </c>
      <c r="AU342" t="s">
        <v>311</v>
      </c>
      <c r="AV342">
        <v>8.3000000000000007</v>
      </c>
    </row>
    <row r="343" spans="40:48" x14ac:dyDescent="0.25">
      <c r="AN343" t="s">
        <v>75</v>
      </c>
      <c r="AO343" t="s">
        <v>60</v>
      </c>
      <c r="AP343">
        <v>2003</v>
      </c>
      <c r="AQ343" t="s">
        <v>28</v>
      </c>
      <c r="AR343" t="s">
        <v>307</v>
      </c>
      <c r="AS343" t="s">
        <v>352</v>
      </c>
      <c r="AT343" t="s">
        <v>238</v>
      </c>
      <c r="AU343" t="s">
        <v>268</v>
      </c>
      <c r="AV343">
        <v>12.5</v>
      </c>
    </row>
    <row r="344" spans="40:48" x14ac:dyDescent="0.25">
      <c r="AN344" t="s">
        <v>75</v>
      </c>
      <c r="AO344" t="s">
        <v>60</v>
      </c>
      <c r="AP344">
        <v>2003</v>
      </c>
      <c r="AQ344" t="s">
        <v>28</v>
      </c>
      <c r="AR344" t="s">
        <v>307</v>
      </c>
      <c r="AS344" t="s">
        <v>352</v>
      </c>
      <c r="AT344" t="s">
        <v>239</v>
      </c>
      <c r="AU344" t="s">
        <v>310</v>
      </c>
      <c r="AV344">
        <v>0</v>
      </c>
    </row>
    <row r="345" spans="40:48" x14ac:dyDescent="0.25">
      <c r="AN345" t="s">
        <v>75</v>
      </c>
      <c r="AO345" t="s">
        <v>60</v>
      </c>
      <c r="AP345">
        <v>2003</v>
      </c>
      <c r="AQ345" t="s">
        <v>28</v>
      </c>
      <c r="AR345" t="s">
        <v>307</v>
      </c>
      <c r="AS345" t="s">
        <v>352</v>
      </c>
      <c r="AT345" t="s">
        <v>239</v>
      </c>
      <c r="AU345" t="s">
        <v>311</v>
      </c>
      <c r="AV345">
        <v>0</v>
      </c>
    </row>
    <row r="346" spans="40:48" x14ac:dyDescent="0.25">
      <c r="AN346" t="s">
        <v>75</v>
      </c>
      <c r="AO346" t="s">
        <v>60</v>
      </c>
      <c r="AP346">
        <v>2003</v>
      </c>
      <c r="AQ346" t="s">
        <v>28</v>
      </c>
      <c r="AR346" t="s">
        <v>307</v>
      </c>
      <c r="AS346" t="s">
        <v>352</v>
      </c>
      <c r="AT346" t="s">
        <v>239</v>
      </c>
      <c r="AU346" t="s">
        <v>268</v>
      </c>
      <c r="AV346">
        <v>0</v>
      </c>
    </row>
    <row r="347" spans="40:48" x14ac:dyDescent="0.25">
      <c r="AN347" t="s">
        <v>75</v>
      </c>
      <c r="AO347" t="s">
        <v>60</v>
      </c>
      <c r="AP347">
        <v>2003</v>
      </c>
      <c r="AQ347" t="s">
        <v>28</v>
      </c>
      <c r="AR347" t="s">
        <v>307</v>
      </c>
      <c r="AS347" t="s">
        <v>352</v>
      </c>
      <c r="AT347" t="s">
        <v>240</v>
      </c>
      <c r="AU347" t="s">
        <v>310</v>
      </c>
      <c r="AV347">
        <v>0</v>
      </c>
    </row>
    <row r="348" spans="40:48" x14ac:dyDescent="0.25">
      <c r="AN348" t="s">
        <v>75</v>
      </c>
      <c r="AO348" t="s">
        <v>60</v>
      </c>
      <c r="AP348">
        <v>2003</v>
      </c>
      <c r="AQ348" t="s">
        <v>28</v>
      </c>
      <c r="AR348" t="s">
        <v>307</v>
      </c>
      <c r="AS348" t="s">
        <v>352</v>
      </c>
      <c r="AT348" t="s">
        <v>240</v>
      </c>
      <c r="AU348" t="s">
        <v>311</v>
      </c>
      <c r="AV348">
        <v>0</v>
      </c>
    </row>
    <row r="349" spans="40:48" x14ac:dyDescent="0.25">
      <c r="AN349" t="s">
        <v>75</v>
      </c>
      <c r="AO349" t="s">
        <v>60</v>
      </c>
      <c r="AP349">
        <v>2003</v>
      </c>
      <c r="AQ349" t="s">
        <v>28</v>
      </c>
      <c r="AR349" t="s">
        <v>307</v>
      </c>
      <c r="AS349" t="s">
        <v>352</v>
      </c>
      <c r="AT349" t="s">
        <v>240</v>
      </c>
      <c r="AU349" t="s">
        <v>268</v>
      </c>
      <c r="AV349">
        <v>0</v>
      </c>
    </row>
    <row r="350" spans="40:48" x14ac:dyDescent="0.25">
      <c r="AN350" t="s">
        <v>75</v>
      </c>
      <c r="AO350" t="s">
        <v>60</v>
      </c>
      <c r="AP350">
        <v>2003</v>
      </c>
      <c r="AQ350" t="s">
        <v>28</v>
      </c>
      <c r="AR350" t="s">
        <v>307</v>
      </c>
      <c r="AS350" t="s">
        <v>352</v>
      </c>
      <c r="AT350" t="s">
        <v>316</v>
      </c>
      <c r="AU350" t="s">
        <v>310</v>
      </c>
      <c r="AV350">
        <v>3.1</v>
      </c>
    </row>
    <row r="351" spans="40:48" x14ac:dyDescent="0.25">
      <c r="AN351" t="s">
        <v>75</v>
      </c>
      <c r="AO351" t="s">
        <v>60</v>
      </c>
      <c r="AP351">
        <v>2003</v>
      </c>
      <c r="AQ351" t="s">
        <v>28</v>
      </c>
      <c r="AR351" t="s">
        <v>307</v>
      </c>
      <c r="AS351" t="s">
        <v>352</v>
      </c>
      <c r="AT351" t="s">
        <v>316</v>
      </c>
      <c r="AU351" t="s">
        <v>311</v>
      </c>
      <c r="AV351">
        <v>9</v>
      </c>
    </row>
    <row r="352" spans="40:48" x14ac:dyDescent="0.25">
      <c r="AN352" t="s">
        <v>75</v>
      </c>
      <c r="AO352" t="s">
        <v>60</v>
      </c>
      <c r="AP352">
        <v>2003</v>
      </c>
      <c r="AQ352" t="s">
        <v>28</v>
      </c>
      <c r="AR352" t="s">
        <v>307</v>
      </c>
      <c r="AS352" t="s">
        <v>352</v>
      </c>
      <c r="AT352" t="s">
        <v>316</v>
      </c>
      <c r="AU352" t="s">
        <v>268</v>
      </c>
      <c r="AV352">
        <v>12.1</v>
      </c>
    </row>
    <row r="353" spans="40:48" x14ac:dyDescent="0.25">
      <c r="AN353" t="s">
        <v>75</v>
      </c>
      <c r="AO353" t="s">
        <v>60</v>
      </c>
      <c r="AP353">
        <v>2003</v>
      </c>
      <c r="AQ353" t="s">
        <v>28</v>
      </c>
      <c r="AR353" t="s">
        <v>307</v>
      </c>
      <c r="AS353" t="s">
        <v>352</v>
      </c>
      <c r="AT353" t="s">
        <v>242</v>
      </c>
      <c r="AU353" t="s">
        <v>310</v>
      </c>
      <c r="AV353">
        <v>0</v>
      </c>
    </row>
    <row r="354" spans="40:48" x14ac:dyDescent="0.25">
      <c r="AN354" t="s">
        <v>75</v>
      </c>
      <c r="AO354" t="s">
        <v>60</v>
      </c>
      <c r="AP354">
        <v>2003</v>
      </c>
      <c r="AQ354" t="s">
        <v>28</v>
      </c>
      <c r="AR354" t="s">
        <v>307</v>
      </c>
      <c r="AS354" t="s">
        <v>352</v>
      </c>
      <c r="AT354" t="s">
        <v>242</v>
      </c>
      <c r="AU354" t="s">
        <v>311</v>
      </c>
      <c r="AV354">
        <v>0</v>
      </c>
    </row>
    <row r="355" spans="40:48" x14ac:dyDescent="0.25">
      <c r="AN355" t="s">
        <v>75</v>
      </c>
      <c r="AO355" t="s">
        <v>60</v>
      </c>
      <c r="AP355">
        <v>2003</v>
      </c>
      <c r="AQ355" t="s">
        <v>28</v>
      </c>
      <c r="AR355" t="s">
        <v>307</v>
      </c>
      <c r="AS355" t="s">
        <v>352</v>
      </c>
      <c r="AT355" t="s">
        <v>242</v>
      </c>
      <c r="AU355" t="s">
        <v>268</v>
      </c>
      <c r="AV355">
        <v>0</v>
      </c>
    </row>
    <row r="356" spans="40:48" x14ac:dyDescent="0.25">
      <c r="AN356" t="s">
        <v>75</v>
      </c>
      <c r="AO356" t="s">
        <v>60</v>
      </c>
      <c r="AP356">
        <v>2003</v>
      </c>
      <c r="AQ356" t="s">
        <v>28</v>
      </c>
      <c r="AR356" t="s">
        <v>307</v>
      </c>
      <c r="AS356" t="s">
        <v>352</v>
      </c>
      <c r="AT356" t="s">
        <v>243</v>
      </c>
      <c r="AU356" t="s">
        <v>337</v>
      </c>
      <c r="AV356">
        <v>0</v>
      </c>
    </row>
    <row r="357" spans="40:48" x14ac:dyDescent="0.25">
      <c r="AN357" t="s">
        <v>75</v>
      </c>
      <c r="AO357" t="s">
        <v>60</v>
      </c>
      <c r="AP357">
        <v>2003</v>
      </c>
      <c r="AQ357" t="s">
        <v>28</v>
      </c>
      <c r="AR357" t="s">
        <v>307</v>
      </c>
      <c r="AS357" t="s">
        <v>352</v>
      </c>
      <c r="AT357" t="s">
        <v>243</v>
      </c>
      <c r="AU357" t="s">
        <v>338</v>
      </c>
      <c r="AV357">
        <v>0</v>
      </c>
    </row>
    <row r="358" spans="40:48" x14ac:dyDescent="0.25">
      <c r="AN358" t="s">
        <v>75</v>
      </c>
      <c r="AO358" t="s">
        <v>60</v>
      </c>
      <c r="AP358">
        <v>2003</v>
      </c>
      <c r="AQ358" t="s">
        <v>28</v>
      </c>
      <c r="AR358" t="s">
        <v>307</v>
      </c>
      <c r="AS358" t="s">
        <v>352</v>
      </c>
      <c r="AT358" t="s">
        <v>243</v>
      </c>
      <c r="AU358" t="s">
        <v>349</v>
      </c>
      <c r="AV358">
        <v>24.6</v>
      </c>
    </row>
    <row r="359" spans="40:48" x14ac:dyDescent="0.25">
      <c r="AN359" t="s">
        <v>96</v>
      </c>
      <c r="AO359" t="s">
        <v>60</v>
      </c>
      <c r="AP359">
        <v>2002</v>
      </c>
      <c r="AQ359" t="s">
        <v>62</v>
      </c>
      <c r="AR359" t="s">
        <v>307</v>
      </c>
      <c r="AS359" t="s">
        <v>352</v>
      </c>
      <c r="AT359" t="s">
        <v>218</v>
      </c>
      <c r="AU359" t="s">
        <v>310</v>
      </c>
      <c r="AV359">
        <v>0</v>
      </c>
    </row>
    <row r="360" spans="40:48" x14ac:dyDescent="0.25">
      <c r="AN360" t="s">
        <v>96</v>
      </c>
      <c r="AO360" t="s">
        <v>60</v>
      </c>
      <c r="AP360">
        <v>2002</v>
      </c>
      <c r="AQ360" t="s">
        <v>62</v>
      </c>
      <c r="AR360" t="s">
        <v>307</v>
      </c>
      <c r="AS360" t="s">
        <v>352</v>
      </c>
      <c r="AT360" t="s">
        <v>218</v>
      </c>
      <c r="AU360" t="s">
        <v>311</v>
      </c>
      <c r="AV360">
        <v>0</v>
      </c>
    </row>
    <row r="361" spans="40:48" x14ac:dyDescent="0.25">
      <c r="AN361" t="s">
        <v>96</v>
      </c>
      <c r="AO361" t="s">
        <v>60</v>
      </c>
      <c r="AP361">
        <v>2002</v>
      </c>
      <c r="AQ361" t="s">
        <v>62</v>
      </c>
      <c r="AR361" t="s">
        <v>307</v>
      </c>
      <c r="AS361" t="s">
        <v>352</v>
      </c>
      <c r="AT361" t="s">
        <v>218</v>
      </c>
      <c r="AU361" t="s">
        <v>268</v>
      </c>
      <c r="AV361">
        <v>0</v>
      </c>
    </row>
    <row r="362" spans="40:48" x14ac:dyDescent="0.25">
      <c r="AN362" t="s">
        <v>96</v>
      </c>
      <c r="AO362" t="s">
        <v>60</v>
      </c>
      <c r="AP362">
        <v>2002</v>
      </c>
      <c r="AQ362" t="s">
        <v>62</v>
      </c>
      <c r="AR362" t="s">
        <v>307</v>
      </c>
      <c r="AS362" t="s">
        <v>352</v>
      </c>
      <c r="AT362" t="s">
        <v>238</v>
      </c>
      <c r="AU362" t="s">
        <v>310</v>
      </c>
      <c r="AV362">
        <v>4.5</v>
      </c>
    </row>
    <row r="363" spans="40:48" x14ac:dyDescent="0.25">
      <c r="AN363" t="s">
        <v>96</v>
      </c>
      <c r="AO363" t="s">
        <v>60</v>
      </c>
      <c r="AP363">
        <v>2002</v>
      </c>
      <c r="AQ363" t="s">
        <v>62</v>
      </c>
      <c r="AR363" t="s">
        <v>307</v>
      </c>
      <c r="AS363" t="s">
        <v>352</v>
      </c>
      <c r="AT363" t="s">
        <v>238</v>
      </c>
      <c r="AU363" t="s">
        <v>311</v>
      </c>
      <c r="AV363">
        <v>6.3</v>
      </c>
    </row>
    <row r="364" spans="40:48" x14ac:dyDescent="0.25">
      <c r="AN364" t="s">
        <v>96</v>
      </c>
      <c r="AO364" t="s">
        <v>60</v>
      </c>
      <c r="AP364">
        <v>2002</v>
      </c>
      <c r="AQ364" t="s">
        <v>62</v>
      </c>
      <c r="AR364" t="s">
        <v>307</v>
      </c>
      <c r="AS364" t="s">
        <v>352</v>
      </c>
      <c r="AT364" t="s">
        <v>238</v>
      </c>
      <c r="AU364" t="s">
        <v>268</v>
      </c>
      <c r="AV364">
        <v>10.8</v>
      </c>
    </row>
    <row r="365" spans="40:48" x14ac:dyDescent="0.25">
      <c r="AN365" t="s">
        <v>96</v>
      </c>
      <c r="AO365" t="s">
        <v>60</v>
      </c>
      <c r="AP365">
        <v>2002</v>
      </c>
      <c r="AQ365" t="s">
        <v>62</v>
      </c>
      <c r="AR365" t="s">
        <v>307</v>
      </c>
      <c r="AS365" t="s">
        <v>352</v>
      </c>
      <c r="AT365" t="s">
        <v>239</v>
      </c>
      <c r="AU365" t="s">
        <v>310</v>
      </c>
      <c r="AV365">
        <v>0</v>
      </c>
    </row>
    <row r="366" spans="40:48" x14ac:dyDescent="0.25">
      <c r="AN366" t="s">
        <v>96</v>
      </c>
      <c r="AO366" t="s">
        <v>60</v>
      </c>
      <c r="AP366">
        <v>2002</v>
      </c>
      <c r="AQ366" t="s">
        <v>62</v>
      </c>
      <c r="AR366" t="s">
        <v>307</v>
      </c>
      <c r="AS366" t="s">
        <v>352</v>
      </c>
      <c r="AT366" t="s">
        <v>239</v>
      </c>
      <c r="AU366" t="s">
        <v>311</v>
      </c>
      <c r="AV366">
        <v>0</v>
      </c>
    </row>
    <row r="367" spans="40:48" x14ac:dyDescent="0.25">
      <c r="AN367" t="s">
        <v>96</v>
      </c>
      <c r="AO367" t="s">
        <v>60</v>
      </c>
      <c r="AP367">
        <v>2002</v>
      </c>
      <c r="AQ367" t="s">
        <v>62</v>
      </c>
      <c r="AR367" t="s">
        <v>307</v>
      </c>
      <c r="AS367" t="s">
        <v>352</v>
      </c>
      <c r="AT367" t="s">
        <v>239</v>
      </c>
      <c r="AU367" t="s">
        <v>268</v>
      </c>
      <c r="AV367">
        <v>0</v>
      </c>
    </row>
    <row r="368" spans="40:48" x14ac:dyDescent="0.25">
      <c r="AN368" t="s">
        <v>96</v>
      </c>
      <c r="AO368" t="s">
        <v>60</v>
      </c>
      <c r="AP368">
        <v>2002</v>
      </c>
      <c r="AQ368" t="s">
        <v>62</v>
      </c>
      <c r="AR368" t="s">
        <v>307</v>
      </c>
      <c r="AS368" t="s">
        <v>352</v>
      </c>
      <c r="AT368" t="s">
        <v>240</v>
      </c>
      <c r="AU368" t="s">
        <v>310</v>
      </c>
      <c r="AV368">
        <v>0</v>
      </c>
    </row>
    <row r="369" spans="40:48" x14ac:dyDescent="0.25">
      <c r="AN369" t="s">
        <v>96</v>
      </c>
      <c r="AO369" t="s">
        <v>60</v>
      </c>
      <c r="AP369">
        <v>2002</v>
      </c>
      <c r="AQ369" t="s">
        <v>62</v>
      </c>
      <c r="AR369" t="s">
        <v>307</v>
      </c>
      <c r="AS369" t="s">
        <v>352</v>
      </c>
      <c r="AT369" t="s">
        <v>240</v>
      </c>
      <c r="AU369" t="s">
        <v>311</v>
      </c>
      <c r="AV369">
        <v>0</v>
      </c>
    </row>
    <row r="370" spans="40:48" x14ac:dyDescent="0.25">
      <c r="AN370" t="s">
        <v>96</v>
      </c>
      <c r="AO370" t="s">
        <v>60</v>
      </c>
      <c r="AP370">
        <v>2002</v>
      </c>
      <c r="AQ370" t="s">
        <v>62</v>
      </c>
      <c r="AR370" t="s">
        <v>307</v>
      </c>
      <c r="AS370" t="s">
        <v>352</v>
      </c>
      <c r="AT370" t="s">
        <v>240</v>
      </c>
      <c r="AU370" t="s">
        <v>268</v>
      </c>
      <c r="AV370">
        <v>0</v>
      </c>
    </row>
    <row r="371" spans="40:48" x14ac:dyDescent="0.25">
      <c r="AN371" t="s">
        <v>96</v>
      </c>
      <c r="AO371" t="s">
        <v>60</v>
      </c>
      <c r="AP371">
        <v>2002</v>
      </c>
      <c r="AQ371" t="s">
        <v>62</v>
      </c>
      <c r="AR371" t="s">
        <v>307</v>
      </c>
      <c r="AS371" t="s">
        <v>352</v>
      </c>
      <c r="AT371" t="s">
        <v>316</v>
      </c>
      <c r="AU371" t="s">
        <v>310</v>
      </c>
      <c r="AV371">
        <v>3.5</v>
      </c>
    </row>
    <row r="372" spans="40:48" x14ac:dyDescent="0.25">
      <c r="AN372" t="s">
        <v>96</v>
      </c>
      <c r="AO372" t="s">
        <v>60</v>
      </c>
      <c r="AP372">
        <v>2002</v>
      </c>
      <c r="AQ372" t="s">
        <v>62</v>
      </c>
      <c r="AR372" t="s">
        <v>307</v>
      </c>
      <c r="AS372" t="s">
        <v>352</v>
      </c>
      <c r="AT372" t="s">
        <v>316</v>
      </c>
      <c r="AU372" t="s">
        <v>311</v>
      </c>
      <c r="AV372">
        <v>3</v>
      </c>
    </row>
    <row r="373" spans="40:48" x14ac:dyDescent="0.25">
      <c r="AN373" t="s">
        <v>96</v>
      </c>
      <c r="AO373" t="s">
        <v>60</v>
      </c>
      <c r="AP373">
        <v>2002</v>
      </c>
      <c r="AQ373" t="s">
        <v>62</v>
      </c>
      <c r="AR373" t="s">
        <v>307</v>
      </c>
      <c r="AS373" t="s">
        <v>352</v>
      </c>
      <c r="AT373" t="s">
        <v>316</v>
      </c>
      <c r="AU373" t="s">
        <v>268</v>
      </c>
      <c r="AV373">
        <v>6.5</v>
      </c>
    </row>
    <row r="374" spans="40:48" x14ac:dyDescent="0.25">
      <c r="AN374" t="s">
        <v>96</v>
      </c>
      <c r="AO374" t="s">
        <v>60</v>
      </c>
      <c r="AP374">
        <v>2002</v>
      </c>
      <c r="AQ374" t="s">
        <v>62</v>
      </c>
      <c r="AR374" t="s">
        <v>307</v>
      </c>
      <c r="AS374" t="s">
        <v>352</v>
      </c>
      <c r="AT374" t="s">
        <v>242</v>
      </c>
      <c r="AU374" t="s">
        <v>310</v>
      </c>
      <c r="AV374">
        <v>0</v>
      </c>
    </row>
    <row r="375" spans="40:48" x14ac:dyDescent="0.25">
      <c r="AN375" t="s">
        <v>96</v>
      </c>
      <c r="AO375" t="s">
        <v>60</v>
      </c>
      <c r="AP375">
        <v>2002</v>
      </c>
      <c r="AQ375" t="s">
        <v>62</v>
      </c>
      <c r="AR375" t="s">
        <v>307</v>
      </c>
      <c r="AS375" t="s">
        <v>352</v>
      </c>
      <c r="AT375" t="s">
        <v>242</v>
      </c>
      <c r="AU375" t="s">
        <v>311</v>
      </c>
      <c r="AV375">
        <v>0</v>
      </c>
    </row>
    <row r="376" spans="40:48" x14ac:dyDescent="0.25">
      <c r="AN376" t="s">
        <v>96</v>
      </c>
      <c r="AO376" t="s">
        <v>60</v>
      </c>
      <c r="AP376">
        <v>2002</v>
      </c>
      <c r="AQ376" t="s">
        <v>62</v>
      </c>
      <c r="AR376" t="s">
        <v>307</v>
      </c>
      <c r="AS376" t="s">
        <v>352</v>
      </c>
      <c r="AT376" t="s">
        <v>242</v>
      </c>
      <c r="AU376" t="s">
        <v>268</v>
      </c>
      <c r="AV376">
        <v>0</v>
      </c>
    </row>
    <row r="377" spans="40:48" x14ac:dyDescent="0.25">
      <c r="AN377" t="s">
        <v>96</v>
      </c>
      <c r="AO377" t="s">
        <v>60</v>
      </c>
      <c r="AP377">
        <v>2002</v>
      </c>
      <c r="AQ377" t="s">
        <v>62</v>
      </c>
      <c r="AR377" t="s">
        <v>307</v>
      </c>
      <c r="AS377" t="s">
        <v>352</v>
      </c>
      <c r="AT377" t="s">
        <v>243</v>
      </c>
      <c r="AU377" t="s">
        <v>337</v>
      </c>
      <c r="AV377">
        <v>0</v>
      </c>
    </row>
    <row r="378" spans="40:48" x14ac:dyDescent="0.25">
      <c r="AN378" t="s">
        <v>96</v>
      </c>
      <c r="AO378" t="s">
        <v>60</v>
      </c>
      <c r="AP378">
        <v>2002</v>
      </c>
      <c r="AQ378" t="s">
        <v>62</v>
      </c>
      <c r="AR378" t="s">
        <v>307</v>
      </c>
      <c r="AS378" t="s">
        <v>352</v>
      </c>
      <c r="AT378" t="s">
        <v>243</v>
      </c>
      <c r="AU378" t="s">
        <v>338</v>
      </c>
      <c r="AV378">
        <v>0</v>
      </c>
    </row>
    <row r="379" spans="40:48" x14ac:dyDescent="0.25">
      <c r="AN379" t="s">
        <v>96</v>
      </c>
      <c r="AO379" t="s">
        <v>60</v>
      </c>
      <c r="AP379">
        <v>2002</v>
      </c>
      <c r="AQ379" t="s">
        <v>62</v>
      </c>
      <c r="AR379" t="s">
        <v>307</v>
      </c>
      <c r="AS379" t="s">
        <v>352</v>
      </c>
      <c r="AT379" t="s">
        <v>243</v>
      </c>
      <c r="AU379" t="s">
        <v>349</v>
      </c>
      <c r="AV379">
        <v>17.3</v>
      </c>
    </row>
    <row r="380" spans="40:48" x14ac:dyDescent="0.25">
      <c r="AN380" t="s">
        <v>94</v>
      </c>
      <c r="AO380" t="s">
        <v>60</v>
      </c>
      <c r="AP380">
        <v>2002</v>
      </c>
      <c r="AQ380" t="s">
        <v>72</v>
      </c>
      <c r="AR380" t="s">
        <v>307</v>
      </c>
      <c r="AS380" t="s">
        <v>352</v>
      </c>
      <c r="AT380" t="s">
        <v>218</v>
      </c>
      <c r="AU380" t="s">
        <v>310</v>
      </c>
      <c r="AV380">
        <v>0</v>
      </c>
    </row>
    <row r="381" spans="40:48" x14ac:dyDescent="0.25">
      <c r="AN381" t="s">
        <v>94</v>
      </c>
      <c r="AO381" t="s">
        <v>60</v>
      </c>
      <c r="AP381">
        <v>2002</v>
      </c>
      <c r="AQ381" t="s">
        <v>72</v>
      </c>
      <c r="AR381" t="s">
        <v>307</v>
      </c>
      <c r="AS381" t="s">
        <v>352</v>
      </c>
      <c r="AT381" t="s">
        <v>218</v>
      </c>
      <c r="AU381" t="s">
        <v>311</v>
      </c>
      <c r="AV381">
        <v>0</v>
      </c>
    </row>
    <row r="382" spans="40:48" x14ac:dyDescent="0.25">
      <c r="AN382" t="s">
        <v>94</v>
      </c>
      <c r="AO382" t="s">
        <v>60</v>
      </c>
      <c r="AP382">
        <v>2002</v>
      </c>
      <c r="AQ382" t="s">
        <v>72</v>
      </c>
      <c r="AR382" t="s">
        <v>307</v>
      </c>
      <c r="AS382" t="s">
        <v>352</v>
      </c>
      <c r="AT382" t="s">
        <v>218</v>
      </c>
      <c r="AU382" t="s">
        <v>268</v>
      </c>
      <c r="AV382">
        <v>0</v>
      </c>
    </row>
    <row r="383" spans="40:48" x14ac:dyDescent="0.25">
      <c r="AN383" t="s">
        <v>94</v>
      </c>
      <c r="AO383" t="s">
        <v>60</v>
      </c>
      <c r="AP383">
        <v>2002</v>
      </c>
      <c r="AQ383" t="s">
        <v>72</v>
      </c>
      <c r="AR383" t="s">
        <v>307</v>
      </c>
      <c r="AS383" t="s">
        <v>352</v>
      </c>
      <c r="AT383" t="s">
        <v>238</v>
      </c>
      <c r="AU383" t="s">
        <v>310</v>
      </c>
      <c r="AV383">
        <v>0</v>
      </c>
    </row>
    <row r="384" spans="40:48" x14ac:dyDescent="0.25">
      <c r="AN384" t="s">
        <v>94</v>
      </c>
      <c r="AO384" t="s">
        <v>60</v>
      </c>
      <c r="AP384">
        <v>2002</v>
      </c>
      <c r="AQ384" t="s">
        <v>72</v>
      </c>
      <c r="AR384" t="s">
        <v>307</v>
      </c>
      <c r="AS384" t="s">
        <v>352</v>
      </c>
      <c r="AT384" t="s">
        <v>238</v>
      </c>
      <c r="AU384" t="s">
        <v>311</v>
      </c>
      <c r="AV384">
        <v>0</v>
      </c>
    </row>
    <row r="385" spans="40:48" x14ac:dyDescent="0.25">
      <c r="AN385" t="s">
        <v>94</v>
      </c>
      <c r="AO385" t="s">
        <v>60</v>
      </c>
      <c r="AP385">
        <v>2002</v>
      </c>
      <c r="AQ385" t="s">
        <v>72</v>
      </c>
      <c r="AR385" t="s">
        <v>307</v>
      </c>
      <c r="AS385" t="s">
        <v>352</v>
      </c>
      <c r="AT385" t="s">
        <v>238</v>
      </c>
      <c r="AU385" t="s">
        <v>268</v>
      </c>
      <c r="AV385">
        <v>0</v>
      </c>
    </row>
    <row r="386" spans="40:48" x14ac:dyDescent="0.25">
      <c r="AN386" t="s">
        <v>94</v>
      </c>
      <c r="AO386" t="s">
        <v>60</v>
      </c>
      <c r="AP386">
        <v>2002</v>
      </c>
      <c r="AQ386" t="s">
        <v>72</v>
      </c>
      <c r="AR386" t="s">
        <v>307</v>
      </c>
      <c r="AS386" t="s">
        <v>352</v>
      </c>
      <c r="AT386" t="s">
        <v>239</v>
      </c>
      <c r="AU386" t="s">
        <v>310</v>
      </c>
      <c r="AV386">
        <v>4.3</v>
      </c>
    </row>
    <row r="387" spans="40:48" x14ac:dyDescent="0.25">
      <c r="AN387" t="s">
        <v>94</v>
      </c>
      <c r="AO387" t="s">
        <v>60</v>
      </c>
      <c r="AP387">
        <v>2002</v>
      </c>
      <c r="AQ387" t="s">
        <v>72</v>
      </c>
      <c r="AR387" t="s">
        <v>307</v>
      </c>
      <c r="AS387" t="s">
        <v>352</v>
      </c>
      <c r="AT387" t="s">
        <v>239</v>
      </c>
      <c r="AU387" t="s">
        <v>311</v>
      </c>
      <c r="AV387">
        <v>7.2</v>
      </c>
    </row>
    <row r="388" spans="40:48" x14ac:dyDescent="0.25">
      <c r="AN388" t="s">
        <v>94</v>
      </c>
      <c r="AO388" t="s">
        <v>60</v>
      </c>
      <c r="AP388">
        <v>2002</v>
      </c>
      <c r="AQ388" t="s">
        <v>72</v>
      </c>
      <c r="AR388" t="s">
        <v>307</v>
      </c>
      <c r="AS388" t="s">
        <v>352</v>
      </c>
      <c r="AT388" t="s">
        <v>239</v>
      </c>
      <c r="AU388" t="s">
        <v>268</v>
      </c>
      <c r="AV388">
        <v>11.5</v>
      </c>
    </row>
    <row r="389" spans="40:48" x14ac:dyDescent="0.25">
      <c r="AN389" t="s">
        <v>94</v>
      </c>
      <c r="AO389" t="s">
        <v>60</v>
      </c>
      <c r="AP389">
        <v>2002</v>
      </c>
      <c r="AQ389" t="s">
        <v>72</v>
      </c>
      <c r="AR389" t="s">
        <v>307</v>
      </c>
      <c r="AS389" t="s">
        <v>352</v>
      </c>
      <c r="AT389" t="s">
        <v>240</v>
      </c>
      <c r="AU389" t="s">
        <v>310</v>
      </c>
      <c r="AV389">
        <v>0</v>
      </c>
    </row>
    <row r="390" spans="40:48" x14ac:dyDescent="0.25">
      <c r="AN390" t="s">
        <v>94</v>
      </c>
      <c r="AO390" t="s">
        <v>60</v>
      </c>
      <c r="AP390">
        <v>2002</v>
      </c>
      <c r="AQ390" t="s">
        <v>72</v>
      </c>
      <c r="AR390" t="s">
        <v>307</v>
      </c>
      <c r="AS390" t="s">
        <v>352</v>
      </c>
      <c r="AT390" t="s">
        <v>240</v>
      </c>
      <c r="AU390" t="s">
        <v>311</v>
      </c>
      <c r="AV390">
        <v>0</v>
      </c>
    </row>
    <row r="391" spans="40:48" x14ac:dyDescent="0.25">
      <c r="AN391" t="s">
        <v>94</v>
      </c>
      <c r="AO391" t="s">
        <v>60</v>
      </c>
      <c r="AP391">
        <v>2002</v>
      </c>
      <c r="AQ391" t="s">
        <v>72</v>
      </c>
      <c r="AR391" t="s">
        <v>307</v>
      </c>
      <c r="AS391" t="s">
        <v>352</v>
      </c>
      <c r="AT391" t="s">
        <v>240</v>
      </c>
      <c r="AU391" t="s">
        <v>268</v>
      </c>
      <c r="AV391">
        <v>0</v>
      </c>
    </row>
    <row r="392" spans="40:48" x14ac:dyDescent="0.25">
      <c r="AN392" t="s">
        <v>94</v>
      </c>
      <c r="AO392" t="s">
        <v>60</v>
      </c>
      <c r="AP392">
        <v>2002</v>
      </c>
      <c r="AQ392" t="s">
        <v>72</v>
      </c>
      <c r="AR392" t="s">
        <v>307</v>
      </c>
      <c r="AS392" t="s">
        <v>352</v>
      </c>
      <c r="AT392" t="s">
        <v>316</v>
      </c>
      <c r="AU392" t="s">
        <v>310</v>
      </c>
      <c r="AV392">
        <v>0</v>
      </c>
    </row>
    <row r="393" spans="40:48" x14ac:dyDescent="0.25">
      <c r="AN393" t="s">
        <v>94</v>
      </c>
      <c r="AO393" t="s">
        <v>60</v>
      </c>
      <c r="AP393">
        <v>2002</v>
      </c>
      <c r="AQ393" t="s">
        <v>72</v>
      </c>
      <c r="AR393" t="s">
        <v>307</v>
      </c>
      <c r="AS393" t="s">
        <v>352</v>
      </c>
      <c r="AT393" t="s">
        <v>316</v>
      </c>
      <c r="AU393" t="s">
        <v>311</v>
      </c>
      <c r="AV393">
        <v>0</v>
      </c>
    </row>
    <row r="394" spans="40:48" x14ac:dyDescent="0.25">
      <c r="AN394" t="s">
        <v>94</v>
      </c>
      <c r="AO394" t="s">
        <v>60</v>
      </c>
      <c r="AP394">
        <v>2002</v>
      </c>
      <c r="AQ394" t="s">
        <v>72</v>
      </c>
      <c r="AR394" t="s">
        <v>307</v>
      </c>
      <c r="AS394" t="s">
        <v>352</v>
      </c>
      <c r="AT394" t="s">
        <v>316</v>
      </c>
      <c r="AU394" t="s">
        <v>268</v>
      </c>
      <c r="AV394">
        <v>0</v>
      </c>
    </row>
    <row r="395" spans="40:48" x14ac:dyDescent="0.25">
      <c r="AN395" t="s">
        <v>94</v>
      </c>
      <c r="AO395" t="s">
        <v>60</v>
      </c>
      <c r="AP395">
        <v>2002</v>
      </c>
      <c r="AQ395" t="s">
        <v>72</v>
      </c>
      <c r="AR395" t="s">
        <v>307</v>
      </c>
      <c r="AS395" t="s">
        <v>352</v>
      </c>
      <c r="AT395" t="s">
        <v>242</v>
      </c>
      <c r="AU395" t="s">
        <v>310</v>
      </c>
      <c r="AV395">
        <v>0</v>
      </c>
    </row>
    <row r="396" spans="40:48" x14ac:dyDescent="0.25">
      <c r="AN396" t="s">
        <v>94</v>
      </c>
      <c r="AO396" t="s">
        <v>60</v>
      </c>
      <c r="AP396">
        <v>2002</v>
      </c>
      <c r="AQ396" t="s">
        <v>72</v>
      </c>
      <c r="AR396" t="s">
        <v>307</v>
      </c>
      <c r="AS396" t="s">
        <v>352</v>
      </c>
      <c r="AT396" t="s">
        <v>242</v>
      </c>
      <c r="AU396" t="s">
        <v>311</v>
      </c>
      <c r="AV396">
        <v>0</v>
      </c>
    </row>
    <row r="397" spans="40:48" x14ac:dyDescent="0.25">
      <c r="AN397" t="s">
        <v>94</v>
      </c>
      <c r="AO397" t="s">
        <v>60</v>
      </c>
      <c r="AP397">
        <v>2002</v>
      </c>
      <c r="AQ397" t="s">
        <v>72</v>
      </c>
      <c r="AR397" t="s">
        <v>307</v>
      </c>
      <c r="AS397" t="s">
        <v>352</v>
      </c>
      <c r="AT397" t="s">
        <v>242</v>
      </c>
      <c r="AU397" t="s">
        <v>268</v>
      </c>
      <c r="AV397">
        <v>0</v>
      </c>
    </row>
    <row r="398" spans="40:48" x14ac:dyDescent="0.25">
      <c r="AN398" t="s">
        <v>94</v>
      </c>
      <c r="AO398" t="s">
        <v>60</v>
      </c>
      <c r="AP398">
        <v>2002</v>
      </c>
      <c r="AQ398" t="s">
        <v>72</v>
      </c>
      <c r="AR398" t="s">
        <v>307</v>
      </c>
      <c r="AS398" t="s">
        <v>352</v>
      </c>
      <c r="AT398" t="s">
        <v>243</v>
      </c>
      <c r="AU398" t="s">
        <v>337</v>
      </c>
      <c r="AV398">
        <v>0</v>
      </c>
    </row>
    <row r="399" spans="40:48" x14ac:dyDescent="0.25">
      <c r="AN399" t="s">
        <v>94</v>
      </c>
      <c r="AO399" t="s">
        <v>60</v>
      </c>
      <c r="AP399">
        <v>2002</v>
      </c>
      <c r="AQ399" t="s">
        <v>72</v>
      </c>
      <c r="AR399" t="s">
        <v>307</v>
      </c>
      <c r="AS399" t="s">
        <v>352</v>
      </c>
      <c r="AT399" t="s">
        <v>243</v>
      </c>
      <c r="AU399" t="s">
        <v>338</v>
      </c>
      <c r="AV399">
        <v>0</v>
      </c>
    </row>
    <row r="400" spans="40:48" x14ac:dyDescent="0.25">
      <c r="AN400" t="s">
        <v>94</v>
      </c>
      <c r="AO400" t="s">
        <v>60</v>
      </c>
      <c r="AP400">
        <v>2002</v>
      </c>
      <c r="AQ400" t="s">
        <v>72</v>
      </c>
      <c r="AR400" t="s">
        <v>307</v>
      </c>
      <c r="AS400" t="s">
        <v>352</v>
      </c>
      <c r="AT400" t="s">
        <v>243</v>
      </c>
      <c r="AU400" t="s">
        <v>349</v>
      </c>
      <c r="AV400">
        <v>11.5</v>
      </c>
    </row>
    <row r="401" spans="40:48" x14ac:dyDescent="0.25">
      <c r="AN401" t="s">
        <v>104</v>
      </c>
      <c r="AO401" t="s">
        <v>60</v>
      </c>
      <c r="AP401">
        <v>2004</v>
      </c>
      <c r="AQ401" t="s">
        <v>28</v>
      </c>
      <c r="AR401" t="s">
        <v>307</v>
      </c>
      <c r="AS401" t="s">
        <v>352</v>
      </c>
      <c r="AT401" t="s">
        <v>218</v>
      </c>
      <c r="AU401" t="s">
        <v>310</v>
      </c>
      <c r="AV401">
        <v>4.4000000000000004</v>
      </c>
    </row>
    <row r="402" spans="40:48" x14ac:dyDescent="0.25">
      <c r="AN402" t="s">
        <v>104</v>
      </c>
      <c r="AO402" t="s">
        <v>60</v>
      </c>
      <c r="AP402">
        <v>2004</v>
      </c>
      <c r="AQ402" t="s">
        <v>28</v>
      </c>
      <c r="AR402" t="s">
        <v>307</v>
      </c>
      <c r="AS402" t="s">
        <v>352</v>
      </c>
      <c r="AT402" t="s">
        <v>218</v>
      </c>
      <c r="AU402" t="s">
        <v>311</v>
      </c>
      <c r="AV402">
        <v>4.5</v>
      </c>
    </row>
    <row r="403" spans="40:48" x14ac:dyDescent="0.25">
      <c r="AN403" t="s">
        <v>104</v>
      </c>
      <c r="AO403" t="s">
        <v>60</v>
      </c>
      <c r="AP403">
        <v>2004</v>
      </c>
      <c r="AQ403" t="s">
        <v>28</v>
      </c>
      <c r="AR403" t="s">
        <v>307</v>
      </c>
      <c r="AS403" t="s">
        <v>352</v>
      </c>
      <c r="AT403" t="s">
        <v>218</v>
      </c>
      <c r="AU403" t="s">
        <v>268</v>
      </c>
      <c r="AV403">
        <v>8.9</v>
      </c>
    </row>
    <row r="404" spans="40:48" x14ac:dyDescent="0.25">
      <c r="AN404" t="s">
        <v>104</v>
      </c>
      <c r="AO404" t="s">
        <v>60</v>
      </c>
      <c r="AP404">
        <v>2004</v>
      </c>
      <c r="AQ404" t="s">
        <v>28</v>
      </c>
      <c r="AR404" t="s">
        <v>307</v>
      </c>
      <c r="AS404" t="s">
        <v>352</v>
      </c>
      <c r="AT404" t="s">
        <v>238</v>
      </c>
      <c r="AU404" t="s">
        <v>310</v>
      </c>
      <c r="AV404">
        <v>0</v>
      </c>
    </row>
    <row r="405" spans="40:48" x14ac:dyDescent="0.25">
      <c r="AN405" t="s">
        <v>104</v>
      </c>
      <c r="AO405" t="s">
        <v>60</v>
      </c>
      <c r="AP405">
        <v>2004</v>
      </c>
      <c r="AQ405" t="s">
        <v>28</v>
      </c>
      <c r="AR405" t="s">
        <v>307</v>
      </c>
      <c r="AS405" t="s">
        <v>352</v>
      </c>
      <c r="AT405" t="s">
        <v>238</v>
      </c>
      <c r="AU405" t="s">
        <v>311</v>
      </c>
      <c r="AV405">
        <v>0</v>
      </c>
    </row>
    <row r="406" spans="40:48" x14ac:dyDescent="0.25">
      <c r="AN406" t="s">
        <v>104</v>
      </c>
      <c r="AO406" t="s">
        <v>60</v>
      </c>
      <c r="AP406">
        <v>2004</v>
      </c>
      <c r="AQ406" t="s">
        <v>28</v>
      </c>
      <c r="AR406" t="s">
        <v>307</v>
      </c>
      <c r="AS406" t="s">
        <v>352</v>
      </c>
      <c r="AT406" t="s">
        <v>238</v>
      </c>
      <c r="AU406" t="s">
        <v>268</v>
      </c>
      <c r="AV406">
        <v>0</v>
      </c>
    </row>
    <row r="407" spans="40:48" x14ac:dyDescent="0.25">
      <c r="AN407" t="s">
        <v>104</v>
      </c>
      <c r="AO407" t="s">
        <v>60</v>
      </c>
      <c r="AP407">
        <v>2004</v>
      </c>
      <c r="AQ407" t="s">
        <v>28</v>
      </c>
      <c r="AR407" t="s">
        <v>307</v>
      </c>
      <c r="AS407" t="s">
        <v>352</v>
      </c>
      <c r="AT407" t="s">
        <v>239</v>
      </c>
      <c r="AU407" t="s">
        <v>310</v>
      </c>
      <c r="AV407">
        <v>0</v>
      </c>
    </row>
    <row r="408" spans="40:48" x14ac:dyDescent="0.25">
      <c r="AN408" t="s">
        <v>104</v>
      </c>
      <c r="AO408" t="s">
        <v>60</v>
      </c>
      <c r="AP408">
        <v>2004</v>
      </c>
      <c r="AQ408" t="s">
        <v>28</v>
      </c>
      <c r="AR408" t="s">
        <v>307</v>
      </c>
      <c r="AS408" t="s">
        <v>352</v>
      </c>
      <c r="AT408" t="s">
        <v>239</v>
      </c>
      <c r="AU408" t="s">
        <v>311</v>
      </c>
      <c r="AV408">
        <v>0</v>
      </c>
    </row>
    <row r="409" spans="40:48" x14ac:dyDescent="0.25">
      <c r="AN409" t="s">
        <v>104</v>
      </c>
      <c r="AO409" t="s">
        <v>60</v>
      </c>
      <c r="AP409">
        <v>2004</v>
      </c>
      <c r="AQ409" t="s">
        <v>28</v>
      </c>
      <c r="AR409" t="s">
        <v>307</v>
      </c>
      <c r="AS409" t="s">
        <v>352</v>
      </c>
      <c r="AT409" t="s">
        <v>239</v>
      </c>
      <c r="AU409" t="s">
        <v>268</v>
      </c>
      <c r="AV409">
        <v>0</v>
      </c>
    </row>
    <row r="410" spans="40:48" x14ac:dyDescent="0.25">
      <c r="AN410" t="s">
        <v>104</v>
      </c>
      <c r="AO410" t="s">
        <v>60</v>
      </c>
      <c r="AP410">
        <v>2004</v>
      </c>
      <c r="AQ410" t="s">
        <v>28</v>
      </c>
      <c r="AR410" t="s">
        <v>307</v>
      </c>
      <c r="AS410" t="s">
        <v>352</v>
      </c>
      <c r="AT410" t="s">
        <v>240</v>
      </c>
      <c r="AU410" t="s">
        <v>310</v>
      </c>
      <c r="AV410">
        <v>0</v>
      </c>
    </row>
    <row r="411" spans="40:48" x14ac:dyDescent="0.25">
      <c r="AN411" t="s">
        <v>104</v>
      </c>
      <c r="AO411" t="s">
        <v>60</v>
      </c>
      <c r="AP411">
        <v>2004</v>
      </c>
      <c r="AQ411" t="s">
        <v>28</v>
      </c>
      <c r="AR411" t="s">
        <v>307</v>
      </c>
      <c r="AS411" t="s">
        <v>352</v>
      </c>
      <c r="AT411" t="s">
        <v>240</v>
      </c>
      <c r="AU411" t="s">
        <v>311</v>
      </c>
      <c r="AV411">
        <v>0</v>
      </c>
    </row>
    <row r="412" spans="40:48" x14ac:dyDescent="0.25">
      <c r="AN412" t="s">
        <v>104</v>
      </c>
      <c r="AO412" t="s">
        <v>60</v>
      </c>
      <c r="AP412">
        <v>2004</v>
      </c>
      <c r="AQ412" t="s">
        <v>28</v>
      </c>
      <c r="AR412" t="s">
        <v>307</v>
      </c>
      <c r="AS412" t="s">
        <v>352</v>
      </c>
      <c r="AT412" t="s">
        <v>240</v>
      </c>
      <c r="AU412" t="s">
        <v>268</v>
      </c>
      <c r="AV412">
        <v>0</v>
      </c>
    </row>
    <row r="413" spans="40:48" x14ac:dyDescent="0.25">
      <c r="AN413" t="s">
        <v>104</v>
      </c>
      <c r="AO413" t="s">
        <v>60</v>
      </c>
      <c r="AP413">
        <v>2004</v>
      </c>
      <c r="AQ413" t="s">
        <v>28</v>
      </c>
      <c r="AR413" t="s">
        <v>307</v>
      </c>
      <c r="AS413" t="s">
        <v>352</v>
      </c>
      <c r="AT413" t="s">
        <v>316</v>
      </c>
      <c r="AU413" t="s">
        <v>310</v>
      </c>
      <c r="AV413">
        <v>0</v>
      </c>
    </row>
    <row r="414" spans="40:48" x14ac:dyDescent="0.25">
      <c r="AN414" t="s">
        <v>104</v>
      </c>
      <c r="AO414" t="s">
        <v>60</v>
      </c>
      <c r="AP414">
        <v>2004</v>
      </c>
      <c r="AQ414" t="s">
        <v>28</v>
      </c>
      <c r="AR414" t="s">
        <v>307</v>
      </c>
      <c r="AS414" t="s">
        <v>352</v>
      </c>
      <c r="AT414" t="s">
        <v>316</v>
      </c>
      <c r="AU414" t="s">
        <v>311</v>
      </c>
      <c r="AV414">
        <v>0</v>
      </c>
    </row>
    <row r="415" spans="40:48" x14ac:dyDescent="0.25">
      <c r="AN415" t="s">
        <v>104</v>
      </c>
      <c r="AO415" t="s">
        <v>60</v>
      </c>
      <c r="AP415">
        <v>2004</v>
      </c>
      <c r="AQ415" t="s">
        <v>28</v>
      </c>
      <c r="AR415" t="s">
        <v>307</v>
      </c>
      <c r="AS415" t="s">
        <v>352</v>
      </c>
      <c r="AT415" t="s">
        <v>316</v>
      </c>
      <c r="AU415" t="s">
        <v>268</v>
      </c>
      <c r="AV415">
        <v>0</v>
      </c>
    </row>
    <row r="416" spans="40:48" x14ac:dyDescent="0.25">
      <c r="AN416" t="s">
        <v>104</v>
      </c>
      <c r="AO416" t="s">
        <v>60</v>
      </c>
      <c r="AP416">
        <v>2004</v>
      </c>
      <c r="AQ416" t="s">
        <v>28</v>
      </c>
      <c r="AR416" t="s">
        <v>307</v>
      </c>
      <c r="AS416" t="s">
        <v>352</v>
      </c>
      <c r="AT416" t="s">
        <v>242</v>
      </c>
      <c r="AU416" t="s">
        <v>310</v>
      </c>
      <c r="AV416">
        <v>0</v>
      </c>
    </row>
    <row r="417" spans="40:48" x14ac:dyDescent="0.25">
      <c r="AN417" t="s">
        <v>104</v>
      </c>
      <c r="AO417" t="s">
        <v>60</v>
      </c>
      <c r="AP417">
        <v>2004</v>
      </c>
      <c r="AQ417" t="s">
        <v>28</v>
      </c>
      <c r="AR417" t="s">
        <v>307</v>
      </c>
      <c r="AS417" t="s">
        <v>352</v>
      </c>
      <c r="AT417" t="s">
        <v>242</v>
      </c>
      <c r="AU417" t="s">
        <v>311</v>
      </c>
      <c r="AV417">
        <v>0</v>
      </c>
    </row>
    <row r="418" spans="40:48" x14ac:dyDescent="0.25">
      <c r="AN418" t="s">
        <v>104</v>
      </c>
      <c r="AO418" t="s">
        <v>60</v>
      </c>
      <c r="AP418">
        <v>2004</v>
      </c>
      <c r="AQ418" t="s">
        <v>28</v>
      </c>
      <c r="AR418" t="s">
        <v>307</v>
      </c>
      <c r="AS418" t="s">
        <v>352</v>
      </c>
      <c r="AT418" t="s">
        <v>242</v>
      </c>
      <c r="AU418" t="s">
        <v>268</v>
      </c>
      <c r="AV418">
        <v>0</v>
      </c>
    </row>
    <row r="419" spans="40:48" x14ac:dyDescent="0.25">
      <c r="AN419" t="s">
        <v>104</v>
      </c>
      <c r="AO419" t="s">
        <v>60</v>
      </c>
      <c r="AP419">
        <v>2004</v>
      </c>
      <c r="AQ419" t="s">
        <v>28</v>
      </c>
      <c r="AR419" t="s">
        <v>307</v>
      </c>
      <c r="AS419" t="s">
        <v>352</v>
      </c>
      <c r="AT419" t="s">
        <v>243</v>
      </c>
      <c r="AU419" t="s">
        <v>337</v>
      </c>
      <c r="AV419">
        <v>0</v>
      </c>
    </row>
    <row r="420" spans="40:48" x14ac:dyDescent="0.25">
      <c r="AN420" t="s">
        <v>104</v>
      </c>
      <c r="AO420" t="s">
        <v>60</v>
      </c>
      <c r="AP420">
        <v>2004</v>
      </c>
      <c r="AQ420" t="s">
        <v>28</v>
      </c>
      <c r="AR420" t="s">
        <v>307</v>
      </c>
      <c r="AS420" t="s">
        <v>352</v>
      </c>
      <c r="AT420" t="s">
        <v>243</v>
      </c>
      <c r="AU420" t="s">
        <v>338</v>
      </c>
      <c r="AV420">
        <v>0</v>
      </c>
    </row>
    <row r="421" spans="40:48" x14ac:dyDescent="0.25">
      <c r="AN421" t="s">
        <v>104</v>
      </c>
      <c r="AO421" t="s">
        <v>60</v>
      </c>
      <c r="AP421">
        <v>2004</v>
      </c>
      <c r="AQ421" t="s">
        <v>28</v>
      </c>
      <c r="AR421" t="s">
        <v>307</v>
      </c>
      <c r="AS421" t="s">
        <v>352</v>
      </c>
      <c r="AT421" t="s">
        <v>243</v>
      </c>
      <c r="AU421" t="s">
        <v>349</v>
      </c>
      <c r="AV421">
        <v>8.9</v>
      </c>
    </row>
    <row r="422" spans="40:48" x14ac:dyDescent="0.25">
      <c r="AN422" t="s">
        <v>25</v>
      </c>
      <c r="AO422" t="s">
        <v>26</v>
      </c>
      <c r="AP422">
        <v>2008</v>
      </c>
      <c r="AQ422" t="s">
        <v>28</v>
      </c>
      <c r="AR422" t="s">
        <v>306</v>
      </c>
      <c r="AS422" t="s">
        <v>352</v>
      </c>
      <c r="AT422" t="s">
        <v>218</v>
      </c>
      <c r="AU422" t="s">
        <v>310</v>
      </c>
      <c r="AV422">
        <v>4</v>
      </c>
    </row>
    <row r="423" spans="40:48" x14ac:dyDescent="0.25">
      <c r="AN423" t="s">
        <v>25</v>
      </c>
      <c r="AO423" t="s">
        <v>26</v>
      </c>
      <c r="AP423">
        <v>2008</v>
      </c>
      <c r="AQ423" t="s">
        <v>28</v>
      </c>
      <c r="AR423" t="s">
        <v>306</v>
      </c>
      <c r="AS423" t="s">
        <v>352</v>
      </c>
      <c r="AT423" t="s">
        <v>218</v>
      </c>
      <c r="AU423" t="s">
        <v>311</v>
      </c>
      <c r="AV423">
        <v>7.9</v>
      </c>
    </row>
    <row r="424" spans="40:48" x14ac:dyDescent="0.25">
      <c r="AN424" t="s">
        <v>25</v>
      </c>
      <c r="AO424" t="s">
        <v>26</v>
      </c>
      <c r="AP424">
        <v>2008</v>
      </c>
      <c r="AQ424" t="s">
        <v>28</v>
      </c>
      <c r="AR424" t="s">
        <v>306</v>
      </c>
      <c r="AS424" t="s">
        <v>352</v>
      </c>
      <c r="AT424" t="s">
        <v>218</v>
      </c>
      <c r="AU424" t="s">
        <v>268</v>
      </c>
      <c r="AV424">
        <v>11.9</v>
      </c>
    </row>
    <row r="425" spans="40:48" x14ac:dyDescent="0.25">
      <c r="AN425" t="s">
        <v>25</v>
      </c>
      <c r="AO425" t="s">
        <v>26</v>
      </c>
      <c r="AP425">
        <v>2008</v>
      </c>
      <c r="AQ425" t="s">
        <v>28</v>
      </c>
      <c r="AR425" t="s">
        <v>306</v>
      </c>
      <c r="AS425" t="s">
        <v>352</v>
      </c>
      <c r="AT425" t="s">
        <v>238</v>
      </c>
      <c r="AU425" t="s">
        <v>310</v>
      </c>
      <c r="AV425">
        <v>3.7</v>
      </c>
    </row>
    <row r="426" spans="40:48" x14ac:dyDescent="0.25">
      <c r="AN426" t="s">
        <v>25</v>
      </c>
      <c r="AO426" t="s">
        <v>26</v>
      </c>
      <c r="AP426">
        <v>2008</v>
      </c>
      <c r="AQ426" t="s">
        <v>28</v>
      </c>
      <c r="AR426" t="s">
        <v>306</v>
      </c>
      <c r="AS426" t="s">
        <v>352</v>
      </c>
      <c r="AT426" t="s">
        <v>238</v>
      </c>
      <c r="AU426" t="s">
        <v>311</v>
      </c>
      <c r="AV426">
        <v>8.8000000000000007</v>
      </c>
    </row>
    <row r="427" spans="40:48" x14ac:dyDescent="0.25">
      <c r="AN427" t="s">
        <v>25</v>
      </c>
      <c r="AO427" t="s">
        <v>26</v>
      </c>
      <c r="AP427">
        <v>2008</v>
      </c>
      <c r="AQ427" t="s">
        <v>28</v>
      </c>
      <c r="AR427" t="s">
        <v>306</v>
      </c>
      <c r="AS427" t="s">
        <v>352</v>
      </c>
      <c r="AT427" t="s">
        <v>238</v>
      </c>
      <c r="AU427" t="s">
        <v>268</v>
      </c>
      <c r="AV427">
        <v>12.5</v>
      </c>
    </row>
    <row r="428" spans="40:48" x14ac:dyDescent="0.25">
      <c r="AN428" t="s">
        <v>25</v>
      </c>
      <c r="AO428" t="s">
        <v>26</v>
      </c>
      <c r="AP428">
        <v>2008</v>
      </c>
      <c r="AQ428" t="s">
        <v>28</v>
      </c>
      <c r="AR428" t="s">
        <v>306</v>
      </c>
      <c r="AS428" t="s">
        <v>352</v>
      </c>
      <c r="AT428" t="s">
        <v>239</v>
      </c>
      <c r="AU428" t="s">
        <v>310</v>
      </c>
      <c r="AV428">
        <v>2.8</v>
      </c>
    </row>
    <row r="429" spans="40:48" x14ac:dyDescent="0.25">
      <c r="AN429" t="s">
        <v>25</v>
      </c>
      <c r="AO429" t="s">
        <v>26</v>
      </c>
      <c r="AP429">
        <v>2008</v>
      </c>
      <c r="AQ429" t="s">
        <v>28</v>
      </c>
      <c r="AR429" t="s">
        <v>306</v>
      </c>
      <c r="AS429" t="s">
        <v>352</v>
      </c>
      <c r="AT429" t="s">
        <v>239</v>
      </c>
      <c r="AU429" t="s">
        <v>311</v>
      </c>
      <c r="AV429">
        <v>8.4</v>
      </c>
    </row>
    <row r="430" spans="40:48" x14ac:dyDescent="0.25">
      <c r="AN430" t="s">
        <v>25</v>
      </c>
      <c r="AO430" t="s">
        <v>26</v>
      </c>
      <c r="AP430">
        <v>2008</v>
      </c>
      <c r="AQ430" t="s">
        <v>28</v>
      </c>
      <c r="AR430" t="s">
        <v>306</v>
      </c>
      <c r="AS430" t="s">
        <v>352</v>
      </c>
      <c r="AT430" t="s">
        <v>239</v>
      </c>
      <c r="AU430" t="s">
        <v>268</v>
      </c>
      <c r="AV430">
        <v>11.2</v>
      </c>
    </row>
    <row r="431" spans="40:48" x14ac:dyDescent="0.25">
      <c r="AN431" t="s">
        <v>25</v>
      </c>
      <c r="AO431" t="s">
        <v>26</v>
      </c>
      <c r="AP431">
        <v>2008</v>
      </c>
      <c r="AQ431" t="s">
        <v>28</v>
      </c>
      <c r="AR431" t="s">
        <v>306</v>
      </c>
      <c r="AS431" t="s">
        <v>352</v>
      </c>
      <c r="AT431" t="s">
        <v>240</v>
      </c>
      <c r="AU431" t="s">
        <v>310</v>
      </c>
      <c r="AV431">
        <v>2.2000000000000002</v>
      </c>
    </row>
    <row r="432" spans="40:48" x14ac:dyDescent="0.25">
      <c r="AN432" t="s">
        <v>25</v>
      </c>
      <c r="AO432" t="s">
        <v>26</v>
      </c>
      <c r="AP432">
        <v>2008</v>
      </c>
      <c r="AQ432" t="s">
        <v>28</v>
      </c>
      <c r="AR432" t="s">
        <v>306</v>
      </c>
      <c r="AS432" t="s">
        <v>352</v>
      </c>
      <c r="AT432" t="s">
        <v>240</v>
      </c>
      <c r="AU432" t="s">
        <v>311</v>
      </c>
      <c r="AV432">
        <v>8.3000000000000007</v>
      </c>
    </row>
    <row r="433" spans="40:48" x14ac:dyDescent="0.25">
      <c r="AN433" t="s">
        <v>25</v>
      </c>
      <c r="AO433" t="s">
        <v>26</v>
      </c>
      <c r="AP433">
        <v>2008</v>
      </c>
      <c r="AQ433" t="s">
        <v>28</v>
      </c>
      <c r="AR433" t="s">
        <v>306</v>
      </c>
      <c r="AS433" t="s">
        <v>352</v>
      </c>
      <c r="AT433" t="s">
        <v>240</v>
      </c>
      <c r="AU433" t="s">
        <v>268</v>
      </c>
      <c r="AV433">
        <v>10.5</v>
      </c>
    </row>
    <row r="434" spans="40:48" x14ac:dyDescent="0.25">
      <c r="AN434" t="s">
        <v>25</v>
      </c>
      <c r="AO434" t="s">
        <v>26</v>
      </c>
      <c r="AP434">
        <v>2008</v>
      </c>
      <c r="AQ434" t="s">
        <v>28</v>
      </c>
      <c r="AR434" t="s">
        <v>306</v>
      </c>
      <c r="AS434" t="s">
        <v>352</v>
      </c>
      <c r="AT434" t="s">
        <v>316</v>
      </c>
      <c r="AU434" t="s">
        <v>310</v>
      </c>
      <c r="AV434">
        <v>4.2</v>
      </c>
    </row>
    <row r="435" spans="40:48" x14ac:dyDescent="0.25">
      <c r="AN435" t="s">
        <v>25</v>
      </c>
      <c r="AO435" t="s">
        <v>26</v>
      </c>
      <c r="AP435">
        <v>2008</v>
      </c>
      <c r="AQ435" t="s">
        <v>28</v>
      </c>
      <c r="AR435" t="s">
        <v>306</v>
      </c>
      <c r="AS435" t="s">
        <v>352</v>
      </c>
      <c r="AT435" t="s">
        <v>316</v>
      </c>
      <c r="AU435" t="s">
        <v>311</v>
      </c>
      <c r="AV435">
        <v>7.7</v>
      </c>
    </row>
    <row r="436" spans="40:48" x14ac:dyDescent="0.25">
      <c r="AN436" t="s">
        <v>25</v>
      </c>
      <c r="AO436" t="s">
        <v>26</v>
      </c>
      <c r="AP436">
        <v>2008</v>
      </c>
      <c r="AQ436" t="s">
        <v>28</v>
      </c>
      <c r="AR436" t="s">
        <v>306</v>
      </c>
      <c r="AS436" t="s">
        <v>352</v>
      </c>
      <c r="AT436" t="s">
        <v>316</v>
      </c>
      <c r="AU436" t="s">
        <v>268</v>
      </c>
      <c r="AV436">
        <v>11.9</v>
      </c>
    </row>
    <row r="437" spans="40:48" x14ac:dyDescent="0.25">
      <c r="AN437" t="s">
        <v>25</v>
      </c>
      <c r="AO437" t="s">
        <v>26</v>
      </c>
      <c r="AP437">
        <v>2008</v>
      </c>
      <c r="AQ437" t="s">
        <v>28</v>
      </c>
      <c r="AR437" t="s">
        <v>306</v>
      </c>
      <c r="AS437" t="s">
        <v>352</v>
      </c>
      <c r="AT437" t="s">
        <v>242</v>
      </c>
      <c r="AU437" t="s">
        <v>310</v>
      </c>
      <c r="AV437">
        <v>2.7</v>
      </c>
    </row>
    <row r="438" spans="40:48" x14ac:dyDescent="0.25">
      <c r="AN438" t="s">
        <v>25</v>
      </c>
      <c r="AO438" t="s">
        <v>26</v>
      </c>
      <c r="AP438">
        <v>2008</v>
      </c>
      <c r="AQ438" t="s">
        <v>28</v>
      </c>
      <c r="AR438" t="s">
        <v>306</v>
      </c>
      <c r="AS438" t="s">
        <v>352</v>
      </c>
      <c r="AT438" t="s">
        <v>242</v>
      </c>
      <c r="AU438" t="s">
        <v>311</v>
      </c>
      <c r="AV438">
        <v>9.3000000000000007</v>
      </c>
    </row>
    <row r="439" spans="40:48" x14ac:dyDescent="0.25">
      <c r="AN439" t="s">
        <v>25</v>
      </c>
      <c r="AO439" t="s">
        <v>26</v>
      </c>
      <c r="AP439">
        <v>2008</v>
      </c>
      <c r="AQ439" t="s">
        <v>28</v>
      </c>
      <c r="AR439" t="s">
        <v>306</v>
      </c>
      <c r="AS439" t="s">
        <v>352</v>
      </c>
      <c r="AT439" t="s">
        <v>242</v>
      </c>
      <c r="AU439" t="s">
        <v>268</v>
      </c>
      <c r="AV439">
        <v>12</v>
      </c>
    </row>
    <row r="440" spans="40:48" x14ac:dyDescent="0.25">
      <c r="AN440" t="s">
        <v>25</v>
      </c>
      <c r="AO440" t="s">
        <v>26</v>
      </c>
      <c r="AP440">
        <v>2008</v>
      </c>
      <c r="AQ440" t="s">
        <v>28</v>
      </c>
      <c r="AR440" t="s">
        <v>306</v>
      </c>
      <c r="AS440" t="s">
        <v>352</v>
      </c>
      <c r="AT440" t="s">
        <v>243</v>
      </c>
      <c r="AU440" t="s">
        <v>337</v>
      </c>
      <c r="AV440">
        <v>19.599999999999998</v>
      </c>
    </row>
    <row r="441" spans="40:48" x14ac:dyDescent="0.25">
      <c r="AN441" t="s">
        <v>25</v>
      </c>
      <c r="AO441" t="s">
        <v>26</v>
      </c>
      <c r="AP441">
        <v>2008</v>
      </c>
      <c r="AQ441" t="s">
        <v>28</v>
      </c>
      <c r="AR441" t="s">
        <v>306</v>
      </c>
      <c r="AS441" t="s">
        <v>352</v>
      </c>
      <c r="AT441" t="s">
        <v>243</v>
      </c>
      <c r="AU441" t="s">
        <v>338</v>
      </c>
      <c r="AV441">
        <v>50.400000000000006</v>
      </c>
    </row>
    <row r="442" spans="40:48" x14ac:dyDescent="0.25">
      <c r="AN442" t="s">
        <v>25</v>
      </c>
      <c r="AO442" t="s">
        <v>26</v>
      </c>
      <c r="AP442">
        <v>2008</v>
      </c>
      <c r="AQ442" t="s">
        <v>28</v>
      </c>
      <c r="AR442" t="s">
        <v>306</v>
      </c>
      <c r="AS442" t="s">
        <v>352</v>
      </c>
      <c r="AT442" t="s">
        <v>243</v>
      </c>
      <c r="AU442" t="s">
        <v>349</v>
      </c>
      <c r="AV442">
        <v>70</v>
      </c>
    </row>
    <row r="443" spans="40:48" x14ac:dyDescent="0.25">
      <c r="AN443" t="s">
        <v>32</v>
      </c>
      <c r="AO443" t="s">
        <v>26</v>
      </c>
      <c r="AP443">
        <v>2005</v>
      </c>
      <c r="AQ443" t="s">
        <v>31</v>
      </c>
      <c r="AR443" t="s">
        <v>306</v>
      </c>
      <c r="AS443" t="s">
        <v>352</v>
      </c>
      <c r="AT443" t="s">
        <v>218</v>
      </c>
      <c r="AU443" t="s">
        <v>310</v>
      </c>
      <c r="AV443">
        <v>4.0999999999999996</v>
      </c>
    </row>
    <row r="444" spans="40:48" x14ac:dyDescent="0.25">
      <c r="AN444" t="s">
        <v>32</v>
      </c>
      <c r="AO444" t="s">
        <v>26</v>
      </c>
      <c r="AP444">
        <v>2005</v>
      </c>
      <c r="AQ444" t="s">
        <v>31</v>
      </c>
      <c r="AR444" t="s">
        <v>306</v>
      </c>
      <c r="AS444" t="s">
        <v>352</v>
      </c>
      <c r="AT444" t="s">
        <v>218</v>
      </c>
      <c r="AU444" t="s">
        <v>311</v>
      </c>
      <c r="AV444">
        <v>7.8</v>
      </c>
    </row>
    <row r="445" spans="40:48" x14ac:dyDescent="0.25">
      <c r="AN445" t="s">
        <v>32</v>
      </c>
      <c r="AO445" t="s">
        <v>26</v>
      </c>
      <c r="AP445">
        <v>2005</v>
      </c>
      <c r="AQ445" t="s">
        <v>31</v>
      </c>
      <c r="AR445" t="s">
        <v>306</v>
      </c>
      <c r="AS445" t="s">
        <v>352</v>
      </c>
      <c r="AT445" t="s">
        <v>218</v>
      </c>
      <c r="AU445" t="s">
        <v>268</v>
      </c>
      <c r="AV445">
        <v>11.9</v>
      </c>
    </row>
    <row r="446" spans="40:48" x14ac:dyDescent="0.25">
      <c r="AN446" t="s">
        <v>32</v>
      </c>
      <c r="AO446" t="s">
        <v>26</v>
      </c>
      <c r="AP446">
        <v>2005</v>
      </c>
      <c r="AQ446" t="s">
        <v>31</v>
      </c>
      <c r="AR446" t="s">
        <v>306</v>
      </c>
      <c r="AS446" t="s">
        <v>352</v>
      </c>
      <c r="AT446" t="s">
        <v>238</v>
      </c>
      <c r="AU446" t="s">
        <v>310</v>
      </c>
      <c r="AV446">
        <v>3.6</v>
      </c>
    </row>
    <row r="447" spans="40:48" x14ac:dyDescent="0.25">
      <c r="AN447" t="s">
        <v>32</v>
      </c>
      <c r="AO447" t="s">
        <v>26</v>
      </c>
      <c r="AP447">
        <v>2005</v>
      </c>
      <c r="AQ447" t="s">
        <v>31</v>
      </c>
      <c r="AR447" t="s">
        <v>306</v>
      </c>
      <c r="AS447" t="s">
        <v>352</v>
      </c>
      <c r="AT447" t="s">
        <v>238</v>
      </c>
      <c r="AU447" t="s">
        <v>311</v>
      </c>
      <c r="AV447">
        <v>8.3000000000000007</v>
      </c>
    </row>
    <row r="448" spans="40:48" x14ac:dyDescent="0.25">
      <c r="AN448" t="s">
        <v>32</v>
      </c>
      <c r="AO448" t="s">
        <v>26</v>
      </c>
      <c r="AP448">
        <v>2005</v>
      </c>
      <c r="AQ448" t="s">
        <v>31</v>
      </c>
      <c r="AR448" t="s">
        <v>306</v>
      </c>
      <c r="AS448" t="s">
        <v>352</v>
      </c>
      <c r="AT448" t="s">
        <v>238</v>
      </c>
      <c r="AU448" t="s">
        <v>268</v>
      </c>
      <c r="AV448">
        <v>11.9</v>
      </c>
    </row>
    <row r="449" spans="40:48" x14ac:dyDescent="0.25">
      <c r="AN449" t="s">
        <v>32</v>
      </c>
      <c r="AO449" t="s">
        <v>26</v>
      </c>
      <c r="AP449">
        <v>2005</v>
      </c>
      <c r="AQ449" t="s">
        <v>31</v>
      </c>
      <c r="AR449" t="s">
        <v>306</v>
      </c>
      <c r="AS449" t="s">
        <v>352</v>
      </c>
      <c r="AT449" t="s">
        <v>239</v>
      </c>
      <c r="AU449" t="s">
        <v>310</v>
      </c>
      <c r="AV449">
        <v>3.3</v>
      </c>
    </row>
    <row r="450" spans="40:48" x14ac:dyDescent="0.25">
      <c r="AN450" t="s">
        <v>32</v>
      </c>
      <c r="AO450" t="s">
        <v>26</v>
      </c>
      <c r="AP450">
        <v>2005</v>
      </c>
      <c r="AQ450" t="s">
        <v>31</v>
      </c>
      <c r="AR450" t="s">
        <v>306</v>
      </c>
      <c r="AS450" t="s">
        <v>352</v>
      </c>
      <c r="AT450" t="s">
        <v>239</v>
      </c>
      <c r="AU450" t="s">
        <v>311</v>
      </c>
      <c r="AV450">
        <v>7.9</v>
      </c>
    </row>
    <row r="451" spans="40:48" x14ac:dyDescent="0.25">
      <c r="AN451" t="s">
        <v>32</v>
      </c>
      <c r="AO451" t="s">
        <v>26</v>
      </c>
      <c r="AP451">
        <v>2005</v>
      </c>
      <c r="AQ451" t="s">
        <v>31</v>
      </c>
      <c r="AR451" t="s">
        <v>306</v>
      </c>
      <c r="AS451" t="s">
        <v>352</v>
      </c>
      <c r="AT451" t="s">
        <v>239</v>
      </c>
      <c r="AU451" t="s">
        <v>268</v>
      </c>
      <c r="AV451">
        <v>11.2</v>
      </c>
    </row>
    <row r="452" spans="40:48" x14ac:dyDescent="0.25">
      <c r="AN452" t="s">
        <v>32</v>
      </c>
      <c r="AO452" t="s">
        <v>26</v>
      </c>
      <c r="AP452">
        <v>2005</v>
      </c>
      <c r="AQ452" t="s">
        <v>31</v>
      </c>
      <c r="AR452" t="s">
        <v>306</v>
      </c>
      <c r="AS452" t="s">
        <v>352</v>
      </c>
      <c r="AT452" t="s">
        <v>240</v>
      </c>
      <c r="AU452" t="s">
        <v>310</v>
      </c>
      <c r="AV452">
        <v>2.8</v>
      </c>
    </row>
    <row r="453" spans="40:48" x14ac:dyDescent="0.25">
      <c r="AN453" t="s">
        <v>32</v>
      </c>
      <c r="AO453" t="s">
        <v>26</v>
      </c>
      <c r="AP453">
        <v>2005</v>
      </c>
      <c r="AQ453" t="s">
        <v>31</v>
      </c>
      <c r="AR453" t="s">
        <v>306</v>
      </c>
      <c r="AS453" t="s">
        <v>352</v>
      </c>
      <c r="AT453" t="s">
        <v>240</v>
      </c>
      <c r="AU453" t="s">
        <v>311</v>
      </c>
      <c r="AV453">
        <v>8.8000000000000007</v>
      </c>
    </row>
    <row r="454" spans="40:48" x14ac:dyDescent="0.25">
      <c r="AN454" t="s">
        <v>32</v>
      </c>
      <c r="AO454" t="s">
        <v>26</v>
      </c>
      <c r="AP454">
        <v>2005</v>
      </c>
      <c r="AQ454" t="s">
        <v>31</v>
      </c>
      <c r="AR454" t="s">
        <v>306</v>
      </c>
      <c r="AS454" t="s">
        <v>352</v>
      </c>
      <c r="AT454" t="s">
        <v>240</v>
      </c>
      <c r="AU454" t="s">
        <v>268</v>
      </c>
      <c r="AV454">
        <v>11.6</v>
      </c>
    </row>
    <row r="455" spans="40:48" x14ac:dyDescent="0.25">
      <c r="AN455" t="s">
        <v>32</v>
      </c>
      <c r="AO455" t="s">
        <v>26</v>
      </c>
      <c r="AP455">
        <v>2005</v>
      </c>
      <c r="AQ455" t="s">
        <v>31</v>
      </c>
      <c r="AR455" t="s">
        <v>306</v>
      </c>
      <c r="AS455" t="s">
        <v>352</v>
      </c>
      <c r="AT455" t="s">
        <v>316</v>
      </c>
      <c r="AU455" t="s">
        <v>310</v>
      </c>
      <c r="AV455">
        <v>3.4</v>
      </c>
    </row>
    <row r="456" spans="40:48" x14ac:dyDescent="0.25">
      <c r="AN456" t="s">
        <v>32</v>
      </c>
      <c r="AO456" t="s">
        <v>26</v>
      </c>
      <c r="AP456">
        <v>2005</v>
      </c>
      <c r="AQ456" t="s">
        <v>31</v>
      </c>
      <c r="AR456" t="s">
        <v>306</v>
      </c>
      <c r="AS456" t="s">
        <v>352</v>
      </c>
      <c r="AT456" t="s">
        <v>316</v>
      </c>
      <c r="AU456" t="s">
        <v>311</v>
      </c>
      <c r="AV456">
        <v>7.3</v>
      </c>
    </row>
    <row r="457" spans="40:48" x14ac:dyDescent="0.25">
      <c r="AN457" t="s">
        <v>32</v>
      </c>
      <c r="AO457" t="s">
        <v>26</v>
      </c>
      <c r="AP457">
        <v>2005</v>
      </c>
      <c r="AQ457" t="s">
        <v>31</v>
      </c>
      <c r="AR457" t="s">
        <v>306</v>
      </c>
      <c r="AS457" t="s">
        <v>352</v>
      </c>
      <c r="AT457" t="s">
        <v>316</v>
      </c>
      <c r="AU457" t="s">
        <v>268</v>
      </c>
      <c r="AV457">
        <v>10.7</v>
      </c>
    </row>
    <row r="458" spans="40:48" x14ac:dyDescent="0.25">
      <c r="AN458" t="s">
        <v>32</v>
      </c>
      <c r="AO458" t="s">
        <v>26</v>
      </c>
      <c r="AP458">
        <v>2005</v>
      </c>
      <c r="AQ458" t="s">
        <v>31</v>
      </c>
      <c r="AR458" t="s">
        <v>306</v>
      </c>
      <c r="AS458" t="s">
        <v>352</v>
      </c>
      <c r="AT458" t="s">
        <v>242</v>
      </c>
      <c r="AU458" t="s">
        <v>310</v>
      </c>
      <c r="AV458">
        <v>2.9</v>
      </c>
    </row>
    <row r="459" spans="40:48" x14ac:dyDescent="0.25">
      <c r="AN459" t="s">
        <v>32</v>
      </c>
      <c r="AO459" t="s">
        <v>26</v>
      </c>
      <c r="AP459">
        <v>2005</v>
      </c>
      <c r="AQ459" t="s">
        <v>31</v>
      </c>
      <c r="AR459" t="s">
        <v>306</v>
      </c>
      <c r="AS459" t="s">
        <v>352</v>
      </c>
      <c r="AT459" t="s">
        <v>242</v>
      </c>
      <c r="AU459" t="s">
        <v>311</v>
      </c>
      <c r="AV459">
        <v>6.2</v>
      </c>
    </row>
    <row r="460" spans="40:48" x14ac:dyDescent="0.25">
      <c r="AN460" t="s">
        <v>32</v>
      </c>
      <c r="AO460" t="s">
        <v>26</v>
      </c>
      <c r="AP460">
        <v>2005</v>
      </c>
      <c r="AQ460" t="s">
        <v>31</v>
      </c>
      <c r="AR460" t="s">
        <v>306</v>
      </c>
      <c r="AS460" t="s">
        <v>352</v>
      </c>
      <c r="AT460" t="s">
        <v>242</v>
      </c>
      <c r="AU460" t="s">
        <v>268</v>
      </c>
      <c r="AV460">
        <v>9.1</v>
      </c>
    </row>
    <row r="461" spans="40:48" x14ac:dyDescent="0.25">
      <c r="AN461" t="s">
        <v>32</v>
      </c>
      <c r="AO461" t="s">
        <v>26</v>
      </c>
      <c r="AP461">
        <v>2005</v>
      </c>
      <c r="AQ461" t="s">
        <v>31</v>
      </c>
      <c r="AR461" t="s">
        <v>306</v>
      </c>
      <c r="AS461" t="s">
        <v>352</v>
      </c>
      <c r="AT461" t="s">
        <v>243</v>
      </c>
      <c r="AU461" t="s">
        <v>337</v>
      </c>
      <c r="AV461">
        <v>20.099999999999998</v>
      </c>
    </row>
    <row r="462" spans="40:48" x14ac:dyDescent="0.25">
      <c r="AN462" t="s">
        <v>32</v>
      </c>
      <c r="AO462" t="s">
        <v>26</v>
      </c>
      <c r="AP462">
        <v>2005</v>
      </c>
      <c r="AQ462" t="s">
        <v>31</v>
      </c>
      <c r="AR462" t="s">
        <v>306</v>
      </c>
      <c r="AS462" t="s">
        <v>352</v>
      </c>
      <c r="AT462" t="s">
        <v>243</v>
      </c>
      <c r="AU462" t="s">
        <v>338</v>
      </c>
      <c r="AV462">
        <v>46.3</v>
      </c>
    </row>
    <row r="463" spans="40:48" x14ac:dyDescent="0.25">
      <c r="AN463" t="s">
        <v>32</v>
      </c>
      <c r="AO463" t="s">
        <v>26</v>
      </c>
      <c r="AP463">
        <v>2005</v>
      </c>
      <c r="AQ463" t="s">
        <v>31</v>
      </c>
      <c r="AR463" t="s">
        <v>306</v>
      </c>
      <c r="AS463" t="s">
        <v>352</v>
      </c>
      <c r="AT463" t="s">
        <v>243</v>
      </c>
      <c r="AU463" t="s">
        <v>349</v>
      </c>
      <c r="AV463">
        <v>66.400000000000006</v>
      </c>
    </row>
    <row r="464" spans="40:48" x14ac:dyDescent="0.25">
      <c r="AN464" t="s">
        <v>29</v>
      </c>
      <c r="AO464" t="s">
        <v>26</v>
      </c>
      <c r="AP464">
        <v>2005</v>
      </c>
      <c r="AQ464" t="s">
        <v>31</v>
      </c>
      <c r="AR464" t="s">
        <v>306</v>
      </c>
      <c r="AS464" t="s">
        <v>352</v>
      </c>
      <c r="AT464" t="s">
        <v>218</v>
      </c>
      <c r="AU464" t="s">
        <v>310</v>
      </c>
      <c r="AV464">
        <v>4.4000000000000004</v>
      </c>
    </row>
    <row r="465" spans="40:48" x14ac:dyDescent="0.25">
      <c r="AN465" t="s">
        <v>29</v>
      </c>
      <c r="AO465" t="s">
        <v>26</v>
      </c>
      <c r="AP465">
        <v>2005</v>
      </c>
      <c r="AQ465" t="s">
        <v>31</v>
      </c>
      <c r="AR465" t="s">
        <v>306</v>
      </c>
      <c r="AS465" t="s">
        <v>352</v>
      </c>
      <c r="AT465" t="s">
        <v>218</v>
      </c>
      <c r="AU465" t="s">
        <v>311</v>
      </c>
      <c r="AV465">
        <v>7.5</v>
      </c>
    </row>
    <row r="466" spans="40:48" x14ac:dyDescent="0.25">
      <c r="AN466" t="s">
        <v>29</v>
      </c>
      <c r="AO466" t="s">
        <v>26</v>
      </c>
      <c r="AP466">
        <v>2005</v>
      </c>
      <c r="AQ466" t="s">
        <v>31</v>
      </c>
      <c r="AR466" t="s">
        <v>306</v>
      </c>
      <c r="AS466" t="s">
        <v>352</v>
      </c>
      <c r="AT466" t="s">
        <v>218</v>
      </c>
      <c r="AU466" t="s">
        <v>268</v>
      </c>
      <c r="AV466">
        <v>11.9</v>
      </c>
    </row>
    <row r="467" spans="40:48" x14ac:dyDescent="0.25">
      <c r="AN467" t="s">
        <v>29</v>
      </c>
      <c r="AO467" t="s">
        <v>26</v>
      </c>
      <c r="AP467">
        <v>2005</v>
      </c>
      <c r="AQ467" t="s">
        <v>31</v>
      </c>
      <c r="AR467" t="s">
        <v>306</v>
      </c>
      <c r="AS467" t="s">
        <v>352</v>
      </c>
      <c r="AT467" t="s">
        <v>238</v>
      </c>
      <c r="AU467" t="s">
        <v>310</v>
      </c>
      <c r="AV467">
        <v>3.6</v>
      </c>
    </row>
    <row r="468" spans="40:48" x14ac:dyDescent="0.25">
      <c r="AN468" t="s">
        <v>29</v>
      </c>
      <c r="AO468" t="s">
        <v>26</v>
      </c>
      <c r="AP468">
        <v>2005</v>
      </c>
      <c r="AQ468" t="s">
        <v>31</v>
      </c>
      <c r="AR468" t="s">
        <v>306</v>
      </c>
      <c r="AS468" t="s">
        <v>352</v>
      </c>
      <c r="AT468" t="s">
        <v>238</v>
      </c>
      <c r="AU468" t="s">
        <v>311</v>
      </c>
      <c r="AV468">
        <v>6.3</v>
      </c>
    </row>
    <row r="469" spans="40:48" x14ac:dyDescent="0.25">
      <c r="AN469" t="s">
        <v>29</v>
      </c>
      <c r="AO469" t="s">
        <v>26</v>
      </c>
      <c r="AP469">
        <v>2005</v>
      </c>
      <c r="AQ469" t="s">
        <v>31</v>
      </c>
      <c r="AR469" t="s">
        <v>306</v>
      </c>
      <c r="AS469" t="s">
        <v>352</v>
      </c>
      <c r="AT469" t="s">
        <v>238</v>
      </c>
      <c r="AU469" t="s">
        <v>268</v>
      </c>
      <c r="AV469">
        <v>9.9</v>
      </c>
    </row>
    <row r="470" spans="40:48" x14ac:dyDescent="0.25">
      <c r="AN470" t="s">
        <v>29</v>
      </c>
      <c r="AO470" t="s">
        <v>26</v>
      </c>
      <c r="AP470">
        <v>2005</v>
      </c>
      <c r="AQ470" t="s">
        <v>31</v>
      </c>
      <c r="AR470" t="s">
        <v>306</v>
      </c>
      <c r="AS470" t="s">
        <v>352</v>
      </c>
      <c r="AT470" t="s">
        <v>239</v>
      </c>
      <c r="AU470" t="s">
        <v>310</v>
      </c>
      <c r="AV470">
        <v>2.2999999999999998</v>
      </c>
    </row>
    <row r="471" spans="40:48" x14ac:dyDescent="0.25">
      <c r="AN471" t="s">
        <v>29</v>
      </c>
      <c r="AO471" t="s">
        <v>26</v>
      </c>
      <c r="AP471">
        <v>2005</v>
      </c>
      <c r="AQ471" t="s">
        <v>31</v>
      </c>
      <c r="AR471" t="s">
        <v>306</v>
      </c>
      <c r="AS471" t="s">
        <v>352</v>
      </c>
      <c r="AT471" t="s">
        <v>239</v>
      </c>
      <c r="AU471" t="s">
        <v>311</v>
      </c>
      <c r="AV471">
        <v>8.6</v>
      </c>
    </row>
    <row r="472" spans="40:48" x14ac:dyDescent="0.25">
      <c r="AN472" t="s">
        <v>29</v>
      </c>
      <c r="AO472" t="s">
        <v>26</v>
      </c>
      <c r="AP472">
        <v>2005</v>
      </c>
      <c r="AQ472" t="s">
        <v>31</v>
      </c>
      <c r="AR472" t="s">
        <v>306</v>
      </c>
      <c r="AS472" t="s">
        <v>352</v>
      </c>
      <c r="AT472" t="s">
        <v>239</v>
      </c>
      <c r="AU472" t="s">
        <v>268</v>
      </c>
      <c r="AV472">
        <v>10.9</v>
      </c>
    </row>
    <row r="473" spans="40:48" x14ac:dyDescent="0.25">
      <c r="AN473" t="s">
        <v>29</v>
      </c>
      <c r="AO473" t="s">
        <v>26</v>
      </c>
      <c r="AP473">
        <v>2005</v>
      </c>
      <c r="AQ473" t="s">
        <v>31</v>
      </c>
      <c r="AR473" t="s">
        <v>306</v>
      </c>
      <c r="AS473" t="s">
        <v>352</v>
      </c>
      <c r="AT473" t="s">
        <v>240</v>
      </c>
      <c r="AU473" t="s">
        <v>310</v>
      </c>
      <c r="AV473">
        <v>4</v>
      </c>
    </row>
    <row r="474" spans="40:48" x14ac:dyDescent="0.25">
      <c r="AN474" t="s">
        <v>29</v>
      </c>
      <c r="AO474" t="s">
        <v>26</v>
      </c>
      <c r="AP474">
        <v>2005</v>
      </c>
      <c r="AQ474" t="s">
        <v>31</v>
      </c>
      <c r="AR474" t="s">
        <v>306</v>
      </c>
      <c r="AS474" t="s">
        <v>352</v>
      </c>
      <c r="AT474" t="s">
        <v>240</v>
      </c>
      <c r="AU474" t="s">
        <v>311</v>
      </c>
      <c r="AV474">
        <v>8.6</v>
      </c>
    </row>
    <row r="475" spans="40:48" x14ac:dyDescent="0.25">
      <c r="AN475" t="s">
        <v>29</v>
      </c>
      <c r="AO475" t="s">
        <v>26</v>
      </c>
      <c r="AP475">
        <v>2005</v>
      </c>
      <c r="AQ475" t="s">
        <v>31</v>
      </c>
      <c r="AR475" t="s">
        <v>306</v>
      </c>
      <c r="AS475" t="s">
        <v>352</v>
      </c>
      <c r="AT475" t="s">
        <v>240</v>
      </c>
      <c r="AU475" t="s">
        <v>268</v>
      </c>
      <c r="AV475">
        <v>12.6</v>
      </c>
    </row>
    <row r="476" spans="40:48" x14ac:dyDescent="0.25">
      <c r="AN476" t="s">
        <v>29</v>
      </c>
      <c r="AO476" t="s">
        <v>26</v>
      </c>
      <c r="AP476">
        <v>2005</v>
      </c>
      <c r="AQ476" t="s">
        <v>31</v>
      </c>
      <c r="AR476" t="s">
        <v>306</v>
      </c>
      <c r="AS476" t="s">
        <v>352</v>
      </c>
      <c r="AT476" t="s">
        <v>316</v>
      </c>
      <c r="AU476" t="s">
        <v>310</v>
      </c>
      <c r="AV476">
        <v>3.4</v>
      </c>
    </row>
    <row r="477" spans="40:48" x14ac:dyDescent="0.25">
      <c r="AN477" t="s">
        <v>29</v>
      </c>
      <c r="AO477" t="s">
        <v>26</v>
      </c>
      <c r="AP477">
        <v>2005</v>
      </c>
      <c r="AQ477" t="s">
        <v>31</v>
      </c>
      <c r="AR477" t="s">
        <v>306</v>
      </c>
      <c r="AS477" t="s">
        <v>352</v>
      </c>
      <c r="AT477" t="s">
        <v>316</v>
      </c>
      <c r="AU477" t="s">
        <v>311</v>
      </c>
      <c r="AV477">
        <v>8.1999999999999993</v>
      </c>
    </row>
    <row r="478" spans="40:48" x14ac:dyDescent="0.25">
      <c r="AN478" t="s">
        <v>29</v>
      </c>
      <c r="AO478" t="s">
        <v>26</v>
      </c>
      <c r="AP478">
        <v>2005</v>
      </c>
      <c r="AQ478" t="s">
        <v>31</v>
      </c>
      <c r="AR478" t="s">
        <v>306</v>
      </c>
      <c r="AS478" t="s">
        <v>352</v>
      </c>
      <c r="AT478" t="s">
        <v>316</v>
      </c>
      <c r="AU478" t="s">
        <v>268</v>
      </c>
      <c r="AV478">
        <v>11.6</v>
      </c>
    </row>
    <row r="479" spans="40:48" x14ac:dyDescent="0.25">
      <c r="AN479" t="s">
        <v>29</v>
      </c>
      <c r="AO479" t="s">
        <v>26</v>
      </c>
      <c r="AP479">
        <v>2005</v>
      </c>
      <c r="AQ479" t="s">
        <v>31</v>
      </c>
      <c r="AR479" t="s">
        <v>306</v>
      </c>
      <c r="AS479" t="s">
        <v>352</v>
      </c>
      <c r="AT479" t="s">
        <v>242</v>
      </c>
      <c r="AU479" t="s">
        <v>310</v>
      </c>
      <c r="AV479">
        <v>2.7</v>
      </c>
    </row>
    <row r="480" spans="40:48" x14ac:dyDescent="0.25">
      <c r="AN480" t="s">
        <v>29</v>
      </c>
      <c r="AO480" t="s">
        <v>26</v>
      </c>
      <c r="AP480">
        <v>2005</v>
      </c>
      <c r="AQ480" t="s">
        <v>31</v>
      </c>
      <c r="AR480" t="s">
        <v>306</v>
      </c>
      <c r="AS480" t="s">
        <v>352</v>
      </c>
      <c r="AT480" t="s">
        <v>242</v>
      </c>
      <c r="AU480" t="s">
        <v>311</v>
      </c>
      <c r="AV480">
        <v>6.7</v>
      </c>
    </row>
    <row r="481" spans="40:48" x14ac:dyDescent="0.25">
      <c r="AN481" t="s">
        <v>29</v>
      </c>
      <c r="AO481" t="s">
        <v>26</v>
      </c>
      <c r="AP481">
        <v>2005</v>
      </c>
      <c r="AQ481" t="s">
        <v>31</v>
      </c>
      <c r="AR481" t="s">
        <v>306</v>
      </c>
      <c r="AS481" t="s">
        <v>352</v>
      </c>
      <c r="AT481" t="s">
        <v>242</v>
      </c>
      <c r="AU481" t="s">
        <v>268</v>
      </c>
      <c r="AV481">
        <v>9.4</v>
      </c>
    </row>
    <row r="482" spans="40:48" x14ac:dyDescent="0.25">
      <c r="AN482" t="s">
        <v>29</v>
      </c>
      <c r="AO482" t="s">
        <v>26</v>
      </c>
      <c r="AP482">
        <v>2005</v>
      </c>
      <c r="AQ482" t="s">
        <v>31</v>
      </c>
      <c r="AR482" t="s">
        <v>306</v>
      </c>
      <c r="AS482" t="s">
        <v>352</v>
      </c>
      <c r="AT482" t="s">
        <v>243</v>
      </c>
      <c r="AU482" t="s">
        <v>337</v>
      </c>
      <c r="AV482">
        <v>20.399999999999999</v>
      </c>
    </row>
    <row r="483" spans="40:48" x14ac:dyDescent="0.25">
      <c r="AN483" t="s">
        <v>29</v>
      </c>
      <c r="AO483" t="s">
        <v>26</v>
      </c>
      <c r="AP483">
        <v>2005</v>
      </c>
      <c r="AQ483" t="s">
        <v>31</v>
      </c>
      <c r="AR483" t="s">
        <v>306</v>
      </c>
      <c r="AS483" t="s">
        <v>352</v>
      </c>
      <c r="AT483" t="s">
        <v>243</v>
      </c>
      <c r="AU483" t="s">
        <v>338</v>
      </c>
      <c r="AV483">
        <v>45.900000000000006</v>
      </c>
    </row>
    <row r="484" spans="40:48" x14ac:dyDescent="0.25">
      <c r="AN484" t="s">
        <v>29</v>
      </c>
      <c r="AO484" t="s">
        <v>26</v>
      </c>
      <c r="AP484">
        <v>2005</v>
      </c>
      <c r="AQ484" t="s">
        <v>31</v>
      </c>
      <c r="AR484" t="s">
        <v>306</v>
      </c>
      <c r="AS484" t="s">
        <v>352</v>
      </c>
      <c r="AT484" t="s">
        <v>243</v>
      </c>
      <c r="AU484" t="s">
        <v>349</v>
      </c>
      <c r="AV484">
        <v>66.3</v>
      </c>
    </row>
    <row r="485" spans="40:48" x14ac:dyDescent="0.25">
      <c r="AN485" t="s">
        <v>34</v>
      </c>
      <c r="AO485" t="s">
        <v>26</v>
      </c>
      <c r="AP485">
        <v>2006</v>
      </c>
      <c r="AQ485" t="s">
        <v>36</v>
      </c>
      <c r="AR485" t="s">
        <v>306</v>
      </c>
      <c r="AS485" t="s">
        <v>352</v>
      </c>
      <c r="AT485" t="s">
        <v>218</v>
      </c>
      <c r="AU485" t="s">
        <v>310</v>
      </c>
      <c r="AV485">
        <v>3.6</v>
      </c>
    </row>
    <row r="486" spans="40:48" x14ac:dyDescent="0.25">
      <c r="AN486" t="s">
        <v>34</v>
      </c>
      <c r="AO486" t="s">
        <v>26</v>
      </c>
      <c r="AP486">
        <v>2006</v>
      </c>
      <c r="AQ486" t="s">
        <v>36</v>
      </c>
      <c r="AR486" t="s">
        <v>306</v>
      </c>
      <c r="AS486" t="s">
        <v>352</v>
      </c>
      <c r="AT486" t="s">
        <v>218</v>
      </c>
      <c r="AU486" t="s">
        <v>311</v>
      </c>
      <c r="AV486">
        <v>7.4</v>
      </c>
    </row>
    <row r="487" spans="40:48" x14ac:dyDescent="0.25">
      <c r="AN487" t="s">
        <v>34</v>
      </c>
      <c r="AO487" t="s">
        <v>26</v>
      </c>
      <c r="AP487">
        <v>2006</v>
      </c>
      <c r="AQ487" t="s">
        <v>36</v>
      </c>
      <c r="AR487" t="s">
        <v>306</v>
      </c>
      <c r="AS487" t="s">
        <v>352</v>
      </c>
      <c r="AT487" t="s">
        <v>218</v>
      </c>
      <c r="AU487" t="s">
        <v>268</v>
      </c>
      <c r="AV487">
        <v>11</v>
      </c>
    </row>
    <row r="488" spans="40:48" x14ac:dyDescent="0.25">
      <c r="AN488" t="s">
        <v>34</v>
      </c>
      <c r="AO488" t="s">
        <v>26</v>
      </c>
      <c r="AP488">
        <v>2006</v>
      </c>
      <c r="AQ488" t="s">
        <v>36</v>
      </c>
      <c r="AR488" t="s">
        <v>306</v>
      </c>
      <c r="AS488" t="s">
        <v>352</v>
      </c>
      <c r="AT488" t="s">
        <v>238</v>
      </c>
      <c r="AU488" t="s">
        <v>310</v>
      </c>
      <c r="AV488">
        <v>3.6</v>
      </c>
    </row>
    <row r="489" spans="40:48" x14ac:dyDescent="0.25">
      <c r="AN489" t="s">
        <v>34</v>
      </c>
      <c r="AO489" t="s">
        <v>26</v>
      </c>
      <c r="AP489">
        <v>2006</v>
      </c>
      <c r="AQ489" t="s">
        <v>36</v>
      </c>
      <c r="AR489" t="s">
        <v>306</v>
      </c>
      <c r="AS489" t="s">
        <v>352</v>
      </c>
      <c r="AT489" t="s">
        <v>238</v>
      </c>
      <c r="AU489" t="s">
        <v>311</v>
      </c>
      <c r="AV489">
        <v>8.3000000000000007</v>
      </c>
    </row>
    <row r="490" spans="40:48" x14ac:dyDescent="0.25">
      <c r="AN490" t="s">
        <v>34</v>
      </c>
      <c r="AO490" t="s">
        <v>26</v>
      </c>
      <c r="AP490">
        <v>2006</v>
      </c>
      <c r="AQ490" t="s">
        <v>36</v>
      </c>
      <c r="AR490" t="s">
        <v>306</v>
      </c>
      <c r="AS490" t="s">
        <v>352</v>
      </c>
      <c r="AT490" t="s">
        <v>238</v>
      </c>
      <c r="AU490" t="s">
        <v>268</v>
      </c>
      <c r="AV490">
        <v>11.9</v>
      </c>
    </row>
    <row r="491" spans="40:48" x14ac:dyDescent="0.25">
      <c r="AN491" t="s">
        <v>34</v>
      </c>
      <c r="AO491" t="s">
        <v>26</v>
      </c>
      <c r="AP491">
        <v>2006</v>
      </c>
      <c r="AQ491" t="s">
        <v>36</v>
      </c>
      <c r="AR491" t="s">
        <v>306</v>
      </c>
      <c r="AS491" t="s">
        <v>352</v>
      </c>
      <c r="AT491" t="s">
        <v>239</v>
      </c>
      <c r="AU491" t="s">
        <v>310</v>
      </c>
      <c r="AV491">
        <v>3.4</v>
      </c>
    </row>
    <row r="492" spans="40:48" x14ac:dyDescent="0.25">
      <c r="AN492" t="s">
        <v>34</v>
      </c>
      <c r="AO492" t="s">
        <v>26</v>
      </c>
      <c r="AP492">
        <v>2006</v>
      </c>
      <c r="AQ492" t="s">
        <v>36</v>
      </c>
      <c r="AR492" t="s">
        <v>306</v>
      </c>
      <c r="AS492" t="s">
        <v>352</v>
      </c>
      <c r="AT492" t="s">
        <v>239</v>
      </c>
      <c r="AU492" t="s">
        <v>311</v>
      </c>
      <c r="AV492">
        <v>7.7</v>
      </c>
    </row>
    <row r="493" spans="40:48" x14ac:dyDescent="0.25">
      <c r="AN493" t="s">
        <v>34</v>
      </c>
      <c r="AO493" t="s">
        <v>26</v>
      </c>
      <c r="AP493">
        <v>2006</v>
      </c>
      <c r="AQ493" t="s">
        <v>36</v>
      </c>
      <c r="AR493" t="s">
        <v>306</v>
      </c>
      <c r="AS493" t="s">
        <v>352</v>
      </c>
      <c r="AT493" t="s">
        <v>239</v>
      </c>
      <c r="AU493" t="s">
        <v>268</v>
      </c>
      <c r="AV493">
        <v>11.1</v>
      </c>
    </row>
    <row r="494" spans="40:48" x14ac:dyDescent="0.25">
      <c r="AN494" t="s">
        <v>34</v>
      </c>
      <c r="AO494" t="s">
        <v>26</v>
      </c>
      <c r="AP494">
        <v>2006</v>
      </c>
      <c r="AQ494" t="s">
        <v>36</v>
      </c>
      <c r="AR494" t="s">
        <v>306</v>
      </c>
      <c r="AS494" t="s">
        <v>352</v>
      </c>
      <c r="AT494" t="s">
        <v>240</v>
      </c>
      <c r="AU494" t="s">
        <v>310</v>
      </c>
      <c r="AV494">
        <v>2.4</v>
      </c>
    </row>
    <row r="495" spans="40:48" x14ac:dyDescent="0.25">
      <c r="AN495" t="s">
        <v>34</v>
      </c>
      <c r="AO495" t="s">
        <v>26</v>
      </c>
      <c r="AP495">
        <v>2006</v>
      </c>
      <c r="AQ495" t="s">
        <v>36</v>
      </c>
      <c r="AR495" t="s">
        <v>306</v>
      </c>
      <c r="AS495" t="s">
        <v>352</v>
      </c>
      <c r="AT495" t="s">
        <v>240</v>
      </c>
      <c r="AU495" t="s">
        <v>311</v>
      </c>
      <c r="AV495">
        <v>7.2</v>
      </c>
    </row>
    <row r="496" spans="40:48" x14ac:dyDescent="0.25">
      <c r="AN496" t="s">
        <v>34</v>
      </c>
      <c r="AO496" t="s">
        <v>26</v>
      </c>
      <c r="AP496">
        <v>2006</v>
      </c>
      <c r="AQ496" t="s">
        <v>36</v>
      </c>
      <c r="AR496" t="s">
        <v>306</v>
      </c>
      <c r="AS496" t="s">
        <v>352</v>
      </c>
      <c r="AT496" t="s">
        <v>240</v>
      </c>
      <c r="AU496" t="s">
        <v>268</v>
      </c>
      <c r="AV496">
        <v>9.6</v>
      </c>
    </row>
    <row r="497" spans="40:48" x14ac:dyDescent="0.25">
      <c r="AN497" t="s">
        <v>34</v>
      </c>
      <c r="AO497" t="s">
        <v>26</v>
      </c>
      <c r="AP497">
        <v>2006</v>
      </c>
      <c r="AQ497" t="s">
        <v>36</v>
      </c>
      <c r="AR497" t="s">
        <v>306</v>
      </c>
      <c r="AS497" t="s">
        <v>352</v>
      </c>
      <c r="AT497" t="s">
        <v>316</v>
      </c>
      <c r="AU497" t="s">
        <v>310</v>
      </c>
      <c r="AV497">
        <v>3.4</v>
      </c>
    </row>
    <row r="498" spans="40:48" x14ac:dyDescent="0.25">
      <c r="AN498" t="s">
        <v>34</v>
      </c>
      <c r="AO498" t="s">
        <v>26</v>
      </c>
      <c r="AP498">
        <v>2006</v>
      </c>
      <c r="AQ498" t="s">
        <v>36</v>
      </c>
      <c r="AR498" t="s">
        <v>306</v>
      </c>
      <c r="AS498" t="s">
        <v>352</v>
      </c>
      <c r="AT498" t="s">
        <v>316</v>
      </c>
      <c r="AU498" t="s">
        <v>311</v>
      </c>
      <c r="AV498">
        <v>7.3</v>
      </c>
    </row>
    <row r="499" spans="40:48" x14ac:dyDescent="0.25">
      <c r="AN499" t="s">
        <v>34</v>
      </c>
      <c r="AO499" t="s">
        <v>26</v>
      </c>
      <c r="AP499">
        <v>2006</v>
      </c>
      <c r="AQ499" t="s">
        <v>36</v>
      </c>
      <c r="AR499" t="s">
        <v>306</v>
      </c>
      <c r="AS499" t="s">
        <v>352</v>
      </c>
      <c r="AT499" t="s">
        <v>316</v>
      </c>
      <c r="AU499" t="s">
        <v>268</v>
      </c>
      <c r="AV499">
        <v>10.7</v>
      </c>
    </row>
    <row r="500" spans="40:48" x14ac:dyDescent="0.25">
      <c r="AN500" t="s">
        <v>34</v>
      </c>
      <c r="AO500" t="s">
        <v>26</v>
      </c>
      <c r="AP500">
        <v>2006</v>
      </c>
      <c r="AQ500" t="s">
        <v>36</v>
      </c>
      <c r="AR500" t="s">
        <v>306</v>
      </c>
      <c r="AS500" t="s">
        <v>352</v>
      </c>
      <c r="AT500" t="s">
        <v>242</v>
      </c>
      <c r="AU500" t="s">
        <v>310</v>
      </c>
      <c r="AV500">
        <v>2.7</v>
      </c>
    </row>
    <row r="501" spans="40:48" x14ac:dyDescent="0.25">
      <c r="AN501" t="s">
        <v>34</v>
      </c>
      <c r="AO501" t="s">
        <v>26</v>
      </c>
      <c r="AP501">
        <v>2006</v>
      </c>
      <c r="AQ501" t="s">
        <v>36</v>
      </c>
      <c r="AR501" t="s">
        <v>306</v>
      </c>
      <c r="AS501" t="s">
        <v>352</v>
      </c>
      <c r="AT501" t="s">
        <v>242</v>
      </c>
      <c r="AU501" t="s">
        <v>311</v>
      </c>
      <c r="AV501">
        <v>7.5</v>
      </c>
    </row>
    <row r="502" spans="40:48" x14ac:dyDescent="0.25">
      <c r="AN502" t="s">
        <v>34</v>
      </c>
      <c r="AO502" t="s">
        <v>26</v>
      </c>
      <c r="AP502">
        <v>2006</v>
      </c>
      <c r="AQ502" t="s">
        <v>36</v>
      </c>
      <c r="AR502" t="s">
        <v>306</v>
      </c>
      <c r="AS502" t="s">
        <v>352</v>
      </c>
      <c r="AT502" t="s">
        <v>242</v>
      </c>
      <c r="AU502" t="s">
        <v>268</v>
      </c>
      <c r="AV502">
        <v>10.199999999999999</v>
      </c>
    </row>
    <row r="503" spans="40:48" x14ac:dyDescent="0.25">
      <c r="AN503" t="s">
        <v>34</v>
      </c>
      <c r="AO503" t="s">
        <v>26</v>
      </c>
      <c r="AP503">
        <v>2006</v>
      </c>
      <c r="AQ503" t="s">
        <v>36</v>
      </c>
      <c r="AR503" t="s">
        <v>306</v>
      </c>
      <c r="AS503" t="s">
        <v>352</v>
      </c>
      <c r="AT503" t="s">
        <v>243</v>
      </c>
      <c r="AU503" t="s">
        <v>337</v>
      </c>
      <c r="AV503">
        <v>19.099999999999998</v>
      </c>
    </row>
    <row r="504" spans="40:48" x14ac:dyDescent="0.25">
      <c r="AN504" t="s">
        <v>34</v>
      </c>
      <c r="AO504" t="s">
        <v>26</v>
      </c>
      <c r="AP504">
        <v>2006</v>
      </c>
      <c r="AQ504" t="s">
        <v>36</v>
      </c>
      <c r="AR504" t="s">
        <v>306</v>
      </c>
      <c r="AS504" t="s">
        <v>352</v>
      </c>
      <c r="AT504" t="s">
        <v>243</v>
      </c>
      <c r="AU504" t="s">
        <v>338</v>
      </c>
      <c r="AV504">
        <v>45.4</v>
      </c>
    </row>
    <row r="505" spans="40:48" x14ac:dyDescent="0.25">
      <c r="AN505" t="s">
        <v>34</v>
      </c>
      <c r="AO505" t="s">
        <v>26</v>
      </c>
      <c r="AP505">
        <v>2006</v>
      </c>
      <c r="AQ505" t="s">
        <v>36</v>
      </c>
      <c r="AR505" t="s">
        <v>306</v>
      </c>
      <c r="AS505" t="s">
        <v>352</v>
      </c>
      <c r="AT505" t="s">
        <v>243</v>
      </c>
      <c r="AU505" t="s">
        <v>349</v>
      </c>
      <c r="AV505">
        <v>64.5</v>
      </c>
    </row>
    <row r="506" spans="40:48" x14ac:dyDescent="0.25">
      <c r="AN506" t="s">
        <v>44</v>
      </c>
      <c r="AO506" t="s">
        <v>26</v>
      </c>
      <c r="AP506">
        <v>2007</v>
      </c>
      <c r="AQ506" t="s">
        <v>39</v>
      </c>
      <c r="AR506" t="s">
        <v>306</v>
      </c>
      <c r="AS506" t="s">
        <v>352</v>
      </c>
      <c r="AT506" t="s">
        <v>218</v>
      </c>
      <c r="AU506" t="s">
        <v>310</v>
      </c>
      <c r="AV506">
        <v>3.3</v>
      </c>
    </row>
    <row r="507" spans="40:48" x14ac:dyDescent="0.25">
      <c r="AN507" t="s">
        <v>44</v>
      </c>
      <c r="AO507" t="s">
        <v>26</v>
      </c>
      <c r="AP507">
        <v>2007</v>
      </c>
      <c r="AQ507" t="s">
        <v>39</v>
      </c>
      <c r="AR507" t="s">
        <v>306</v>
      </c>
      <c r="AS507" t="s">
        <v>352</v>
      </c>
      <c r="AT507" t="s">
        <v>218</v>
      </c>
      <c r="AU507" t="s">
        <v>311</v>
      </c>
      <c r="AV507">
        <v>7.2</v>
      </c>
    </row>
    <row r="508" spans="40:48" x14ac:dyDescent="0.25">
      <c r="AN508" t="s">
        <v>44</v>
      </c>
      <c r="AO508" t="s">
        <v>26</v>
      </c>
      <c r="AP508">
        <v>2007</v>
      </c>
      <c r="AQ508" t="s">
        <v>39</v>
      </c>
      <c r="AR508" t="s">
        <v>306</v>
      </c>
      <c r="AS508" t="s">
        <v>352</v>
      </c>
      <c r="AT508" t="s">
        <v>218</v>
      </c>
      <c r="AU508" t="s">
        <v>268</v>
      </c>
      <c r="AV508">
        <v>10.5</v>
      </c>
    </row>
    <row r="509" spans="40:48" x14ac:dyDescent="0.25">
      <c r="AN509" t="s">
        <v>44</v>
      </c>
      <c r="AO509" t="s">
        <v>26</v>
      </c>
      <c r="AP509">
        <v>2007</v>
      </c>
      <c r="AQ509" t="s">
        <v>39</v>
      </c>
      <c r="AR509" t="s">
        <v>306</v>
      </c>
      <c r="AS509" t="s">
        <v>352</v>
      </c>
      <c r="AT509" t="s">
        <v>238</v>
      </c>
      <c r="AU509" t="s">
        <v>310</v>
      </c>
      <c r="AV509">
        <v>2.8</v>
      </c>
    </row>
    <row r="510" spans="40:48" x14ac:dyDescent="0.25">
      <c r="AN510" t="s">
        <v>44</v>
      </c>
      <c r="AO510" t="s">
        <v>26</v>
      </c>
      <c r="AP510">
        <v>2007</v>
      </c>
      <c r="AQ510" t="s">
        <v>39</v>
      </c>
      <c r="AR510" t="s">
        <v>306</v>
      </c>
      <c r="AS510" t="s">
        <v>352</v>
      </c>
      <c r="AT510" t="s">
        <v>238</v>
      </c>
      <c r="AU510" t="s">
        <v>311</v>
      </c>
      <c r="AV510">
        <v>8.5</v>
      </c>
    </row>
    <row r="511" spans="40:48" x14ac:dyDescent="0.25">
      <c r="AN511" t="s">
        <v>44</v>
      </c>
      <c r="AO511" t="s">
        <v>26</v>
      </c>
      <c r="AP511">
        <v>2007</v>
      </c>
      <c r="AQ511" t="s">
        <v>39</v>
      </c>
      <c r="AR511" t="s">
        <v>306</v>
      </c>
      <c r="AS511" t="s">
        <v>352</v>
      </c>
      <c r="AT511" t="s">
        <v>238</v>
      </c>
      <c r="AU511" t="s">
        <v>268</v>
      </c>
      <c r="AV511">
        <v>11.3</v>
      </c>
    </row>
    <row r="512" spans="40:48" x14ac:dyDescent="0.25">
      <c r="AN512" t="s">
        <v>44</v>
      </c>
      <c r="AO512" t="s">
        <v>26</v>
      </c>
      <c r="AP512">
        <v>2007</v>
      </c>
      <c r="AQ512" t="s">
        <v>39</v>
      </c>
      <c r="AR512" t="s">
        <v>306</v>
      </c>
      <c r="AS512" t="s">
        <v>352</v>
      </c>
      <c r="AT512" t="s">
        <v>239</v>
      </c>
      <c r="AU512" t="s">
        <v>310</v>
      </c>
      <c r="AV512">
        <v>2.2999999999999998</v>
      </c>
    </row>
    <row r="513" spans="40:48" x14ac:dyDescent="0.25">
      <c r="AN513" t="s">
        <v>44</v>
      </c>
      <c r="AO513" t="s">
        <v>26</v>
      </c>
      <c r="AP513">
        <v>2007</v>
      </c>
      <c r="AQ513" t="s">
        <v>39</v>
      </c>
      <c r="AR513" t="s">
        <v>306</v>
      </c>
      <c r="AS513" t="s">
        <v>352</v>
      </c>
      <c r="AT513" t="s">
        <v>239</v>
      </c>
      <c r="AU513" t="s">
        <v>311</v>
      </c>
      <c r="AV513">
        <v>8</v>
      </c>
    </row>
    <row r="514" spans="40:48" x14ac:dyDescent="0.25">
      <c r="AN514" t="s">
        <v>44</v>
      </c>
      <c r="AO514" t="s">
        <v>26</v>
      </c>
      <c r="AP514">
        <v>2007</v>
      </c>
      <c r="AQ514" t="s">
        <v>39</v>
      </c>
      <c r="AR514" t="s">
        <v>306</v>
      </c>
      <c r="AS514" t="s">
        <v>352</v>
      </c>
      <c r="AT514" t="s">
        <v>239</v>
      </c>
      <c r="AU514" t="s">
        <v>268</v>
      </c>
      <c r="AV514">
        <v>10.3</v>
      </c>
    </row>
    <row r="515" spans="40:48" x14ac:dyDescent="0.25">
      <c r="AN515" t="s">
        <v>44</v>
      </c>
      <c r="AO515" t="s">
        <v>26</v>
      </c>
      <c r="AP515">
        <v>2007</v>
      </c>
      <c r="AQ515" t="s">
        <v>39</v>
      </c>
      <c r="AR515" t="s">
        <v>306</v>
      </c>
      <c r="AS515" t="s">
        <v>352</v>
      </c>
      <c r="AT515" t="s">
        <v>240</v>
      </c>
      <c r="AU515" t="s">
        <v>310</v>
      </c>
      <c r="AV515">
        <v>2.4</v>
      </c>
    </row>
    <row r="516" spans="40:48" x14ac:dyDescent="0.25">
      <c r="AN516" t="s">
        <v>44</v>
      </c>
      <c r="AO516" t="s">
        <v>26</v>
      </c>
      <c r="AP516">
        <v>2007</v>
      </c>
      <c r="AQ516" t="s">
        <v>39</v>
      </c>
      <c r="AR516" t="s">
        <v>306</v>
      </c>
      <c r="AS516" t="s">
        <v>352</v>
      </c>
      <c r="AT516" t="s">
        <v>240</v>
      </c>
      <c r="AU516" t="s">
        <v>311</v>
      </c>
      <c r="AV516">
        <v>8.4</v>
      </c>
    </row>
    <row r="517" spans="40:48" x14ac:dyDescent="0.25">
      <c r="AN517" t="s">
        <v>44</v>
      </c>
      <c r="AO517" t="s">
        <v>26</v>
      </c>
      <c r="AP517">
        <v>2007</v>
      </c>
      <c r="AQ517" t="s">
        <v>39</v>
      </c>
      <c r="AR517" t="s">
        <v>306</v>
      </c>
      <c r="AS517" t="s">
        <v>352</v>
      </c>
      <c r="AT517" t="s">
        <v>240</v>
      </c>
      <c r="AU517" t="s">
        <v>268</v>
      </c>
      <c r="AV517">
        <v>10.8</v>
      </c>
    </row>
    <row r="518" spans="40:48" x14ac:dyDescent="0.25">
      <c r="AN518" t="s">
        <v>44</v>
      </c>
      <c r="AO518" t="s">
        <v>26</v>
      </c>
      <c r="AP518">
        <v>2007</v>
      </c>
      <c r="AQ518" t="s">
        <v>39</v>
      </c>
      <c r="AR518" t="s">
        <v>306</v>
      </c>
      <c r="AS518" t="s">
        <v>352</v>
      </c>
      <c r="AT518" t="s">
        <v>316</v>
      </c>
      <c r="AU518" t="s">
        <v>310</v>
      </c>
      <c r="AV518">
        <v>2.6</v>
      </c>
    </row>
    <row r="519" spans="40:48" x14ac:dyDescent="0.25">
      <c r="AN519" t="s">
        <v>44</v>
      </c>
      <c r="AO519" t="s">
        <v>26</v>
      </c>
      <c r="AP519">
        <v>2007</v>
      </c>
      <c r="AQ519" t="s">
        <v>39</v>
      </c>
      <c r="AR519" t="s">
        <v>306</v>
      </c>
      <c r="AS519" t="s">
        <v>352</v>
      </c>
      <c r="AT519" t="s">
        <v>316</v>
      </c>
      <c r="AU519" t="s">
        <v>311</v>
      </c>
      <c r="AV519">
        <v>8.9</v>
      </c>
    </row>
    <row r="520" spans="40:48" x14ac:dyDescent="0.25">
      <c r="AN520" t="s">
        <v>44</v>
      </c>
      <c r="AO520" t="s">
        <v>26</v>
      </c>
      <c r="AP520">
        <v>2007</v>
      </c>
      <c r="AQ520" t="s">
        <v>39</v>
      </c>
      <c r="AR520" t="s">
        <v>306</v>
      </c>
      <c r="AS520" t="s">
        <v>352</v>
      </c>
      <c r="AT520" t="s">
        <v>316</v>
      </c>
      <c r="AU520" t="s">
        <v>268</v>
      </c>
      <c r="AV520">
        <v>11.5</v>
      </c>
    </row>
    <row r="521" spans="40:48" x14ac:dyDescent="0.25">
      <c r="AN521" t="s">
        <v>44</v>
      </c>
      <c r="AO521" t="s">
        <v>26</v>
      </c>
      <c r="AP521">
        <v>2007</v>
      </c>
      <c r="AQ521" t="s">
        <v>39</v>
      </c>
      <c r="AR521" t="s">
        <v>306</v>
      </c>
      <c r="AS521" t="s">
        <v>352</v>
      </c>
      <c r="AT521" t="s">
        <v>242</v>
      </c>
      <c r="AU521" t="s">
        <v>310</v>
      </c>
      <c r="AV521">
        <v>2.2999999999999998</v>
      </c>
    </row>
    <row r="522" spans="40:48" x14ac:dyDescent="0.25">
      <c r="AN522" t="s">
        <v>44</v>
      </c>
      <c r="AO522" t="s">
        <v>26</v>
      </c>
      <c r="AP522">
        <v>2007</v>
      </c>
      <c r="AQ522" t="s">
        <v>39</v>
      </c>
      <c r="AR522" t="s">
        <v>306</v>
      </c>
      <c r="AS522" t="s">
        <v>352</v>
      </c>
      <c r="AT522" t="s">
        <v>242</v>
      </c>
      <c r="AU522" t="s">
        <v>311</v>
      </c>
      <c r="AV522">
        <v>7.5</v>
      </c>
    </row>
    <row r="523" spans="40:48" x14ac:dyDescent="0.25">
      <c r="AN523" t="s">
        <v>44</v>
      </c>
      <c r="AO523" t="s">
        <v>26</v>
      </c>
      <c r="AP523">
        <v>2007</v>
      </c>
      <c r="AQ523" t="s">
        <v>39</v>
      </c>
      <c r="AR523" t="s">
        <v>306</v>
      </c>
      <c r="AS523" t="s">
        <v>352</v>
      </c>
      <c r="AT523" t="s">
        <v>242</v>
      </c>
      <c r="AU523" t="s">
        <v>268</v>
      </c>
      <c r="AV523">
        <v>9.8000000000000007</v>
      </c>
    </row>
    <row r="524" spans="40:48" x14ac:dyDescent="0.25">
      <c r="AN524" t="s">
        <v>44</v>
      </c>
      <c r="AO524" t="s">
        <v>26</v>
      </c>
      <c r="AP524">
        <v>2007</v>
      </c>
      <c r="AQ524" t="s">
        <v>39</v>
      </c>
      <c r="AR524" t="s">
        <v>306</v>
      </c>
      <c r="AS524" t="s">
        <v>352</v>
      </c>
      <c r="AT524" t="s">
        <v>243</v>
      </c>
      <c r="AU524" t="s">
        <v>337</v>
      </c>
      <c r="AV524">
        <v>15.7</v>
      </c>
    </row>
    <row r="525" spans="40:48" x14ac:dyDescent="0.25">
      <c r="AN525" t="s">
        <v>44</v>
      </c>
      <c r="AO525" t="s">
        <v>26</v>
      </c>
      <c r="AP525">
        <v>2007</v>
      </c>
      <c r="AQ525" t="s">
        <v>39</v>
      </c>
      <c r="AR525" t="s">
        <v>306</v>
      </c>
      <c r="AS525" t="s">
        <v>352</v>
      </c>
      <c r="AT525" t="s">
        <v>243</v>
      </c>
      <c r="AU525" t="s">
        <v>338</v>
      </c>
      <c r="AV525">
        <v>48.5</v>
      </c>
    </row>
    <row r="526" spans="40:48" x14ac:dyDescent="0.25">
      <c r="AN526" t="s">
        <v>44</v>
      </c>
      <c r="AO526" t="s">
        <v>26</v>
      </c>
      <c r="AP526">
        <v>2007</v>
      </c>
      <c r="AQ526" t="s">
        <v>39</v>
      </c>
      <c r="AR526" t="s">
        <v>306</v>
      </c>
      <c r="AS526" t="s">
        <v>352</v>
      </c>
      <c r="AT526" t="s">
        <v>243</v>
      </c>
      <c r="AU526" t="s">
        <v>349</v>
      </c>
      <c r="AV526">
        <v>64.2</v>
      </c>
    </row>
    <row r="527" spans="40:48" x14ac:dyDescent="0.25">
      <c r="AN527" t="s">
        <v>40</v>
      </c>
      <c r="AO527" t="s">
        <v>26</v>
      </c>
      <c r="AP527">
        <v>2007</v>
      </c>
      <c r="AQ527" t="s">
        <v>39</v>
      </c>
      <c r="AR527" t="s">
        <v>306</v>
      </c>
      <c r="AS527" t="s">
        <v>352</v>
      </c>
      <c r="AT527" t="s">
        <v>218</v>
      </c>
      <c r="AU527" t="s">
        <v>310</v>
      </c>
      <c r="AV527">
        <v>3.1</v>
      </c>
    </row>
    <row r="528" spans="40:48" x14ac:dyDescent="0.25">
      <c r="AN528" t="s">
        <v>40</v>
      </c>
      <c r="AO528" t="s">
        <v>26</v>
      </c>
      <c r="AP528">
        <v>2007</v>
      </c>
      <c r="AQ528" t="s">
        <v>39</v>
      </c>
      <c r="AR528" t="s">
        <v>306</v>
      </c>
      <c r="AS528" t="s">
        <v>352</v>
      </c>
      <c r="AT528" t="s">
        <v>218</v>
      </c>
      <c r="AU528" t="s">
        <v>311</v>
      </c>
      <c r="AV528">
        <v>7.3</v>
      </c>
    </row>
    <row r="529" spans="40:48" x14ac:dyDescent="0.25">
      <c r="AN529" t="s">
        <v>40</v>
      </c>
      <c r="AO529" t="s">
        <v>26</v>
      </c>
      <c r="AP529">
        <v>2007</v>
      </c>
      <c r="AQ529" t="s">
        <v>39</v>
      </c>
      <c r="AR529" t="s">
        <v>306</v>
      </c>
      <c r="AS529" t="s">
        <v>352</v>
      </c>
      <c r="AT529" t="s">
        <v>218</v>
      </c>
      <c r="AU529" t="s">
        <v>268</v>
      </c>
      <c r="AV529">
        <v>10.4</v>
      </c>
    </row>
    <row r="530" spans="40:48" x14ac:dyDescent="0.25">
      <c r="AN530" t="s">
        <v>40</v>
      </c>
      <c r="AO530" t="s">
        <v>26</v>
      </c>
      <c r="AP530">
        <v>2007</v>
      </c>
      <c r="AQ530" t="s">
        <v>39</v>
      </c>
      <c r="AR530" t="s">
        <v>306</v>
      </c>
      <c r="AS530" t="s">
        <v>352</v>
      </c>
      <c r="AT530" t="s">
        <v>238</v>
      </c>
      <c r="AU530" t="s">
        <v>310</v>
      </c>
      <c r="AV530">
        <v>2.9</v>
      </c>
    </row>
    <row r="531" spans="40:48" x14ac:dyDescent="0.25">
      <c r="AN531" t="s">
        <v>40</v>
      </c>
      <c r="AO531" t="s">
        <v>26</v>
      </c>
      <c r="AP531">
        <v>2007</v>
      </c>
      <c r="AQ531" t="s">
        <v>39</v>
      </c>
      <c r="AR531" t="s">
        <v>306</v>
      </c>
      <c r="AS531" t="s">
        <v>352</v>
      </c>
      <c r="AT531" t="s">
        <v>238</v>
      </c>
      <c r="AU531" t="s">
        <v>311</v>
      </c>
      <c r="AV531">
        <v>8.1</v>
      </c>
    </row>
    <row r="532" spans="40:48" x14ac:dyDescent="0.25">
      <c r="AN532" t="s">
        <v>40</v>
      </c>
      <c r="AO532" t="s">
        <v>26</v>
      </c>
      <c r="AP532">
        <v>2007</v>
      </c>
      <c r="AQ532" t="s">
        <v>39</v>
      </c>
      <c r="AR532" t="s">
        <v>306</v>
      </c>
      <c r="AS532" t="s">
        <v>352</v>
      </c>
      <c r="AT532" t="s">
        <v>238</v>
      </c>
      <c r="AU532" t="s">
        <v>268</v>
      </c>
      <c r="AV532">
        <v>11</v>
      </c>
    </row>
    <row r="533" spans="40:48" x14ac:dyDescent="0.25">
      <c r="AN533" t="s">
        <v>40</v>
      </c>
      <c r="AO533" t="s">
        <v>26</v>
      </c>
      <c r="AP533">
        <v>2007</v>
      </c>
      <c r="AQ533" t="s">
        <v>39</v>
      </c>
      <c r="AR533" t="s">
        <v>306</v>
      </c>
      <c r="AS533" t="s">
        <v>352</v>
      </c>
      <c r="AT533" t="s">
        <v>239</v>
      </c>
      <c r="AU533" t="s">
        <v>310</v>
      </c>
      <c r="AV533">
        <v>3.4</v>
      </c>
    </row>
    <row r="534" spans="40:48" x14ac:dyDescent="0.25">
      <c r="AN534" t="s">
        <v>40</v>
      </c>
      <c r="AO534" t="s">
        <v>26</v>
      </c>
      <c r="AP534">
        <v>2007</v>
      </c>
      <c r="AQ534" t="s">
        <v>39</v>
      </c>
      <c r="AR534" t="s">
        <v>306</v>
      </c>
      <c r="AS534" t="s">
        <v>352</v>
      </c>
      <c r="AT534" t="s">
        <v>239</v>
      </c>
      <c r="AU534" t="s">
        <v>311</v>
      </c>
      <c r="AV534">
        <v>6</v>
      </c>
    </row>
    <row r="535" spans="40:48" x14ac:dyDescent="0.25">
      <c r="AN535" t="s">
        <v>40</v>
      </c>
      <c r="AO535" t="s">
        <v>26</v>
      </c>
      <c r="AP535">
        <v>2007</v>
      </c>
      <c r="AQ535" t="s">
        <v>39</v>
      </c>
      <c r="AR535" t="s">
        <v>306</v>
      </c>
      <c r="AS535" t="s">
        <v>352</v>
      </c>
      <c r="AT535" t="s">
        <v>239</v>
      </c>
      <c r="AU535" t="s">
        <v>268</v>
      </c>
      <c r="AV535">
        <v>9.4</v>
      </c>
    </row>
    <row r="536" spans="40:48" x14ac:dyDescent="0.25">
      <c r="AN536" t="s">
        <v>40</v>
      </c>
      <c r="AO536" t="s">
        <v>26</v>
      </c>
      <c r="AP536">
        <v>2007</v>
      </c>
      <c r="AQ536" t="s">
        <v>39</v>
      </c>
      <c r="AR536" t="s">
        <v>306</v>
      </c>
      <c r="AS536" t="s">
        <v>352</v>
      </c>
      <c r="AT536" t="s">
        <v>240</v>
      </c>
      <c r="AU536" t="s">
        <v>310</v>
      </c>
      <c r="AV536">
        <v>2.8</v>
      </c>
    </row>
    <row r="537" spans="40:48" x14ac:dyDescent="0.25">
      <c r="AN537" t="s">
        <v>40</v>
      </c>
      <c r="AO537" t="s">
        <v>26</v>
      </c>
      <c r="AP537">
        <v>2007</v>
      </c>
      <c r="AQ537" t="s">
        <v>39</v>
      </c>
      <c r="AR537" t="s">
        <v>306</v>
      </c>
      <c r="AS537" t="s">
        <v>352</v>
      </c>
      <c r="AT537" t="s">
        <v>240</v>
      </c>
      <c r="AU537" t="s">
        <v>311</v>
      </c>
      <c r="AV537">
        <v>8.6</v>
      </c>
    </row>
    <row r="538" spans="40:48" x14ac:dyDescent="0.25">
      <c r="AN538" t="s">
        <v>40</v>
      </c>
      <c r="AO538" t="s">
        <v>26</v>
      </c>
      <c r="AP538">
        <v>2007</v>
      </c>
      <c r="AQ538" t="s">
        <v>39</v>
      </c>
      <c r="AR538" t="s">
        <v>306</v>
      </c>
      <c r="AS538" t="s">
        <v>352</v>
      </c>
      <c r="AT538" t="s">
        <v>240</v>
      </c>
      <c r="AU538" t="s">
        <v>268</v>
      </c>
      <c r="AV538">
        <v>11.4</v>
      </c>
    </row>
    <row r="539" spans="40:48" x14ac:dyDescent="0.25">
      <c r="AN539" t="s">
        <v>40</v>
      </c>
      <c r="AO539" t="s">
        <v>26</v>
      </c>
      <c r="AP539">
        <v>2007</v>
      </c>
      <c r="AQ539" t="s">
        <v>39</v>
      </c>
      <c r="AR539" t="s">
        <v>306</v>
      </c>
      <c r="AS539" t="s">
        <v>352</v>
      </c>
      <c r="AT539" t="s">
        <v>316</v>
      </c>
      <c r="AU539" t="s">
        <v>310</v>
      </c>
      <c r="AV539">
        <v>3</v>
      </c>
    </row>
    <row r="540" spans="40:48" x14ac:dyDescent="0.25">
      <c r="AN540" t="s">
        <v>40</v>
      </c>
      <c r="AO540" t="s">
        <v>26</v>
      </c>
      <c r="AP540">
        <v>2007</v>
      </c>
      <c r="AQ540" t="s">
        <v>39</v>
      </c>
      <c r="AR540" t="s">
        <v>306</v>
      </c>
      <c r="AS540" t="s">
        <v>352</v>
      </c>
      <c r="AT540" t="s">
        <v>316</v>
      </c>
      <c r="AU540" t="s">
        <v>311</v>
      </c>
      <c r="AV540">
        <v>9</v>
      </c>
    </row>
    <row r="541" spans="40:48" x14ac:dyDescent="0.25">
      <c r="AN541" t="s">
        <v>40</v>
      </c>
      <c r="AO541" t="s">
        <v>26</v>
      </c>
      <c r="AP541">
        <v>2007</v>
      </c>
      <c r="AQ541" t="s">
        <v>39</v>
      </c>
      <c r="AR541" t="s">
        <v>306</v>
      </c>
      <c r="AS541" t="s">
        <v>352</v>
      </c>
      <c r="AT541" t="s">
        <v>316</v>
      </c>
      <c r="AU541" t="s">
        <v>268</v>
      </c>
      <c r="AV541">
        <v>12</v>
      </c>
    </row>
    <row r="542" spans="40:48" x14ac:dyDescent="0.25">
      <c r="AN542" t="s">
        <v>40</v>
      </c>
      <c r="AO542" t="s">
        <v>26</v>
      </c>
      <c r="AP542">
        <v>2007</v>
      </c>
      <c r="AQ542" t="s">
        <v>39</v>
      </c>
      <c r="AR542" t="s">
        <v>306</v>
      </c>
      <c r="AS542" t="s">
        <v>352</v>
      </c>
      <c r="AT542" t="s">
        <v>242</v>
      </c>
      <c r="AU542" t="s">
        <v>310</v>
      </c>
      <c r="AV542">
        <v>2.4</v>
      </c>
    </row>
    <row r="543" spans="40:48" x14ac:dyDescent="0.25">
      <c r="AN543" t="s">
        <v>40</v>
      </c>
      <c r="AO543" t="s">
        <v>26</v>
      </c>
      <c r="AP543">
        <v>2007</v>
      </c>
      <c r="AQ543" t="s">
        <v>39</v>
      </c>
      <c r="AR543" t="s">
        <v>306</v>
      </c>
      <c r="AS543" t="s">
        <v>352</v>
      </c>
      <c r="AT543" t="s">
        <v>242</v>
      </c>
      <c r="AU543" t="s">
        <v>311</v>
      </c>
      <c r="AV543">
        <v>7.2</v>
      </c>
    </row>
    <row r="544" spans="40:48" x14ac:dyDescent="0.25">
      <c r="AN544" t="s">
        <v>40</v>
      </c>
      <c r="AO544" t="s">
        <v>26</v>
      </c>
      <c r="AP544">
        <v>2007</v>
      </c>
      <c r="AQ544" t="s">
        <v>39</v>
      </c>
      <c r="AR544" t="s">
        <v>306</v>
      </c>
      <c r="AS544" t="s">
        <v>352</v>
      </c>
      <c r="AT544" t="s">
        <v>242</v>
      </c>
      <c r="AU544" t="s">
        <v>268</v>
      </c>
      <c r="AV544">
        <v>9.6</v>
      </c>
    </row>
    <row r="545" spans="40:48" x14ac:dyDescent="0.25">
      <c r="AN545" t="s">
        <v>40</v>
      </c>
      <c r="AO545" t="s">
        <v>26</v>
      </c>
      <c r="AP545">
        <v>2007</v>
      </c>
      <c r="AQ545" t="s">
        <v>39</v>
      </c>
      <c r="AR545" t="s">
        <v>306</v>
      </c>
      <c r="AS545" t="s">
        <v>352</v>
      </c>
      <c r="AT545" t="s">
        <v>243</v>
      </c>
      <c r="AU545" t="s">
        <v>337</v>
      </c>
      <c r="AV545">
        <v>17.599999999999998</v>
      </c>
    </row>
    <row r="546" spans="40:48" x14ac:dyDescent="0.25">
      <c r="AN546" t="s">
        <v>40</v>
      </c>
      <c r="AO546" t="s">
        <v>26</v>
      </c>
      <c r="AP546">
        <v>2007</v>
      </c>
      <c r="AQ546" t="s">
        <v>39</v>
      </c>
      <c r="AR546" t="s">
        <v>306</v>
      </c>
      <c r="AS546" t="s">
        <v>352</v>
      </c>
      <c r="AT546" t="s">
        <v>243</v>
      </c>
      <c r="AU546" t="s">
        <v>338</v>
      </c>
      <c r="AV546">
        <v>46.2</v>
      </c>
    </row>
    <row r="547" spans="40:48" x14ac:dyDescent="0.25">
      <c r="AN547" t="s">
        <v>40</v>
      </c>
      <c r="AO547" t="s">
        <v>26</v>
      </c>
      <c r="AP547">
        <v>2007</v>
      </c>
      <c r="AQ547" t="s">
        <v>39</v>
      </c>
      <c r="AR547" t="s">
        <v>306</v>
      </c>
      <c r="AS547" t="s">
        <v>352</v>
      </c>
      <c r="AT547" t="s">
        <v>243</v>
      </c>
      <c r="AU547" t="s">
        <v>349</v>
      </c>
      <c r="AV547">
        <v>63.8</v>
      </c>
    </row>
    <row r="548" spans="40:48" x14ac:dyDescent="0.25">
      <c r="AN548" t="s">
        <v>112</v>
      </c>
      <c r="AO548" t="s">
        <v>26</v>
      </c>
      <c r="AP548">
        <v>2005</v>
      </c>
      <c r="AQ548" t="s">
        <v>31</v>
      </c>
      <c r="AR548" t="s">
        <v>306</v>
      </c>
      <c r="AS548" t="s">
        <v>352</v>
      </c>
      <c r="AT548" t="s">
        <v>218</v>
      </c>
      <c r="AU548" t="s">
        <v>310</v>
      </c>
      <c r="AV548">
        <v>4.2</v>
      </c>
    </row>
    <row r="549" spans="40:48" x14ac:dyDescent="0.25">
      <c r="AN549" t="s">
        <v>112</v>
      </c>
      <c r="AO549" t="s">
        <v>26</v>
      </c>
      <c r="AP549">
        <v>2005</v>
      </c>
      <c r="AQ549" t="s">
        <v>31</v>
      </c>
      <c r="AR549" t="s">
        <v>306</v>
      </c>
      <c r="AS549" t="s">
        <v>352</v>
      </c>
      <c r="AT549" t="s">
        <v>218</v>
      </c>
      <c r="AU549" t="s">
        <v>311</v>
      </c>
      <c r="AV549">
        <v>6.3</v>
      </c>
    </row>
    <row r="550" spans="40:48" x14ac:dyDescent="0.25">
      <c r="AN550" t="s">
        <v>112</v>
      </c>
      <c r="AO550" t="s">
        <v>26</v>
      </c>
      <c r="AP550">
        <v>2005</v>
      </c>
      <c r="AQ550" t="s">
        <v>31</v>
      </c>
      <c r="AR550" t="s">
        <v>306</v>
      </c>
      <c r="AS550" t="s">
        <v>352</v>
      </c>
      <c r="AT550" t="s">
        <v>218</v>
      </c>
      <c r="AU550" t="s">
        <v>268</v>
      </c>
      <c r="AV550">
        <v>10.5</v>
      </c>
    </row>
    <row r="551" spans="40:48" x14ac:dyDescent="0.25">
      <c r="AN551" t="s">
        <v>112</v>
      </c>
      <c r="AO551" t="s">
        <v>26</v>
      </c>
      <c r="AP551">
        <v>2005</v>
      </c>
      <c r="AQ551" t="s">
        <v>31</v>
      </c>
      <c r="AR551" t="s">
        <v>306</v>
      </c>
      <c r="AS551" t="s">
        <v>352</v>
      </c>
      <c r="AT551" t="s">
        <v>238</v>
      </c>
      <c r="AU551" t="s">
        <v>310</v>
      </c>
      <c r="AV551">
        <v>2.7</v>
      </c>
    </row>
    <row r="552" spans="40:48" x14ac:dyDescent="0.25">
      <c r="AN552" t="s">
        <v>112</v>
      </c>
      <c r="AO552" t="s">
        <v>26</v>
      </c>
      <c r="AP552">
        <v>2005</v>
      </c>
      <c r="AQ552" t="s">
        <v>31</v>
      </c>
      <c r="AR552" t="s">
        <v>306</v>
      </c>
      <c r="AS552" t="s">
        <v>352</v>
      </c>
      <c r="AT552" t="s">
        <v>238</v>
      </c>
      <c r="AU552" t="s">
        <v>311</v>
      </c>
      <c r="AV552">
        <v>6</v>
      </c>
    </row>
    <row r="553" spans="40:48" x14ac:dyDescent="0.25">
      <c r="AN553" t="s">
        <v>112</v>
      </c>
      <c r="AO553" t="s">
        <v>26</v>
      </c>
      <c r="AP553">
        <v>2005</v>
      </c>
      <c r="AQ553" t="s">
        <v>31</v>
      </c>
      <c r="AR553" t="s">
        <v>306</v>
      </c>
      <c r="AS553" t="s">
        <v>352</v>
      </c>
      <c r="AT553" t="s">
        <v>238</v>
      </c>
      <c r="AU553" t="s">
        <v>268</v>
      </c>
      <c r="AV553">
        <v>8.6999999999999993</v>
      </c>
    </row>
    <row r="554" spans="40:48" x14ac:dyDescent="0.25">
      <c r="AN554" t="s">
        <v>112</v>
      </c>
      <c r="AO554" t="s">
        <v>26</v>
      </c>
      <c r="AP554">
        <v>2005</v>
      </c>
      <c r="AQ554" t="s">
        <v>31</v>
      </c>
      <c r="AR554" t="s">
        <v>306</v>
      </c>
      <c r="AS554" t="s">
        <v>352</v>
      </c>
      <c r="AT554" t="s">
        <v>239</v>
      </c>
      <c r="AU554" t="s">
        <v>310</v>
      </c>
      <c r="AV554">
        <v>2.2000000000000002</v>
      </c>
    </row>
    <row r="555" spans="40:48" x14ac:dyDescent="0.25">
      <c r="AN555" t="s">
        <v>112</v>
      </c>
      <c r="AO555" t="s">
        <v>26</v>
      </c>
      <c r="AP555">
        <v>2005</v>
      </c>
      <c r="AQ555" t="s">
        <v>31</v>
      </c>
      <c r="AR555" t="s">
        <v>306</v>
      </c>
      <c r="AS555" t="s">
        <v>352</v>
      </c>
      <c r="AT555" t="s">
        <v>239</v>
      </c>
      <c r="AU555" t="s">
        <v>311</v>
      </c>
      <c r="AV555">
        <v>7.7</v>
      </c>
    </row>
    <row r="556" spans="40:48" x14ac:dyDescent="0.25">
      <c r="AN556" t="s">
        <v>112</v>
      </c>
      <c r="AO556" t="s">
        <v>26</v>
      </c>
      <c r="AP556">
        <v>2005</v>
      </c>
      <c r="AQ556" t="s">
        <v>31</v>
      </c>
      <c r="AR556" t="s">
        <v>306</v>
      </c>
      <c r="AS556" t="s">
        <v>352</v>
      </c>
      <c r="AT556" t="s">
        <v>239</v>
      </c>
      <c r="AU556" t="s">
        <v>268</v>
      </c>
      <c r="AV556">
        <v>9.9</v>
      </c>
    </row>
    <row r="557" spans="40:48" x14ac:dyDescent="0.25">
      <c r="AN557" t="s">
        <v>112</v>
      </c>
      <c r="AO557" t="s">
        <v>26</v>
      </c>
      <c r="AP557">
        <v>2005</v>
      </c>
      <c r="AQ557" t="s">
        <v>31</v>
      </c>
      <c r="AR557" t="s">
        <v>306</v>
      </c>
      <c r="AS557" t="s">
        <v>352</v>
      </c>
      <c r="AT557" t="s">
        <v>240</v>
      </c>
      <c r="AU557" t="s">
        <v>310</v>
      </c>
      <c r="AV557">
        <v>4</v>
      </c>
    </row>
    <row r="558" spans="40:48" x14ac:dyDescent="0.25">
      <c r="AN558" t="s">
        <v>112</v>
      </c>
      <c r="AO558" t="s">
        <v>26</v>
      </c>
      <c r="AP558">
        <v>2005</v>
      </c>
      <c r="AQ558" t="s">
        <v>31</v>
      </c>
      <c r="AR558" t="s">
        <v>306</v>
      </c>
      <c r="AS558" t="s">
        <v>352</v>
      </c>
      <c r="AT558" t="s">
        <v>240</v>
      </c>
      <c r="AU558" t="s">
        <v>311</v>
      </c>
      <c r="AV558">
        <v>8.9</v>
      </c>
    </row>
    <row r="559" spans="40:48" x14ac:dyDescent="0.25">
      <c r="AN559" t="s">
        <v>112</v>
      </c>
      <c r="AO559" t="s">
        <v>26</v>
      </c>
      <c r="AP559">
        <v>2005</v>
      </c>
      <c r="AQ559" t="s">
        <v>31</v>
      </c>
      <c r="AR559" t="s">
        <v>306</v>
      </c>
      <c r="AS559" t="s">
        <v>352</v>
      </c>
      <c r="AT559" t="s">
        <v>240</v>
      </c>
      <c r="AU559" t="s">
        <v>268</v>
      </c>
      <c r="AV559">
        <v>12.9</v>
      </c>
    </row>
    <row r="560" spans="40:48" x14ac:dyDescent="0.25">
      <c r="AN560" t="s">
        <v>112</v>
      </c>
      <c r="AO560" t="s">
        <v>26</v>
      </c>
      <c r="AP560">
        <v>2005</v>
      </c>
      <c r="AQ560" t="s">
        <v>31</v>
      </c>
      <c r="AR560" t="s">
        <v>306</v>
      </c>
      <c r="AS560" t="s">
        <v>352</v>
      </c>
      <c r="AT560" t="s">
        <v>316</v>
      </c>
      <c r="AU560" t="s">
        <v>310</v>
      </c>
      <c r="AV560">
        <v>3.2</v>
      </c>
    </row>
    <row r="561" spans="40:48" x14ac:dyDescent="0.25">
      <c r="AN561" t="s">
        <v>112</v>
      </c>
      <c r="AO561" t="s">
        <v>26</v>
      </c>
      <c r="AP561">
        <v>2005</v>
      </c>
      <c r="AQ561" t="s">
        <v>31</v>
      </c>
      <c r="AR561" t="s">
        <v>306</v>
      </c>
      <c r="AS561" t="s">
        <v>352</v>
      </c>
      <c r="AT561" t="s">
        <v>316</v>
      </c>
      <c r="AU561" t="s">
        <v>311</v>
      </c>
      <c r="AV561">
        <v>7.4</v>
      </c>
    </row>
    <row r="562" spans="40:48" x14ac:dyDescent="0.25">
      <c r="AN562" t="s">
        <v>112</v>
      </c>
      <c r="AO562" t="s">
        <v>26</v>
      </c>
      <c r="AP562">
        <v>2005</v>
      </c>
      <c r="AQ562" t="s">
        <v>31</v>
      </c>
      <c r="AR562" t="s">
        <v>306</v>
      </c>
      <c r="AS562" t="s">
        <v>352</v>
      </c>
      <c r="AT562" t="s">
        <v>316</v>
      </c>
      <c r="AU562" t="s">
        <v>268</v>
      </c>
      <c r="AV562">
        <v>10.6</v>
      </c>
    </row>
    <row r="563" spans="40:48" x14ac:dyDescent="0.25">
      <c r="AN563" t="s">
        <v>112</v>
      </c>
      <c r="AO563" t="s">
        <v>26</v>
      </c>
      <c r="AP563">
        <v>2005</v>
      </c>
      <c r="AQ563" t="s">
        <v>31</v>
      </c>
      <c r="AR563" t="s">
        <v>306</v>
      </c>
      <c r="AS563" t="s">
        <v>352</v>
      </c>
      <c r="AT563" t="s">
        <v>242</v>
      </c>
      <c r="AU563" t="s">
        <v>310</v>
      </c>
      <c r="AV563">
        <v>3.2</v>
      </c>
    </row>
    <row r="564" spans="40:48" x14ac:dyDescent="0.25">
      <c r="AN564" t="s">
        <v>112</v>
      </c>
      <c r="AO564" t="s">
        <v>26</v>
      </c>
      <c r="AP564">
        <v>2005</v>
      </c>
      <c r="AQ564" t="s">
        <v>31</v>
      </c>
      <c r="AR564" t="s">
        <v>306</v>
      </c>
      <c r="AS564" t="s">
        <v>352</v>
      </c>
      <c r="AT564" t="s">
        <v>242</v>
      </c>
      <c r="AU564" t="s">
        <v>311</v>
      </c>
      <c r="AV564">
        <v>7.5</v>
      </c>
    </row>
    <row r="565" spans="40:48" x14ac:dyDescent="0.25">
      <c r="AN565" t="s">
        <v>112</v>
      </c>
      <c r="AO565" t="s">
        <v>26</v>
      </c>
      <c r="AP565">
        <v>2005</v>
      </c>
      <c r="AQ565" t="s">
        <v>31</v>
      </c>
      <c r="AR565" t="s">
        <v>306</v>
      </c>
      <c r="AS565" t="s">
        <v>352</v>
      </c>
      <c r="AT565" t="s">
        <v>242</v>
      </c>
      <c r="AU565" t="s">
        <v>268</v>
      </c>
      <c r="AV565">
        <v>10.7</v>
      </c>
    </row>
    <row r="566" spans="40:48" x14ac:dyDescent="0.25">
      <c r="AN566" t="s">
        <v>112</v>
      </c>
      <c r="AO566" t="s">
        <v>26</v>
      </c>
      <c r="AP566">
        <v>2005</v>
      </c>
      <c r="AQ566" t="s">
        <v>31</v>
      </c>
      <c r="AR566" t="s">
        <v>306</v>
      </c>
      <c r="AS566" t="s">
        <v>352</v>
      </c>
      <c r="AT566" t="s">
        <v>243</v>
      </c>
      <c r="AU566" t="s">
        <v>337</v>
      </c>
      <c r="AV566">
        <v>19.5</v>
      </c>
    </row>
    <row r="567" spans="40:48" x14ac:dyDescent="0.25">
      <c r="AN567" t="s">
        <v>112</v>
      </c>
      <c r="AO567" t="s">
        <v>26</v>
      </c>
      <c r="AP567">
        <v>2005</v>
      </c>
      <c r="AQ567" t="s">
        <v>31</v>
      </c>
      <c r="AR567" t="s">
        <v>306</v>
      </c>
      <c r="AS567" t="s">
        <v>352</v>
      </c>
      <c r="AT567" t="s">
        <v>243</v>
      </c>
      <c r="AU567" t="s">
        <v>338</v>
      </c>
      <c r="AV567">
        <v>43.8</v>
      </c>
    </row>
    <row r="568" spans="40:48" x14ac:dyDescent="0.25">
      <c r="AN568" t="s">
        <v>112</v>
      </c>
      <c r="AO568" t="s">
        <v>26</v>
      </c>
      <c r="AP568">
        <v>2005</v>
      </c>
      <c r="AQ568" t="s">
        <v>31</v>
      </c>
      <c r="AR568" t="s">
        <v>306</v>
      </c>
      <c r="AS568" t="s">
        <v>352</v>
      </c>
      <c r="AT568" t="s">
        <v>243</v>
      </c>
      <c r="AU568" t="s">
        <v>349</v>
      </c>
      <c r="AV568">
        <v>63.3</v>
      </c>
    </row>
    <row r="569" spans="40:48" x14ac:dyDescent="0.25">
      <c r="AN569" t="s">
        <v>37</v>
      </c>
      <c r="AO569" t="s">
        <v>26</v>
      </c>
      <c r="AP569">
        <v>2006</v>
      </c>
      <c r="AQ569" t="s">
        <v>39</v>
      </c>
      <c r="AR569" t="s">
        <v>306</v>
      </c>
      <c r="AS569" t="s">
        <v>352</v>
      </c>
      <c r="AT569" t="s">
        <v>218</v>
      </c>
      <c r="AU569" t="s">
        <v>310</v>
      </c>
      <c r="AV569">
        <v>3.3</v>
      </c>
    </row>
    <row r="570" spans="40:48" x14ac:dyDescent="0.25">
      <c r="AN570" t="s">
        <v>37</v>
      </c>
      <c r="AO570" t="s">
        <v>26</v>
      </c>
      <c r="AP570">
        <v>2006</v>
      </c>
      <c r="AQ570" t="s">
        <v>39</v>
      </c>
      <c r="AR570" t="s">
        <v>306</v>
      </c>
      <c r="AS570" t="s">
        <v>352</v>
      </c>
      <c r="AT570" t="s">
        <v>218</v>
      </c>
      <c r="AU570" t="s">
        <v>311</v>
      </c>
      <c r="AV570">
        <v>5.9</v>
      </c>
    </row>
    <row r="571" spans="40:48" x14ac:dyDescent="0.25">
      <c r="AN571" t="s">
        <v>37</v>
      </c>
      <c r="AO571" t="s">
        <v>26</v>
      </c>
      <c r="AP571">
        <v>2006</v>
      </c>
      <c r="AQ571" t="s">
        <v>39</v>
      </c>
      <c r="AR571" t="s">
        <v>306</v>
      </c>
      <c r="AS571" t="s">
        <v>352</v>
      </c>
      <c r="AT571" t="s">
        <v>218</v>
      </c>
      <c r="AU571" t="s">
        <v>268</v>
      </c>
      <c r="AV571">
        <v>9.1999999999999993</v>
      </c>
    </row>
    <row r="572" spans="40:48" x14ac:dyDescent="0.25">
      <c r="AN572" t="s">
        <v>37</v>
      </c>
      <c r="AO572" t="s">
        <v>26</v>
      </c>
      <c r="AP572">
        <v>2006</v>
      </c>
      <c r="AQ572" t="s">
        <v>39</v>
      </c>
      <c r="AR572" t="s">
        <v>306</v>
      </c>
      <c r="AS572" t="s">
        <v>352</v>
      </c>
      <c r="AT572" t="s">
        <v>238</v>
      </c>
      <c r="AU572" t="s">
        <v>310</v>
      </c>
      <c r="AV572">
        <v>3.9</v>
      </c>
    </row>
    <row r="573" spans="40:48" x14ac:dyDescent="0.25">
      <c r="AN573" t="s">
        <v>37</v>
      </c>
      <c r="AO573" t="s">
        <v>26</v>
      </c>
      <c r="AP573">
        <v>2006</v>
      </c>
      <c r="AQ573" t="s">
        <v>39</v>
      </c>
      <c r="AR573" t="s">
        <v>306</v>
      </c>
      <c r="AS573" t="s">
        <v>352</v>
      </c>
      <c r="AT573" t="s">
        <v>238</v>
      </c>
      <c r="AU573" t="s">
        <v>311</v>
      </c>
      <c r="AV573">
        <v>8.1999999999999993</v>
      </c>
    </row>
    <row r="574" spans="40:48" x14ac:dyDescent="0.25">
      <c r="AN574" t="s">
        <v>37</v>
      </c>
      <c r="AO574" t="s">
        <v>26</v>
      </c>
      <c r="AP574">
        <v>2006</v>
      </c>
      <c r="AQ574" t="s">
        <v>39</v>
      </c>
      <c r="AR574" t="s">
        <v>306</v>
      </c>
      <c r="AS574" t="s">
        <v>352</v>
      </c>
      <c r="AT574" t="s">
        <v>238</v>
      </c>
      <c r="AU574" t="s">
        <v>268</v>
      </c>
      <c r="AV574">
        <v>12.1</v>
      </c>
    </row>
    <row r="575" spans="40:48" x14ac:dyDescent="0.25">
      <c r="AN575" t="s">
        <v>37</v>
      </c>
      <c r="AO575" t="s">
        <v>26</v>
      </c>
      <c r="AP575">
        <v>2006</v>
      </c>
      <c r="AQ575" t="s">
        <v>39</v>
      </c>
      <c r="AR575" t="s">
        <v>306</v>
      </c>
      <c r="AS575" t="s">
        <v>352</v>
      </c>
      <c r="AT575" t="s">
        <v>239</v>
      </c>
      <c r="AU575" t="s">
        <v>310</v>
      </c>
      <c r="AV575">
        <v>2.2999999999999998</v>
      </c>
    </row>
    <row r="576" spans="40:48" x14ac:dyDescent="0.25">
      <c r="AN576" t="s">
        <v>37</v>
      </c>
      <c r="AO576" t="s">
        <v>26</v>
      </c>
      <c r="AP576">
        <v>2006</v>
      </c>
      <c r="AQ576" t="s">
        <v>39</v>
      </c>
      <c r="AR576" t="s">
        <v>306</v>
      </c>
      <c r="AS576" t="s">
        <v>352</v>
      </c>
      <c r="AT576" t="s">
        <v>239</v>
      </c>
      <c r="AU576" t="s">
        <v>311</v>
      </c>
      <c r="AV576">
        <v>7.8</v>
      </c>
    </row>
    <row r="577" spans="40:48" x14ac:dyDescent="0.25">
      <c r="AN577" t="s">
        <v>37</v>
      </c>
      <c r="AO577" t="s">
        <v>26</v>
      </c>
      <c r="AP577">
        <v>2006</v>
      </c>
      <c r="AQ577" t="s">
        <v>39</v>
      </c>
      <c r="AR577" t="s">
        <v>306</v>
      </c>
      <c r="AS577" t="s">
        <v>352</v>
      </c>
      <c r="AT577" t="s">
        <v>239</v>
      </c>
      <c r="AU577" t="s">
        <v>268</v>
      </c>
      <c r="AV577">
        <v>10.1</v>
      </c>
    </row>
    <row r="578" spans="40:48" x14ac:dyDescent="0.25">
      <c r="AN578" t="s">
        <v>37</v>
      </c>
      <c r="AO578" t="s">
        <v>26</v>
      </c>
      <c r="AP578">
        <v>2006</v>
      </c>
      <c r="AQ578" t="s">
        <v>39</v>
      </c>
      <c r="AR578" t="s">
        <v>306</v>
      </c>
      <c r="AS578" t="s">
        <v>352</v>
      </c>
      <c r="AT578" t="s">
        <v>240</v>
      </c>
      <c r="AU578" t="s">
        <v>310</v>
      </c>
      <c r="AV578">
        <v>2.4</v>
      </c>
    </row>
    <row r="579" spans="40:48" x14ac:dyDescent="0.25">
      <c r="AN579" t="s">
        <v>37</v>
      </c>
      <c r="AO579" t="s">
        <v>26</v>
      </c>
      <c r="AP579">
        <v>2006</v>
      </c>
      <c r="AQ579" t="s">
        <v>39</v>
      </c>
      <c r="AR579" t="s">
        <v>306</v>
      </c>
      <c r="AS579" t="s">
        <v>352</v>
      </c>
      <c r="AT579" t="s">
        <v>240</v>
      </c>
      <c r="AU579" t="s">
        <v>311</v>
      </c>
      <c r="AV579">
        <v>8.1999999999999993</v>
      </c>
    </row>
    <row r="580" spans="40:48" x14ac:dyDescent="0.25">
      <c r="AN580" t="s">
        <v>37</v>
      </c>
      <c r="AO580" t="s">
        <v>26</v>
      </c>
      <c r="AP580">
        <v>2006</v>
      </c>
      <c r="AQ580" t="s">
        <v>39</v>
      </c>
      <c r="AR580" t="s">
        <v>306</v>
      </c>
      <c r="AS580" t="s">
        <v>352</v>
      </c>
      <c r="AT580" t="s">
        <v>240</v>
      </c>
      <c r="AU580" t="s">
        <v>268</v>
      </c>
      <c r="AV580">
        <v>10.6</v>
      </c>
    </row>
    <row r="581" spans="40:48" x14ac:dyDescent="0.25">
      <c r="AN581" t="s">
        <v>37</v>
      </c>
      <c r="AO581" t="s">
        <v>26</v>
      </c>
      <c r="AP581">
        <v>2006</v>
      </c>
      <c r="AQ581" t="s">
        <v>39</v>
      </c>
      <c r="AR581" t="s">
        <v>306</v>
      </c>
      <c r="AS581" t="s">
        <v>352</v>
      </c>
      <c r="AT581" t="s">
        <v>316</v>
      </c>
      <c r="AU581" t="s">
        <v>310</v>
      </c>
      <c r="AV581">
        <v>3.2</v>
      </c>
    </row>
    <row r="582" spans="40:48" x14ac:dyDescent="0.25">
      <c r="AN582" t="s">
        <v>37</v>
      </c>
      <c r="AO582" t="s">
        <v>26</v>
      </c>
      <c r="AP582">
        <v>2006</v>
      </c>
      <c r="AQ582" t="s">
        <v>39</v>
      </c>
      <c r="AR582" t="s">
        <v>306</v>
      </c>
      <c r="AS582" t="s">
        <v>352</v>
      </c>
      <c r="AT582" t="s">
        <v>316</v>
      </c>
      <c r="AU582" t="s">
        <v>311</v>
      </c>
      <c r="AV582">
        <v>8.6</v>
      </c>
    </row>
    <row r="583" spans="40:48" x14ac:dyDescent="0.25">
      <c r="AN583" t="s">
        <v>37</v>
      </c>
      <c r="AO583" t="s">
        <v>26</v>
      </c>
      <c r="AP583">
        <v>2006</v>
      </c>
      <c r="AQ583" t="s">
        <v>39</v>
      </c>
      <c r="AR583" t="s">
        <v>306</v>
      </c>
      <c r="AS583" t="s">
        <v>352</v>
      </c>
      <c r="AT583" t="s">
        <v>316</v>
      </c>
      <c r="AU583" t="s">
        <v>268</v>
      </c>
      <c r="AV583">
        <v>11.8</v>
      </c>
    </row>
    <row r="584" spans="40:48" x14ac:dyDescent="0.25">
      <c r="AN584" t="s">
        <v>37</v>
      </c>
      <c r="AO584" t="s">
        <v>26</v>
      </c>
      <c r="AP584">
        <v>2006</v>
      </c>
      <c r="AQ584" t="s">
        <v>39</v>
      </c>
      <c r="AR584" t="s">
        <v>306</v>
      </c>
      <c r="AS584" t="s">
        <v>352</v>
      </c>
      <c r="AT584" t="s">
        <v>242</v>
      </c>
      <c r="AU584" t="s">
        <v>310</v>
      </c>
      <c r="AV584">
        <v>2.8</v>
      </c>
    </row>
    <row r="585" spans="40:48" x14ac:dyDescent="0.25">
      <c r="AN585" t="s">
        <v>37</v>
      </c>
      <c r="AO585" t="s">
        <v>26</v>
      </c>
      <c r="AP585">
        <v>2006</v>
      </c>
      <c r="AQ585" t="s">
        <v>39</v>
      </c>
      <c r="AR585" t="s">
        <v>306</v>
      </c>
      <c r="AS585" t="s">
        <v>352</v>
      </c>
      <c r="AT585" t="s">
        <v>242</v>
      </c>
      <c r="AU585" t="s">
        <v>311</v>
      </c>
      <c r="AV585">
        <v>6.5</v>
      </c>
    </row>
    <row r="586" spans="40:48" x14ac:dyDescent="0.25">
      <c r="AN586" t="s">
        <v>37</v>
      </c>
      <c r="AO586" t="s">
        <v>26</v>
      </c>
      <c r="AP586">
        <v>2006</v>
      </c>
      <c r="AQ586" t="s">
        <v>39</v>
      </c>
      <c r="AR586" t="s">
        <v>306</v>
      </c>
      <c r="AS586" t="s">
        <v>352</v>
      </c>
      <c r="AT586" t="s">
        <v>242</v>
      </c>
      <c r="AU586" t="s">
        <v>268</v>
      </c>
      <c r="AV586">
        <v>9.3000000000000007</v>
      </c>
    </row>
    <row r="587" spans="40:48" x14ac:dyDescent="0.25">
      <c r="AN587" t="s">
        <v>37</v>
      </c>
      <c r="AO587" t="s">
        <v>26</v>
      </c>
      <c r="AP587">
        <v>2006</v>
      </c>
      <c r="AQ587" t="s">
        <v>39</v>
      </c>
      <c r="AR587" t="s">
        <v>306</v>
      </c>
      <c r="AS587" t="s">
        <v>352</v>
      </c>
      <c r="AT587" t="s">
        <v>243</v>
      </c>
      <c r="AU587" t="s">
        <v>337</v>
      </c>
      <c r="AV587">
        <v>17.900000000000002</v>
      </c>
    </row>
    <row r="588" spans="40:48" x14ac:dyDescent="0.25">
      <c r="AN588" t="s">
        <v>37</v>
      </c>
      <c r="AO588" t="s">
        <v>26</v>
      </c>
      <c r="AP588">
        <v>2006</v>
      </c>
      <c r="AQ588" t="s">
        <v>39</v>
      </c>
      <c r="AR588" t="s">
        <v>306</v>
      </c>
      <c r="AS588" t="s">
        <v>352</v>
      </c>
      <c r="AT588" t="s">
        <v>243</v>
      </c>
      <c r="AU588" t="s">
        <v>338</v>
      </c>
      <c r="AV588">
        <v>45.199999999999996</v>
      </c>
    </row>
    <row r="589" spans="40:48" x14ac:dyDescent="0.25">
      <c r="AN589" t="s">
        <v>37</v>
      </c>
      <c r="AO589" t="s">
        <v>26</v>
      </c>
      <c r="AP589">
        <v>2006</v>
      </c>
      <c r="AQ589" t="s">
        <v>39</v>
      </c>
      <c r="AR589" t="s">
        <v>306</v>
      </c>
      <c r="AS589" t="s">
        <v>352</v>
      </c>
      <c r="AT589" t="s">
        <v>243</v>
      </c>
      <c r="AU589" t="s">
        <v>349</v>
      </c>
      <c r="AV589">
        <v>63.1</v>
      </c>
    </row>
    <row r="590" spans="40:48" x14ac:dyDescent="0.25">
      <c r="AN590" t="s">
        <v>42</v>
      </c>
      <c r="AO590" t="s">
        <v>26</v>
      </c>
      <c r="AP590">
        <v>2007</v>
      </c>
      <c r="AQ590" t="s">
        <v>36</v>
      </c>
      <c r="AR590" t="s">
        <v>306</v>
      </c>
      <c r="AS590" t="s">
        <v>352</v>
      </c>
      <c r="AT590" t="s">
        <v>218</v>
      </c>
      <c r="AU590" t="s">
        <v>310</v>
      </c>
      <c r="AV590">
        <v>3.4</v>
      </c>
    </row>
    <row r="591" spans="40:48" x14ac:dyDescent="0.25">
      <c r="AN591" t="s">
        <v>42</v>
      </c>
      <c r="AO591" t="s">
        <v>26</v>
      </c>
      <c r="AP591">
        <v>2007</v>
      </c>
      <c r="AQ591" t="s">
        <v>36</v>
      </c>
      <c r="AR591" t="s">
        <v>306</v>
      </c>
      <c r="AS591" t="s">
        <v>352</v>
      </c>
      <c r="AT591" t="s">
        <v>218</v>
      </c>
      <c r="AU591" t="s">
        <v>311</v>
      </c>
      <c r="AV591">
        <v>7.5</v>
      </c>
    </row>
    <row r="592" spans="40:48" x14ac:dyDescent="0.25">
      <c r="AN592" t="s">
        <v>42</v>
      </c>
      <c r="AO592" t="s">
        <v>26</v>
      </c>
      <c r="AP592">
        <v>2007</v>
      </c>
      <c r="AQ592" t="s">
        <v>36</v>
      </c>
      <c r="AR592" t="s">
        <v>306</v>
      </c>
      <c r="AS592" t="s">
        <v>352</v>
      </c>
      <c r="AT592" t="s">
        <v>218</v>
      </c>
      <c r="AU592" t="s">
        <v>268</v>
      </c>
      <c r="AV592">
        <v>10.9</v>
      </c>
    </row>
    <row r="593" spans="40:48" x14ac:dyDescent="0.25">
      <c r="AN593" t="s">
        <v>42</v>
      </c>
      <c r="AO593" t="s">
        <v>26</v>
      </c>
      <c r="AP593">
        <v>2007</v>
      </c>
      <c r="AQ593" t="s">
        <v>36</v>
      </c>
      <c r="AR593" t="s">
        <v>306</v>
      </c>
      <c r="AS593" t="s">
        <v>352</v>
      </c>
      <c r="AT593" t="s">
        <v>238</v>
      </c>
      <c r="AU593" t="s">
        <v>310</v>
      </c>
      <c r="AV593">
        <v>2.6</v>
      </c>
    </row>
    <row r="594" spans="40:48" x14ac:dyDescent="0.25">
      <c r="AN594" t="s">
        <v>42</v>
      </c>
      <c r="AO594" t="s">
        <v>26</v>
      </c>
      <c r="AP594">
        <v>2007</v>
      </c>
      <c r="AQ594" t="s">
        <v>36</v>
      </c>
      <c r="AR594" t="s">
        <v>306</v>
      </c>
      <c r="AS594" t="s">
        <v>352</v>
      </c>
      <c r="AT594" t="s">
        <v>238</v>
      </c>
      <c r="AU594" t="s">
        <v>311</v>
      </c>
      <c r="AV594">
        <v>7.2</v>
      </c>
    </row>
    <row r="595" spans="40:48" x14ac:dyDescent="0.25">
      <c r="AN595" t="s">
        <v>42</v>
      </c>
      <c r="AO595" t="s">
        <v>26</v>
      </c>
      <c r="AP595">
        <v>2007</v>
      </c>
      <c r="AQ595" t="s">
        <v>36</v>
      </c>
      <c r="AR595" t="s">
        <v>306</v>
      </c>
      <c r="AS595" t="s">
        <v>352</v>
      </c>
      <c r="AT595" t="s">
        <v>238</v>
      </c>
      <c r="AU595" t="s">
        <v>268</v>
      </c>
      <c r="AV595">
        <v>9.8000000000000007</v>
      </c>
    </row>
    <row r="596" spans="40:48" x14ac:dyDescent="0.25">
      <c r="AN596" t="s">
        <v>42</v>
      </c>
      <c r="AO596" t="s">
        <v>26</v>
      </c>
      <c r="AP596">
        <v>2007</v>
      </c>
      <c r="AQ596" t="s">
        <v>36</v>
      </c>
      <c r="AR596" t="s">
        <v>306</v>
      </c>
      <c r="AS596" t="s">
        <v>352</v>
      </c>
      <c r="AT596" t="s">
        <v>239</v>
      </c>
      <c r="AU596" t="s">
        <v>310</v>
      </c>
      <c r="AV596">
        <v>2</v>
      </c>
    </row>
    <row r="597" spans="40:48" x14ac:dyDescent="0.25">
      <c r="AN597" t="s">
        <v>42</v>
      </c>
      <c r="AO597" t="s">
        <v>26</v>
      </c>
      <c r="AP597">
        <v>2007</v>
      </c>
      <c r="AQ597" t="s">
        <v>36</v>
      </c>
      <c r="AR597" t="s">
        <v>306</v>
      </c>
      <c r="AS597" t="s">
        <v>352</v>
      </c>
      <c r="AT597" t="s">
        <v>239</v>
      </c>
      <c r="AU597" t="s">
        <v>311</v>
      </c>
      <c r="AV597">
        <v>7.9</v>
      </c>
    </row>
    <row r="598" spans="40:48" x14ac:dyDescent="0.25">
      <c r="AN598" t="s">
        <v>42</v>
      </c>
      <c r="AO598" t="s">
        <v>26</v>
      </c>
      <c r="AP598">
        <v>2007</v>
      </c>
      <c r="AQ598" t="s">
        <v>36</v>
      </c>
      <c r="AR598" t="s">
        <v>306</v>
      </c>
      <c r="AS598" t="s">
        <v>352</v>
      </c>
      <c r="AT598" t="s">
        <v>239</v>
      </c>
      <c r="AU598" t="s">
        <v>268</v>
      </c>
      <c r="AV598">
        <v>9.9</v>
      </c>
    </row>
    <row r="599" spans="40:48" x14ac:dyDescent="0.25">
      <c r="AN599" t="s">
        <v>42</v>
      </c>
      <c r="AO599" t="s">
        <v>26</v>
      </c>
      <c r="AP599">
        <v>2007</v>
      </c>
      <c r="AQ599" t="s">
        <v>36</v>
      </c>
      <c r="AR599" t="s">
        <v>306</v>
      </c>
      <c r="AS599" t="s">
        <v>352</v>
      </c>
      <c r="AT599" t="s">
        <v>240</v>
      </c>
      <c r="AU599" t="s">
        <v>310</v>
      </c>
      <c r="AV599">
        <v>2.8</v>
      </c>
    </row>
    <row r="600" spans="40:48" x14ac:dyDescent="0.25">
      <c r="AN600" t="s">
        <v>42</v>
      </c>
      <c r="AO600" t="s">
        <v>26</v>
      </c>
      <c r="AP600">
        <v>2007</v>
      </c>
      <c r="AQ600" t="s">
        <v>36</v>
      </c>
      <c r="AR600" t="s">
        <v>306</v>
      </c>
      <c r="AS600" t="s">
        <v>352</v>
      </c>
      <c r="AT600" t="s">
        <v>240</v>
      </c>
      <c r="AU600" t="s">
        <v>311</v>
      </c>
      <c r="AV600">
        <v>8.4</v>
      </c>
    </row>
    <row r="601" spans="40:48" x14ac:dyDescent="0.25">
      <c r="AN601" t="s">
        <v>42</v>
      </c>
      <c r="AO601" t="s">
        <v>26</v>
      </c>
      <c r="AP601">
        <v>2007</v>
      </c>
      <c r="AQ601" t="s">
        <v>36</v>
      </c>
      <c r="AR601" t="s">
        <v>306</v>
      </c>
      <c r="AS601" t="s">
        <v>352</v>
      </c>
      <c r="AT601" t="s">
        <v>240</v>
      </c>
      <c r="AU601" t="s">
        <v>268</v>
      </c>
      <c r="AV601">
        <v>11.2</v>
      </c>
    </row>
    <row r="602" spans="40:48" x14ac:dyDescent="0.25">
      <c r="AN602" t="s">
        <v>42</v>
      </c>
      <c r="AO602" t="s">
        <v>26</v>
      </c>
      <c r="AP602">
        <v>2007</v>
      </c>
      <c r="AQ602" t="s">
        <v>36</v>
      </c>
      <c r="AR602" t="s">
        <v>306</v>
      </c>
      <c r="AS602" t="s">
        <v>352</v>
      </c>
      <c r="AT602" t="s">
        <v>316</v>
      </c>
      <c r="AU602" t="s">
        <v>310</v>
      </c>
      <c r="AV602">
        <v>2.4</v>
      </c>
    </row>
    <row r="603" spans="40:48" x14ac:dyDescent="0.25">
      <c r="AN603" t="s">
        <v>42</v>
      </c>
      <c r="AO603" t="s">
        <v>26</v>
      </c>
      <c r="AP603">
        <v>2007</v>
      </c>
      <c r="AQ603" t="s">
        <v>36</v>
      </c>
      <c r="AR603" t="s">
        <v>306</v>
      </c>
      <c r="AS603" t="s">
        <v>352</v>
      </c>
      <c r="AT603" t="s">
        <v>316</v>
      </c>
      <c r="AU603" t="s">
        <v>311</v>
      </c>
      <c r="AV603">
        <v>8.8000000000000007</v>
      </c>
    </row>
    <row r="604" spans="40:48" x14ac:dyDescent="0.25">
      <c r="AN604" t="s">
        <v>42</v>
      </c>
      <c r="AO604" t="s">
        <v>26</v>
      </c>
      <c r="AP604">
        <v>2007</v>
      </c>
      <c r="AQ604" t="s">
        <v>36</v>
      </c>
      <c r="AR604" t="s">
        <v>306</v>
      </c>
      <c r="AS604" t="s">
        <v>352</v>
      </c>
      <c r="AT604" t="s">
        <v>316</v>
      </c>
      <c r="AU604" t="s">
        <v>268</v>
      </c>
      <c r="AV604">
        <v>11.2</v>
      </c>
    </row>
    <row r="605" spans="40:48" x14ac:dyDescent="0.25">
      <c r="AN605" t="s">
        <v>42</v>
      </c>
      <c r="AO605" t="s">
        <v>26</v>
      </c>
      <c r="AP605">
        <v>2007</v>
      </c>
      <c r="AQ605" t="s">
        <v>36</v>
      </c>
      <c r="AR605" t="s">
        <v>306</v>
      </c>
      <c r="AS605" t="s">
        <v>352</v>
      </c>
      <c r="AT605" t="s">
        <v>242</v>
      </c>
      <c r="AU605" t="s">
        <v>310</v>
      </c>
      <c r="AV605">
        <v>1.8</v>
      </c>
    </row>
    <row r="606" spans="40:48" x14ac:dyDescent="0.25">
      <c r="AN606" t="s">
        <v>42</v>
      </c>
      <c r="AO606" t="s">
        <v>26</v>
      </c>
      <c r="AP606">
        <v>2007</v>
      </c>
      <c r="AQ606" t="s">
        <v>36</v>
      </c>
      <c r="AR606" t="s">
        <v>306</v>
      </c>
      <c r="AS606" t="s">
        <v>352</v>
      </c>
      <c r="AT606" t="s">
        <v>242</v>
      </c>
      <c r="AU606" t="s">
        <v>311</v>
      </c>
      <c r="AV606">
        <v>7.9</v>
      </c>
    </row>
    <row r="607" spans="40:48" x14ac:dyDescent="0.25">
      <c r="AN607" t="s">
        <v>42</v>
      </c>
      <c r="AO607" t="s">
        <v>26</v>
      </c>
      <c r="AP607">
        <v>2007</v>
      </c>
      <c r="AQ607" t="s">
        <v>36</v>
      </c>
      <c r="AR607" t="s">
        <v>306</v>
      </c>
      <c r="AS607" t="s">
        <v>352</v>
      </c>
      <c r="AT607" t="s">
        <v>242</v>
      </c>
      <c r="AU607" t="s">
        <v>268</v>
      </c>
      <c r="AV607">
        <v>9.6999999999999993</v>
      </c>
    </row>
    <row r="608" spans="40:48" x14ac:dyDescent="0.25">
      <c r="AN608" t="s">
        <v>42</v>
      </c>
      <c r="AO608" t="s">
        <v>26</v>
      </c>
      <c r="AP608">
        <v>2007</v>
      </c>
      <c r="AQ608" t="s">
        <v>36</v>
      </c>
      <c r="AR608" t="s">
        <v>306</v>
      </c>
      <c r="AS608" t="s">
        <v>352</v>
      </c>
      <c r="AT608" t="s">
        <v>243</v>
      </c>
      <c r="AU608" t="s">
        <v>337</v>
      </c>
      <c r="AV608">
        <v>15.000000000000002</v>
      </c>
    </row>
    <row r="609" spans="40:48" x14ac:dyDescent="0.25">
      <c r="AN609" t="s">
        <v>42</v>
      </c>
      <c r="AO609" t="s">
        <v>26</v>
      </c>
      <c r="AP609">
        <v>2007</v>
      </c>
      <c r="AQ609" t="s">
        <v>36</v>
      </c>
      <c r="AR609" t="s">
        <v>306</v>
      </c>
      <c r="AS609" t="s">
        <v>352</v>
      </c>
      <c r="AT609" t="s">
        <v>243</v>
      </c>
      <c r="AU609" t="s">
        <v>338</v>
      </c>
      <c r="AV609">
        <v>47.699999999999996</v>
      </c>
    </row>
    <row r="610" spans="40:48" x14ac:dyDescent="0.25">
      <c r="AN610" t="s">
        <v>42</v>
      </c>
      <c r="AO610" t="s">
        <v>26</v>
      </c>
      <c r="AP610">
        <v>2007</v>
      </c>
      <c r="AQ610" t="s">
        <v>36</v>
      </c>
      <c r="AR610" t="s">
        <v>306</v>
      </c>
      <c r="AS610" t="s">
        <v>352</v>
      </c>
      <c r="AT610" t="s">
        <v>243</v>
      </c>
      <c r="AU610" t="s">
        <v>349</v>
      </c>
      <c r="AV610">
        <v>62.7</v>
      </c>
    </row>
    <row r="611" spans="40:48" x14ac:dyDescent="0.25">
      <c r="AN611" t="s">
        <v>48</v>
      </c>
      <c r="AO611" t="s">
        <v>26</v>
      </c>
      <c r="AP611">
        <v>2006</v>
      </c>
      <c r="AQ611" t="s">
        <v>36</v>
      </c>
      <c r="AR611" t="s">
        <v>306</v>
      </c>
      <c r="AS611" t="s">
        <v>352</v>
      </c>
      <c r="AT611" t="s">
        <v>218</v>
      </c>
      <c r="AU611" t="s">
        <v>310</v>
      </c>
      <c r="AV611">
        <v>3.2</v>
      </c>
    </row>
    <row r="612" spans="40:48" x14ac:dyDescent="0.25">
      <c r="AN612" t="s">
        <v>48</v>
      </c>
      <c r="AO612" t="s">
        <v>26</v>
      </c>
      <c r="AP612">
        <v>2006</v>
      </c>
      <c r="AQ612" t="s">
        <v>36</v>
      </c>
      <c r="AR612" t="s">
        <v>306</v>
      </c>
      <c r="AS612" t="s">
        <v>352</v>
      </c>
      <c r="AT612" t="s">
        <v>218</v>
      </c>
      <c r="AU612" t="s">
        <v>311</v>
      </c>
      <c r="AV612">
        <v>7.9</v>
      </c>
    </row>
    <row r="613" spans="40:48" x14ac:dyDescent="0.25">
      <c r="AN613" t="s">
        <v>48</v>
      </c>
      <c r="AO613" t="s">
        <v>26</v>
      </c>
      <c r="AP613">
        <v>2006</v>
      </c>
      <c r="AQ613" t="s">
        <v>36</v>
      </c>
      <c r="AR613" t="s">
        <v>306</v>
      </c>
      <c r="AS613" t="s">
        <v>352</v>
      </c>
      <c r="AT613" t="s">
        <v>218</v>
      </c>
      <c r="AU613" t="s">
        <v>268</v>
      </c>
      <c r="AV613">
        <v>11.1</v>
      </c>
    </row>
    <row r="614" spans="40:48" x14ac:dyDescent="0.25">
      <c r="AN614" t="s">
        <v>48</v>
      </c>
      <c r="AO614" t="s">
        <v>26</v>
      </c>
      <c r="AP614">
        <v>2006</v>
      </c>
      <c r="AQ614" t="s">
        <v>36</v>
      </c>
      <c r="AR614" t="s">
        <v>306</v>
      </c>
      <c r="AS614" t="s">
        <v>352</v>
      </c>
      <c r="AT614" t="s">
        <v>238</v>
      </c>
      <c r="AU614" t="s">
        <v>310</v>
      </c>
      <c r="AV614">
        <v>2.6</v>
      </c>
    </row>
    <row r="615" spans="40:48" x14ac:dyDescent="0.25">
      <c r="AN615" t="s">
        <v>48</v>
      </c>
      <c r="AO615" t="s">
        <v>26</v>
      </c>
      <c r="AP615">
        <v>2006</v>
      </c>
      <c r="AQ615" t="s">
        <v>36</v>
      </c>
      <c r="AR615" t="s">
        <v>306</v>
      </c>
      <c r="AS615" t="s">
        <v>352</v>
      </c>
      <c r="AT615" t="s">
        <v>238</v>
      </c>
      <c r="AU615" t="s">
        <v>311</v>
      </c>
      <c r="AV615">
        <v>7</v>
      </c>
    </row>
    <row r="616" spans="40:48" x14ac:dyDescent="0.25">
      <c r="AN616" t="s">
        <v>48</v>
      </c>
      <c r="AO616" t="s">
        <v>26</v>
      </c>
      <c r="AP616">
        <v>2006</v>
      </c>
      <c r="AQ616" t="s">
        <v>36</v>
      </c>
      <c r="AR616" t="s">
        <v>306</v>
      </c>
      <c r="AS616" t="s">
        <v>352</v>
      </c>
      <c r="AT616" t="s">
        <v>238</v>
      </c>
      <c r="AU616" t="s">
        <v>268</v>
      </c>
      <c r="AV616">
        <v>9.6</v>
      </c>
    </row>
    <row r="617" spans="40:48" x14ac:dyDescent="0.25">
      <c r="AN617" t="s">
        <v>48</v>
      </c>
      <c r="AO617" t="s">
        <v>26</v>
      </c>
      <c r="AP617">
        <v>2006</v>
      </c>
      <c r="AQ617" t="s">
        <v>36</v>
      </c>
      <c r="AR617" t="s">
        <v>306</v>
      </c>
      <c r="AS617" t="s">
        <v>352</v>
      </c>
      <c r="AT617" t="s">
        <v>239</v>
      </c>
      <c r="AU617" t="s">
        <v>310</v>
      </c>
      <c r="AV617">
        <v>2.2000000000000002</v>
      </c>
    </row>
    <row r="618" spans="40:48" x14ac:dyDescent="0.25">
      <c r="AN618" t="s">
        <v>48</v>
      </c>
      <c r="AO618" t="s">
        <v>26</v>
      </c>
      <c r="AP618">
        <v>2006</v>
      </c>
      <c r="AQ618" t="s">
        <v>36</v>
      </c>
      <c r="AR618" t="s">
        <v>306</v>
      </c>
      <c r="AS618" t="s">
        <v>352</v>
      </c>
      <c r="AT618" t="s">
        <v>239</v>
      </c>
      <c r="AU618" t="s">
        <v>311</v>
      </c>
      <c r="AV618">
        <v>7.6</v>
      </c>
    </row>
    <row r="619" spans="40:48" x14ac:dyDescent="0.25">
      <c r="AN619" t="s">
        <v>48</v>
      </c>
      <c r="AO619" t="s">
        <v>26</v>
      </c>
      <c r="AP619">
        <v>2006</v>
      </c>
      <c r="AQ619" t="s">
        <v>36</v>
      </c>
      <c r="AR619" t="s">
        <v>306</v>
      </c>
      <c r="AS619" t="s">
        <v>352</v>
      </c>
      <c r="AT619" t="s">
        <v>239</v>
      </c>
      <c r="AU619" t="s">
        <v>268</v>
      </c>
      <c r="AV619">
        <v>9.8000000000000007</v>
      </c>
    </row>
    <row r="620" spans="40:48" x14ac:dyDescent="0.25">
      <c r="AN620" t="s">
        <v>48</v>
      </c>
      <c r="AO620" t="s">
        <v>26</v>
      </c>
      <c r="AP620">
        <v>2006</v>
      </c>
      <c r="AQ620" t="s">
        <v>36</v>
      </c>
      <c r="AR620" t="s">
        <v>306</v>
      </c>
      <c r="AS620" t="s">
        <v>352</v>
      </c>
      <c r="AT620" t="s">
        <v>240</v>
      </c>
      <c r="AU620" t="s">
        <v>310</v>
      </c>
      <c r="AV620">
        <v>1.6</v>
      </c>
    </row>
    <row r="621" spans="40:48" x14ac:dyDescent="0.25">
      <c r="AN621" t="s">
        <v>48</v>
      </c>
      <c r="AO621" t="s">
        <v>26</v>
      </c>
      <c r="AP621">
        <v>2006</v>
      </c>
      <c r="AQ621" t="s">
        <v>36</v>
      </c>
      <c r="AR621" t="s">
        <v>306</v>
      </c>
      <c r="AS621" t="s">
        <v>352</v>
      </c>
      <c r="AT621" t="s">
        <v>240</v>
      </c>
      <c r="AU621" t="s">
        <v>311</v>
      </c>
      <c r="AV621">
        <v>8.5</v>
      </c>
    </row>
    <row r="622" spans="40:48" x14ac:dyDescent="0.25">
      <c r="AN622" t="s">
        <v>48</v>
      </c>
      <c r="AO622" t="s">
        <v>26</v>
      </c>
      <c r="AP622">
        <v>2006</v>
      </c>
      <c r="AQ622" t="s">
        <v>36</v>
      </c>
      <c r="AR622" t="s">
        <v>306</v>
      </c>
      <c r="AS622" t="s">
        <v>352</v>
      </c>
      <c r="AT622" t="s">
        <v>240</v>
      </c>
      <c r="AU622" t="s">
        <v>268</v>
      </c>
      <c r="AV622">
        <v>10.1</v>
      </c>
    </row>
    <row r="623" spans="40:48" x14ac:dyDescent="0.25">
      <c r="AN623" t="s">
        <v>48</v>
      </c>
      <c r="AO623" t="s">
        <v>26</v>
      </c>
      <c r="AP623">
        <v>2006</v>
      </c>
      <c r="AQ623" t="s">
        <v>36</v>
      </c>
      <c r="AR623" t="s">
        <v>306</v>
      </c>
      <c r="AS623" t="s">
        <v>352</v>
      </c>
      <c r="AT623" t="s">
        <v>316</v>
      </c>
      <c r="AU623" t="s">
        <v>310</v>
      </c>
      <c r="AV623">
        <v>2.4</v>
      </c>
    </row>
    <row r="624" spans="40:48" x14ac:dyDescent="0.25">
      <c r="AN624" t="s">
        <v>48</v>
      </c>
      <c r="AO624" t="s">
        <v>26</v>
      </c>
      <c r="AP624">
        <v>2006</v>
      </c>
      <c r="AQ624" t="s">
        <v>36</v>
      </c>
      <c r="AR624" t="s">
        <v>306</v>
      </c>
      <c r="AS624" t="s">
        <v>352</v>
      </c>
      <c r="AT624" t="s">
        <v>316</v>
      </c>
      <c r="AU624" t="s">
        <v>311</v>
      </c>
      <c r="AV624">
        <v>9</v>
      </c>
    </row>
    <row r="625" spans="40:48" x14ac:dyDescent="0.25">
      <c r="AN625" t="s">
        <v>48</v>
      </c>
      <c r="AO625" t="s">
        <v>26</v>
      </c>
      <c r="AP625">
        <v>2006</v>
      </c>
      <c r="AQ625" t="s">
        <v>36</v>
      </c>
      <c r="AR625" t="s">
        <v>306</v>
      </c>
      <c r="AS625" t="s">
        <v>352</v>
      </c>
      <c r="AT625" t="s">
        <v>316</v>
      </c>
      <c r="AU625" t="s">
        <v>268</v>
      </c>
      <c r="AV625">
        <v>11.4</v>
      </c>
    </row>
    <row r="626" spans="40:48" x14ac:dyDescent="0.25">
      <c r="AN626" t="s">
        <v>48</v>
      </c>
      <c r="AO626" t="s">
        <v>26</v>
      </c>
      <c r="AP626">
        <v>2006</v>
      </c>
      <c r="AQ626" t="s">
        <v>36</v>
      </c>
      <c r="AR626" t="s">
        <v>306</v>
      </c>
      <c r="AS626" t="s">
        <v>352</v>
      </c>
      <c r="AT626" t="s">
        <v>242</v>
      </c>
      <c r="AU626" t="s">
        <v>310</v>
      </c>
      <c r="AV626">
        <v>1.9</v>
      </c>
    </row>
    <row r="627" spans="40:48" x14ac:dyDescent="0.25">
      <c r="AN627" t="s">
        <v>48</v>
      </c>
      <c r="AO627" t="s">
        <v>26</v>
      </c>
      <c r="AP627">
        <v>2006</v>
      </c>
      <c r="AQ627" t="s">
        <v>36</v>
      </c>
      <c r="AR627" t="s">
        <v>306</v>
      </c>
      <c r="AS627" t="s">
        <v>352</v>
      </c>
      <c r="AT627" t="s">
        <v>242</v>
      </c>
      <c r="AU627" t="s">
        <v>311</v>
      </c>
      <c r="AV627">
        <v>8.1999999999999993</v>
      </c>
    </row>
    <row r="628" spans="40:48" x14ac:dyDescent="0.25">
      <c r="AN628" t="s">
        <v>48</v>
      </c>
      <c r="AO628" t="s">
        <v>26</v>
      </c>
      <c r="AP628">
        <v>2006</v>
      </c>
      <c r="AQ628" t="s">
        <v>36</v>
      </c>
      <c r="AR628" t="s">
        <v>306</v>
      </c>
      <c r="AS628" t="s">
        <v>352</v>
      </c>
      <c r="AT628" t="s">
        <v>242</v>
      </c>
      <c r="AU628" t="s">
        <v>268</v>
      </c>
      <c r="AV628">
        <v>10.1</v>
      </c>
    </row>
    <row r="629" spans="40:48" x14ac:dyDescent="0.25">
      <c r="AN629" t="s">
        <v>48</v>
      </c>
      <c r="AO629" t="s">
        <v>26</v>
      </c>
      <c r="AP629">
        <v>2006</v>
      </c>
      <c r="AQ629" t="s">
        <v>36</v>
      </c>
      <c r="AR629" t="s">
        <v>306</v>
      </c>
      <c r="AS629" t="s">
        <v>352</v>
      </c>
      <c r="AT629" t="s">
        <v>243</v>
      </c>
      <c r="AU629" t="s">
        <v>337</v>
      </c>
      <c r="AV629">
        <v>13.9</v>
      </c>
    </row>
    <row r="630" spans="40:48" x14ac:dyDescent="0.25">
      <c r="AN630" t="s">
        <v>48</v>
      </c>
      <c r="AO630" t="s">
        <v>26</v>
      </c>
      <c r="AP630">
        <v>2006</v>
      </c>
      <c r="AQ630" t="s">
        <v>36</v>
      </c>
      <c r="AR630" t="s">
        <v>306</v>
      </c>
      <c r="AS630" t="s">
        <v>352</v>
      </c>
      <c r="AT630" t="s">
        <v>243</v>
      </c>
      <c r="AU630" t="s">
        <v>338</v>
      </c>
      <c r="AV630">
        <v>48.2</v>
      </c>
    </row>
    <row r="631" spans="40:48" x14ac:dyDescent="0.25">
      <c r="AN631" t="s">
        <v>48</v>
      </c>
      <c r="AO631" t="s">
        <v>26</v>
      </c>
      <c r="AP631">
        <v>2006</v>
      </c>
      <c r="AQ631" t="s">
        <v>36</v>
      </c>
      <c r="AR631" t="s">
        <v>306</v>
      </c>
      <c r="AS631" t="s">
        <v>352</v>
      </c>
      <c r="AT631" t="s">
        <v>243</v>
      </c>
      <c r="AU631" t="s">
        <v>349</v>
      </c>
      <c r="AV631">
        <v>62.1</v>
      </c>
    </row>
    <row r="632" spans="40:48" x14ac:dyDescent="0.25">
      <c r="AN632" t="s">
        <v>46</v>
      </c>
      <c r="AO632" t="s">
        <v>26</v>
      </c>
      <c r="AP632">
        <v>2006</v>
      </c>
      <c r="AQ632" t="s">
        <v>36</v>
      </c>
      <c r="AR632" t="s">
        <v>306</v>
      </c>
      <c r="AS632" t="s">
        <v>352</v>
      </c>
      <c r="AT632" t="s">
        <v>218</v>
      </c>
      <c r="AU632" t="s">
        <v>310</v>
      </c>
      <c r="AV632">
        <v>2.9</v>
      </c>
    </row>
    <row r="633" spans="40:48" x14ac:dyDescent="0.25">
      <c r="AN633" t="s">
        <v>46</v>
      </c>
      <c r="AO633" t="s">
        <v>26</v>
      </c>
      <c r="AP633">
        <v>2006</v>
      </c>
      <c r="AQ633" t="s">
        <v>36</v>
      </c>
      <c r="AR633" t="s">
        <v>306</v>
      </c>
      <c r="AS633" t="s">
        <v>352</v>
      </c>
      <c r="AT633" t="s">
        <v>218</v>
      </c>
      <c r="AU633" t="s">
        <v>311</v>
      </c>
      <c r="AV633">
        <v>7.8</v>
      </c>
    </row>
    <row r="634" spans="40:48" x14ac:dyDescent="0.25">
      <c r="AN634" t="s">
        <v>46</v>
      </c>
      <c r="AO634" t="s">
        <v>26</v>
      </c>
      <c r="AP634">
        <v>2006</v>
      </c>
      <c r="AQ634" t="s">
        <v>36</v>
      </c>
      <c r="AR634" t="s">
        <v>306</v>
      </c>
      <c r="AS634" t="s">
        <v>352</v>
      </c>
      <c r="AT634" t="s">
        <v>218</v>
      </c>
      <c r="AU634" t="s">
        <v>268</v>
      </c>
      <c r="AV634">
        <v>10.7</v>
      </c>
    </row>
    <row r="635" spans="40:48" x14ac:dyDescent="0.25">
      <c r="AN635" t="s">
        <v>46</v>
      </c>
      <c r="AO635" t="s">
        <v>26</v>
      </c>
      <c r="AP635">
        <v>2006</v>
      </c>
      <c r="AQ635" t="s">
        <v>36</v>
      </c>
      <c r="AR635" t="s">
        <v>306</v>
      </c>
      <c r="AS635" t="s">
        <v>352</v>
      </c>
      <c r="AT635" t="s">
        <v>238</v>
      </c>
      <c r="AU635" t="s">
        <v>310</v>
      </c>
      <c r="AV635">
        <v>2.5</v>
      </c>
    </row>
    <row r="636" spans="40:48" x14ac:dyDescent="0.25">
      <c r="AN636" t="s">
        <v>46</v>
      </c>
      <c r="AO636" t="s">
        <v>26</v>
      </c>
      <c r="AP636">
        <v>2006</v>
      </c>
      <c r="AQ636" t="s">
        <v>36</v>
      </c>
      <c r="AR636" t="s">
        <v>306</v>
      </c>
      <c r="AS636" t="s">
        <v>352</v>
      </c>
      <c r="AT636" t="s">
        <v>238</v>
      </c>
      <c r="AU636" t="s">
        <v>311</v>
      </c>
      <c r="AV636">
        <v>5.5</v>
      </c>
    </row>
    <row r="637" spans="40:48" x14ac:dyDescent="0.25">
      <c r="AN637" t="s">
        <v>46</v>
      </c>
      <c r="AO637" t="s">
        <v>26</v>
      </c>
      <c r="AP637">
        <v>2006</v>
      </c>
      <c r="AQ637" t="s">
        <v>36</v>
      </c>
      <c r="AR637" t="s">
        <v>306</v>
      </c>
      <c r="AS637" t="s">
        <v>352</v>
      </c>
      <c r="AT637" t="s">
        <v>238</v>
      </c>
      <c r="AU637" t="s">
        <v>268</v>
      </c>
      <c r="AV637">
        <v>8</v>
      </c>
    </row>
    <row r="638" spans="40:48" x14ac:dyDescent="0.25">
      <c r="AN638" t="s">
        <v>46</v>
      </c>
      <c r="AO638" t="s">
        <v>26</v>
      </c>
      <c r="AP638">
        <v>2006</v>
      </c>
      <c r="AQ638" t="s">
        <v>36</v>
      </c>
      <c r="AR638" t="s">
        <v>306</v>
      </c>
      <c r="AS638" t="s">
        <v>352</v>
      </c>
      <c r="AT638" t="s">
        <v>239</v>
      </c>
      <c r="AU638" t="s">
        <v>310</v>
      </c>
      <c r="AV638">
        <v>1.7</v>
      </c>
    </row>
    <row r="639" spans="40:48" x14ac:dyDescent="0.25">
      <c r="AN639" t="s">
        <v>46</v>
      </c>
      <c r="AO639" t="s">
        <v>26</v>
      </c>
      <c r="AP639">
        <v>2006</v>
      </c>
      <c r="AQ639" t="s">
        <v>36</v>
      </c>
      <c r="AR639" t="s">
        <v>306</v>
      </c>
      <c r="AS639" t="s">
        <v>352</v>
      </c>
      <c r="AT639" t="s">
        <v>239</v>
      </c>
      <c r="AU639" t="s">
        <v>311</v>
      </c>
      <c r="AV639">
        <v>7.7</v>
      </c>
    </row>
    <row r="640" spans="40:48" x14ac:dyDescent="0.25">
      <c r="AN640" t="s">
        <v>46</v>
      </c>
      <c r="AO640" t="s">
        <v>26</v>
      </c>
      <c r="AP640">
        <v>2006</v>
      </c>
      <c r="AQ640" t="s">
        <v>36</v>
      </c>
      <c r="AR640" t="s">
        <v>306</v>
      </c>
      <c r="AS640" t="s">
        <v>352</v>
      </c>
      <c r="AT640" t="s">
        <v>239</v>
      </c>
      <c r="AU640" t="s">
        <v>268</v>
      </c>
      <c r="AV640">
        <v>9.4</v>
      </c>
    </row>
    <row r="641" spans="40:48" x14ac:dyDescent="0.25">
      <c r="AN641" t="s">
        <v>46</v>
      </c>
      <c r="AO641" t="s">
        <v>26</v>
      </c>
      <c r="AP641">
        <v>2006</v>
      </c>
      <c r="AQ641" t="s">
        <v>36</v>
      </c>
      <c r="AR641" t="s">
        <v>306</v>
      </c>
      <c r="AS641" t="s">
        <v>352</v>
      </c>
      <c r="AT641" t="s">
        <v>240</v>
      </c>
      <c r="AU641" t="s">
        <v>310</v>
      </c>
      <c r="AV641">
        <v>1.6</v>
      </c>
    </row>
    <row r="642" spans="40:48" x14ac:dyDescent="0.25">
      <c r="AN642" t="s">
        <v>46</v>
      </c>
      <c r="AO642" t="s">
        <v>26</v>
      </c>
      <c r="AP642">
        <v>2006</v>
      </c>
      <c r="AQ642" t="s">
        <v>36</v>
      </c>
      <c r="AR642" t="s">
        <v>306</v>
      </c>
      <c r="AS642" t="s">
        <v>352</v>
      </c>
      <c r="AT642" t="s">
        <v>240</v>
      </c>
      <c r="AU642" t="s">
        <v>311</v>
      </c>
      <c r="AV642">
        <v>8.8000000000000007</v>
      </c>
    </row>
    <row r="643" spans="40:48" x14ac:dyDescent="0.25">
      <c r="AN643" t="s">
        <v>46</v>
      </c>
      <c r="AO643" t="s">
        <v>26</v>
      </c>
      <c r="AP643">
        <v>2006</v>
      </c>
      <c r="AQ643" t="s">
        <v>36</v>
      </c>
      <c r="AR643" t="s">
        <v>306</v>
      </c>
      <c r="AS643" t="s">
        <v>352</v>
      </c>
      <c r="AT643" t="s">
        <v>240</v>
      </c>
      <c r="AU643" t="s">
        <v>268</v>
      </c>
      <c r="AV643">
        <v>10.4</v>
      </c>
    </row>
    <row r="644" spans="40:48" x14ac:dyDescent="0.25">
      <c r="AN644" t="s">
        <v>46</v>
      </c>
      <c r="AO644" t="s">
        <v>26</v>
      </c>
      <c r="AP644">
        <v>2006</v>
      </c>
      <c r="AQ644" t="s">
        <v>36</v>
      </c>
      <c r="AR644" t="s">
        <v>306</v>
      </c>
      <c r="AS644" t="s">
        <v>352</v>
      </c>
      <c r="AT644" t="s">
        <v>316</v>
      </c>
      <c r="AU644" t="s">
        <v>310</v>
      </c>
      <c r="AV644">
        <v>2.4</v>
      </c>
    </row>
    <row r="645" spans="40:48" x14ac:dyDescent="0.25">
      <c r="AN645" t="s">
        <v>46</v>
      </c>
      <c r="AO645" t="s">
        <v>26</v>
      </c>
      <c r="AP645">
        <v>2006</v>
      </c>
      <c r="AQ645" t="s">
        <v>36</v>
      </c>
      <c r="AR645" t="s">
        <v>306</v>
      </c>
      <c r="AS645" t="s">
        <v>352</v>
      </c>
      <c r="AT645" t="s">
        <v>316</v>
      </c>
      <c r="AU645" t="s">
        <v>311</v>
      </c>
      <c r="AV645">
        <v>8</v>
      </c>
    </row>
    <row r="646" spans="40:48" x14ac:dyDescent="0.25">
      <c r="AN646" t="s">
        <v>46</v>
      </c>
      <c r="AO646" t="s">
        <v>26</v>
      </c>
      <c r="AP646">
        <v>2006</v>
      </c>
      <c r="AQ646" t="s">
        <v>36</v>
      </c>
      <c r="AR646" t="s">
        <v>306</v>
      </c>
      <c r="AS646" t="s">
        <v>352</v>
      </c>
      <c r="AT646" t="s">
        <v>316</v>
      </c>
      <c r="AU646" t="s">
        <v>268</v>
      </c>
      <c r="AV646">
        <v>10.4</v>
      </c>
    </row>
    <row r="647" spans="40:48" x14ac:dyDescent="0.25">
      <c r="AN647" t="s">
        <v>46</v>
      </c>
      <c r="AO647" t="s">
        <v>26</v>
      </c>
      <c r="AP647">
        <v>2006</v>
      </c>
      <c r="AQ647" t="s">
        <v>36</v>
      </c>
      <c r="AR647" t="s">
        <v>306</v>
      </c>
      <c r="AS647" t="s">
        <v>352</v>
      </c>
      <c r="AT647" t="s">
        <v>242</v>
      </c>
      <c r="AU647" t="s">
        <v>310</v>
      </c>
      <c r="AV647">
        <v>1.5</v>
      </c>
    </row>
    <row r="648" spans="40:48" x14ac:dyDescent="0.25">
      <c r="AN648" t="s">
        <v>46</v>
      </c>
      <c r="AO648" t="s">
        <v>26</v>
      </c>
      <c r="AP648">
        <v>2006</v>
      </c>
      <c r="AQ648" t="s">
        <v>36</v>
      </c>
      <c r="AR648" t="s">
        <v>306</v>
      </c>
      <c r="AS648" t="s">
        <v>352</v>
      </c>
      <c r="AT648" t="s">
        <v>242</v>
      </c>
      <c r="AU648" t="s">
        <v>311</v>
      </c>
      <c r="AV648">
        <v>2.5</v>
      </c>
    </row>
    <row r="649" spans="40:48" x14ac:dyDescent="0.25">
      <c r="AN649" t="s">
        <v>46</v>
      </c>
      <c r="AO649" t="s">
        <v>26</v>
      </c>
      <c r="AP649">
        <v>2006</v>
      </c>
      <c r="AQ649" t="s">
        <v>36</v>
      </c>
      <c r="AR649" t="s">
        <v>306</v>
      </c>
      <c r="AS649" t="s">
        <v>352</v>
      </c>
      <c r="AT649" t="s">
        <v>242</v>
      </c>
      <c r="AU649" t="s">
        <v>268</v>
      </c>
      <c r="AV649">
        <v>4</v>
      </c>
    </row>
    <row r="650" spans="40:48" x14ac:dyDescent="0.25">
      <c r="AN650" t="s">
        <v>46</v>
      </c>
      <c r="AO650" t="s">
        <v>26</v>
      </c>
      <c r="AP650">
        <v>2006</v>
      </c>
      <c r="AQ650" t="s">
        <v>36</v>
      </c>
      <c r="AR650" t="s">
        <v>306</v>
      </c>
      <c r="AS650" t="s">
        <v>352</v>
      </c>
      <c r="AT650" t="s">
        <v>243</v>
      </c>
      <c r="AU650" t="s">
        <v>337</v>
      </c>
      <c r="AV650">
        <v>12.600000000000001</v>
      </c>
    </row>
    <row r="651" spans="40:48" x14ac:dyDescent="0.25">
      <c r="AN651" t="s">
        <v>46</v>
      </c>
      <c r="AO651" t="s">
        <v>26</v>
      </c>
      <c r="AP651">
        <v>2006</v>
      </c>
      <c r="AQ651" t="s">
        <v>36</v>
      </c>
      <c r="AR651" t="s">
        <v>306</v>
      </c>
      <c r="AS651" t="s">
        <v>352</v>
      </c>
      <c r="AT651" t="s">
        <v>243</v>
      </c>
      <c r="AU651" t="s">
        <v>338</v>
      </c>
      <c r="AV651">
        <v>40.299999999999997</v>
      </c>
    </row>
    <row r="652" spans="40:48" x14ac:dyDescent="0.25">
      <c r="AN652" t="s">
        <v>46</v>
      </c>
      <c r="AO652" t="s">
        <v>26</v>
      </c>
      <c r="AP652">
        <v>2006</v>
      </c>
      <c r="AQ652" t="s">
        <v>36</v>
      </c>
      <c r="AR652" t="s">
        <v>306</v>
      </c>
      <c r="AS652" t="s">
        <v>352</v>
      </c>
      <c r="AT652" t="s">
        <v>243</v>
      </c>
      <c r="AU652" t="s">
        <v>349</v>
      </c>
      <c r="AV652">
        <v>52.9</v>
      </c>
    </row>
    <row r="653" spans="40:48" x14ac:dyDescent="0.25">
      <c r="AN653" t="s">
        <v>114</v>
      </c>
      <c r="AO653" t="s">
        <v>26</v>
      </c>
      <c r="AP653">
        <v>2006</v>
      </c>
      <c r="AQ653" t="s">
        <v>36</v>
      </c>
      <c r="AR653" t="s">
        <v>307</v>
      </c>
      <c r="AS653" t="s">
        <v>352</v>
      </c>
      <c r="AT653" t="s">
        <v>218</v>
      </c>
      <c r="AU653" t="s">
        <v>310</v>
      </c>
      <c r="AV653">
        <v>3.4</v>
      </c>
    </row>
    <row r="654" spans="40:48" x14ac:dyDescent="0.25">
      <c r="AN654" t="s">
        <v>114</v>
      </c>
      <c r="AO654" t="s">
        <v>26</v>
      </c>
      <c r="AP654">
        <v>2006</v>
      </c>
      <c r="AQ654" t="s">
        <v>36</v>
      </c>
      <c r="AR654" t="s">
        <v>307</v>
      </c>
      <c r="AS654" t="s">
        <v>352</v>
      </c>
      <c r="AT654" t="s">
        <v>218</v>
      </c>
      <c r="AU654" t="s">
        <v>311</v>
      </c>
      <c r="AV654">
        <v>7.1</v>
      </c>
    </row>
    <row r="655" spans="40:48" x14ac:dyDescent="0.25">
      <c r="AN655" t="s">
        <v>114</v>
      </c>
      <c r="AO655" t="s">
        <v>26</v>
      </c>
      <c r="AP655">
        <v>2006</v>
      </c>
      <c r="AQ655" t="s">
        <v>36</v>
      </c>
      <c r="AR655" t="s">
        <v>307</v>
      </c>
      <c r="AS655" t="s">
        <v>352</v>
      </c>
      <c r="AT655" t="s">
        <v>218</v>
      </c>
      <c r="AU655" t="s">
        <v>268</v>
      </c>
      <c r="AV655">
        <v>10.5</v>
      </c>
    </row>
    <row r="656" spans="40:48" x14ac:dyDescent="0.25">
      <c r="AN656" t="s">
        <v>114</v>
      </c>
      <c r="AO656" t="s">
        <v>26</v>
      </c>
      <c r="AP656">
        <v>2006</v>
      </c>
      <c r="AQ656" t="s">
        <v>36</v>
      </c>
      <c r="AR656" t="s">
        <v>307</v>
      </c>
      <c r="AS656" t="s">
        <v>352</v>
      </c>
      <c r="AT656" t="s">
        <v>238</v>
      </c>
      <c r="AU656" t="s">
        <v>310</v>
      </c>
      <c r="AV656">
        <v>2.6</v>
      </c>
    </row>
    <row r="657" spans="40:48" x14ac:dyDescent="0.25">
      <c r="AN657" t="s">
        <v>114</v>
      </c>
      <c r="AO657" t="s">
        <v>26</v>
      </c>
      <c r="AP657">
        <v>2006</v>
      </c>
      <c r="AQ657" t="s">
        <v>36</v>
      </c>
      <c r="AR657" t="s">
        <v>307</v>
      </c>
      <c r="AS657" t="s">
        <v>352</v>
      </c>
      <c r="AT657" t="s">
        <v>238</v>
      </c>
      <c r="AU657" t="s">
        <v>311</v>
      </c>
      <c r="AV657">
        <v>6.5</v>
      </c>
    </row>
    <row r="658" spans="40:48" x14ac:dyDescent="0.25">
      <c r="AN658" t="s">
        <v>114</v>
      </c>
      <c r="AO658" t="s">
        <v>26</v>
      </c>
      <c r="AP658">
        <v>2006</v>
      </c>
      <c r="AQ658" t="s">
        <v>36</v>
      </c>
      <c r="AR658" t="s">
        <v>307</v>
      </c>
      <c r="AS658" t="s">
        <v>352</v>
      </c>
      <c r="AT658" t="s">
        <v>238</v>
      </c>
      <c r="AU658" t="s">
        <v>268</v>
      </c>
      <c r="AV658">
        <v>9.1</v>
      </c>
    </row>
    <row r="659" spans="40:48" x14ac:dyDescent="0.25">
      <c r="AN659" t="s">
        <v>114</v>
      </c>
      <c r="AO659" t="s">
        <v>26</v>
      </c>
      <c r="AP659">
        <v>2006</v>
      </c>
      <c r="AQ659" t="s">
        <v>36</v>
      </c>
      <c r="AR659" t="s">
        <v>307</v>
      </c>
      <c r="AS659" t="s">
        <v>352</v>
      </c>
      <c r="AT659" t="s">
        <v>239</v>
      </c>
      <c r="AU659" t="s">
        <v>310</v>
      </c>
      <c r="AV659">
        <v>0</v>
      </c>
    </row>
    <row r="660" spans="40:48" x14ac:dyDescent="0.25">
      <c r="AN660" t="s">
        <v>114</v>
      </c>
      <c r="AO660" t="s">
        <v>26</v>
      </c>
      <c r="AP660">
        <v>2006</v>
      </c>
      <c r="AQ660" t="s">
        <v>36</v>
      </c>
      <c r="AR660" t="s">
        <v>307</v>
      </c>
      <c r="AS660" t="s">
        <v>352</v>
      </c>
      <c r="AT660" t="s">
        <v>239</v>
      </c>
      <c r="AU660" t="s">
        <v>311</v>
      </c>
      <c r="AV660">
        <v>0</v>
      </c>
    </row>
    <row r="661" spans="40:48" x14ac:dyDescent="0.25">
      <c r="AN661" t="s">
        <v>114</v>
      </c>
      <c r="AO661" t="s">
        <v>26</v>
      </c>
      <c r="AP661">
        <v>2006</v>
      </c>
      <c r="AQ661" t="s">
        <v>36</v>
      </c>
      <c r="AR661" t="s">
        <v>307</v>
      </c>
      <c r="AS661" t="s">
        <v>352</v>
      </c>
      <c r="AT661" t="s">
        <v>239</v>
      </c>
      <c r="AU661" t="s">
        <v>268</v>
      </c>
      <c r="AV661">
        <v>0</v>
      </c>
    </row>
    <row r="662" spans="40:48" x14ac:dyDescent="0.25">
      <c r="AN662" t="s">
        <v>114</v>
      </c>
      <c r="AO662" t="s">
        <v>26</v>
      </c>
      <c r="AP662">
        <v>2006</v>
      </c>
      <c r="AQ662" t="s">
        <v>36</v>
      </c>
      <c r="AR662" t="s">
        <v>307</v>
      </c>
      <c r="AS662" t="s">
        <v>352</v>
      </c>
      <c r="AT662" t="s">
        <v>240</v>
      </c>
      <c r="AU662" t="s">
        <v>310</v>
      </c>
      <c r="AV662">
        <v>1.6</v>
      </c>
    </row>
    <row r="663" spans="40:48" x14ac:dyDescent="0.25">
      <c r="AN663" t="s">
        <v>114</v>
      </c>
      <c r="AO663" t="s">
        <v>26</v>
      </c>
      <c r="AP663">
        <v>2006</v>
      </c>
      <c r="AQ663" t="s">
        <v>36</v>
      </c>
      <c r="AR663" t="s">
        <v>307</v>
      </c>
      <c r="AS663" t="s">
        <v>352</v>
      </c>
      <c r="AT663" t="s">
        <v>240</v>
      </c>
      <c r="AU663" t="s">
        <v>311</v>
      </c>
      <c r="AV663">
        <v>8.8000000000000007</v>
      </c>
    </row>
    <row r="664" spans="40:48" x14ac:dyDescent="0.25">
      <c r="AN664" t="s">
        <v>114</v>
      </c>
      <c r="AO664" t="s">
        <v>26</v>
      </c>
      <c r="AP664">
        <v>2006</v>
      </c>
      <c r="AQ664" t="s">
        <v>36</v>
      </c>
      <c r="AR664" t="s">
        <v>307</v>
      </c>
      <c r="AS664" t="s">
        <v>352</v>
      </c>
      <c r="AT664" t="s">
        <v>240</v>
      </c>
      <c r="AU664" t="s">
        <v>268</v>
      </c>
      <c r="AV664">
        <v>10.4</v>
      </c>
    </row>
    <row r="665" spans="40:48" x14ac:dyDescent="0.25">
      <c r="AN665" t="s">
        <v>114</v>
      </c>
      <c r="AO665" t="s">
        <v>26</v>
      </c>
      <c r="AP665">
        <v>2006</v>
      </c>
      <c r="AQ665" t="s">
        <v>36</v>
      </c>
      <c r="AR665" t="s">
        <v>307</v>
      </c>
      <c r="AS665" t="s">
        <v>352</v>
      </c>
      <c r="AT665" t="s">
        <v>316</v>
      </c>
      <c r="AU665" t="s">
        <v>310</v>
      </c>
      <c r="AV665">
        <v>2.4</v>
      </c>
    </row>
    <row r="666" spans="40:48" x14ac:dyDescent="0.25">
      <c r="AN666" t="s">
        <v>114</v>
      </c>
      <c r="AO666" t="s">
        <v>26</v>
      </c>
      <c r="AP666">
        <v>2006</v>
      </c>
      <c r="AQ666" t="s">
        <v>36</v>
      </c>
      <c r="AR666" t="s">
        <v>307</v>
      </c>
      <c r="AS666" t="s">
        <v>352</v>
      </c>
      <c r="AT666" t="s">
        <v>316</v>
      </c>
      <c r="AU666" t="s">
        <v>311</v>
      </c>
      <c r="AV666">
        <v>8.8000000000000007</v>
      </c>
    </row>
    <row r="667" spans="40:48" x14ac:dyDescent="0.25">
      <c r="AN667" t="s">
        <v>114</v>
      </c>
      <c r="AO667" t="s">
        <v>26</v>
      </c>
      <c r="AP667">
        <v>2006</v>
      </c>
      <c r="AQ667" t="s">
        <v>36</v>
      </c>
      <c r="AR667" t="s">
        <v>307</v>
      </c>
      <c r="AS667" t="s">
        <v>352</v>
      </c>
      <c r="AT667" t="s">
        <v>316</v>
      </c>
      <c r="AU667" t="s">
        <v>268</v>
      </c>
      <c r="AV667">
        <v>11.2</v>
      </c>
    </row>
    <row r="668" spans="40:48" x14ac:dyDescent="0.25">
      <c r="AN668" t="s">
        <v>114</v>
      </c>
      <c r="AO668" t="s">
        <v>26</v>
      </c>
      <c r="AP668">
        <v>2006</v>
      </c>
      <c r="AQ668" t="s">
        <v>36</v>
      </c>
      <c r="AR668" t="s">
        <v>307</v>
      </c>
      <c r="AS668" t="s">
        <v>352</v>
      </c>
      <c r="AT668" t="s">
        <v>242</v>
      </c>
      <c r="AU668" t="s">
        <v>310</v>
      </c>
      <c r="AV668">
        <v>1.8</v>
      </c>
    </row>
    <row r="669" spans="40:48" x14ac:dyDescent="0.25">
      <c r="AN669" t="s">
        <v>114</v>
      </c>
      <c r="AO669" t="s">
        <v>26</v>
      </c>
      <c r="AP669">
        <v>2006</v>
      </c>
      <c r="AQ669" t="s">
        <v>36</v>
      </c>
      <c r="AR669" t="s">
        <v>307</v>
      </c>
      <c r="AS669" t="s">
        <v>352</v>
      </c>
      <c r="AT669" t="s">
        <v>242</v>
      </c>
      <c r="AU669" t="s">
        <v>311</v>
      </c>
      <c r="AV669">
        <v>7.8</v>
      </c>
    </row>
    <row r="670" spans="40:48" x14ac:dyDescent="0.25">
      <c r="AN670" t="s">
        <v>114</v>
      </c>
      <c r="AO670" t="s">
        <v>26</v>
      </c>
      <c r="AP670">
        <v>2006</v>
      </c>
      <c r="AQ670" t="s">
        <v>36</v>
      </c>
      <c r="AR670" t="s">
        <v>307</v>
      </c>
      <c r="AS670" t="s">
        <v>352</v>
      </c>
      <c r="AT670" t="s">
        <v>242</v>
      </c>
      <c r="AU670" t="s">
        <v>268</v>
      </c>
      <c r="AV670">
        <v>9.6</v>
      </c>
    </row>
    <row r="671" spans="40:48" x14ac:dyDescent="0.25">
      <c r="AN671" t="s">
        <v>114</v>
      </c>
      <c r="AO671" t="s">
        <v>26</v>
      </c>
      <c r="AP671">
        <v>2006</v>
      </c>
      <c r="AQ671" t="s">
        <v>36</v>
      </c>
      <c r="AR671" t="s">
        <v>307</v>
      </c>
      <c r="AS671" t="s">
        <v>352</v>
      </c>
      <c r="AT671" t="s">
        <v>243</v>
      </c>
      <c r="AU671" t="s">
        <v>337</v>
      </c>
      <c r="AV671">
        <v>0</v>
      </c>
    </row>
    <row r="672" spans="40:48" x14ac:dyDescent="0.25">
      <c r="AN672" t="s">
        <v>114</v>
      </c>
      <c r="AO672" t="s">
        <v>26</v>
      </c>
      <c r="AP672">
        <v>2006</v>
      </c>
      <c r="AQ672" t="s">
        <v>36</v>
      </c>
      <c r="AR672" t="s">
        <v>307</v>
      </c>
      <c r="AS672" t="s">
        <v>352</v>
      </c>
      <c r="AT672" t="s">
        <v>243</v>
      </c>
      <c r="AU672" t="s">
        <v>338</v>
      </c>
      <c r="AV672">
        <v>0</v>
      </c>
    </row>
    <row r="673" spans="40:48" x14ac:dyDescent="0.25">
      <c r="AN673" t="s">
        <v>114</v>
      </c>
      <c r="AO673" t="s">
        <v>26</v>
      </c>
      <c r="AP673">
        <v>2006</v>
      </c>
      <c r="AQ673" t="s">
        <v>36</v>
      </c>
      <c r="AR673" t="s">
        <v>307</v>
      </c>
      <c r="AS673" t="s">
        <v>352</v>
      </c>
      <c r="AT673" t="s">
        <v>243</v>
      </c>
      <c r="AU673" t="s">
        <v>349</v>
      </c>
      <c r="AV673">
        <v>50.8</v>
      </c>
    </row>
    <row r="674" spans="40:48" x14ac:dyDescent="0.25">
      <c r="AN674" t="s">
        <v>52</v>
      </c>
      <c r="AO674" t="s">
        <v>26</v>
      </c>
      <c r="AP674">
        <v>2006</v>
      </c>
      <c r="AQ674" t="s">
        <v>36</v>
      </c>
      <c r="AR674" t="s">
        <v>307</v>
      </c>
      <c r="AS674" t="s">
        <v>352</v>
      </c>
      <c r="AT674" t="s">
        <v>218</v>
      </c>
      <c r="AU674" t="s">
        <v>310</v>
      </c>
      <c r="AV674">
        <v>3.2</v>
      </c>
    </row>
    <row r="675" spans="40:48" x14ac:dyDescent="0.25">
      <c r="AN675" t="s">
        <v>52</v>
      </c>
      <c r="AO675" t="s">
        <v>26</v>
      </c>
      <c r="AP675">
        <v>2006</v>
      </c>
      <c r="AQ675" t="s">
        <v>36</v>
      </c>
      <c r="AR675" t="s">
        <v>307</v>
      </c>
      <c r="AS675" t="s">
        <v>352</v>
      </c>
      <c r="AT675" t="s">
        <v>218</v>
      </c>
      <c r="AU675" t="s">
        <v>311</v>
      </c>
      <c r="AV675">
        <v>6.9</v>
      </c>
    </row>
    <row r="676" spans="40:48" x14ac:dyDescent="0.25">
      <c r="AN676" t="s">
        <v>52</v>
      </c>
      <c r="AO676" t="s">
        <v>26</v>
      </c>
      <c r="AP676">
        <v>2006</v>
      </c>
      <c r="AQ676" t="s">
        <v>36</v>
      </c>
      <c r="AR676" t="s">
        <v>307</v>
      </c>
      <c r="AS676" t="s">
        <v>352</v>
      </c>
      <c r="AT676" t="s">
        <v>218</v>
      </c>
      <c r="AU676" t="s">
        <v>268</v>
      </c>
      <c r="AV676">
        <v>10.1</v>
      </c>
    </row>
    <row r="677" spans="40:48" x14ac:dyDescent="0.25">
      <c r="AN677" t="s">
        <v>52</v>
      </c>
      <c r="AO677" t="s">
        <v>26</v>
      </c>
      <c r="AP677">
        <v>2006</v>
      </c>
      <c r="AQ677" t="s">
        <v>36</v>
      </c>
      <c r="AR677" t="s">
        <v>307</v>
      </c>
      <c r="AS677" t="s">
        <v>352</v>
      </c>
      <c r="AT677" t="s">
        <v>238</v>
      </c>
      <c r="AU677" t="s">
        <v>310</v>
      </c>
      <c r="AV677">
        <v>2</v>
      </c>
    </row>
    <row r="678" spans="40:48" x14ac:dyDescent="0.25">
      <c r="AN678" t="s">
        <v>52</v>
      </c>
      <c r="AO678" t="s">
        <v>26</v>
      </c>
      <c r="AP678">
        <v>2006</v>
      </c>
      <c r="AQ678" t="s">
        <v>36</v>
      </c>
      <c r="AR678" t="s">
        <v>307</v>
      </c>
      <c r="AS678" t="s">
        <v>352</v>
      </c>
      <c r="AT678" t="s">
        <v>238</v>
      </c>
      <c r="AU678" t="s">
        <v>311</v>
      </c>
      <c r="AV678">
        <v>3.5</v>
      </c>
    </row>
    <row r="679" spans="40:48" x14ac:dyDescent="0.25">
      <c r="AN679" t="s">
        <v>52</v>
      </c>
      <c r="AO679" t="s">
        <v>26</v>
      </c>
      <c r="AP679">
        <v>2006</v>
      </c>
      <c r="AQ679" t="s">
        <v>36</v>
      </c>
      <c r="AR679" t="s">
        <v>307</v>
      </c>
      <c r="AS679" t="s">
        <v>352</v>
      </c>
      <c r="AT679" t="s">
        <v>238</v>
      </c>
      <c r="AU679" t="s">
        <v>268</v>
      </c>
      <c r="AV679">
        <v>5.5</v>
      </c>
    </row>
    <row r="680" spans="40:48" x14ac:dyDescent="0.25">
      <c r="AN680" t="s">
        <v>52</v>
      </c>
      <c r="AO680" t="s">
        <v>26</v>
      </c>
      <c r="AP680">
        <v>2006</v>
      </c>
      <c r="AQ680" t="s">
        <v>36</v>
      </c>
      <c r="AR680" t="s">
        <v>307</v>
      </c>
      <c r="AS680" t="s">
        <v>352</v>
      </c>
      <c r="AT680" t="s">
        <v>239</v>
      </c>
      <c r="AU680" t="s">
        <v>310</v>
      </c>
      <c r="AV680">
        <v>0</v>
      </c>
    </row>
    <row r="681" spans="40:48" x14ac:dyDescent="0.25">
      <c r="AN681" t="s">
        <v>52</v>
      </c>
      <c r="AO681" t="s">
        <v>26</v>
      </c>
      <c r="AP681">
        <v>2006</v>
      </c>
      <c r="AQ681" t="s">
        <v>36</v>
      </c>
      <c r="AR681" t="s">
        <v>307</v>
      </c>
      <c r="AS681" t="s">
        <v>352</v>
      </c>
      <c r="AT681" t="s">
        <v>239</v>
      </c>
      <c r="AU681" t="s">
        <v>311</v>
      </c>
      <c r="AV681">
        <v>0</v>
      </c>
    </row>
    <row r="682" spans="40:48" x14ac:dyDescent="0.25">
      <c r="AN682" t="s">
        <v>52</v>
      </c>
      <c r="AO682" t="s">
        <v>26</v>
      </c>
      <c r="AP682">
        <v>2006</v>
      </c>
      <c r="AQ682" t="s">
        <v>36</v>
      </c>
      <c r="AR682" t="s">
        <v>307</v>
      </c>
      <c r="AS682" t="s">
        <v>352</v>
      </c>
      <c r="AT682" t="s">
        <v>239</v>
      </c>
      <c r="AU682" t="s">
        <v>268</v>
      </c>
      <c r="AV682">
        <v>0</v>
      </c>
    </row>
    <row r="683" spans="40:48" x14ac:dyDescent="0.25">
      <c r="AN683" t="s">
        <v>52</v>
      </c>
      <c r="AO683" t="s">
        <v>26</v>
      </c>
      <c r="AP683">
        <v>2006</v>
      </c>
      <c r="AQ683" t="s">
        <v>36</v>
      </c>
      <c r="AR683" t="s">
        <v>307</v>
      </c>
      <c r="AS683" t="s">
        <v>352</v>
      </c>
      <c r="AT683" t="s">
        <v>240</v>
      </c>
      <c r="AU683" t="s">
        <v>310</v>
      </c>
      <c r="AV683">
        <v>2.4</v>
      </c>
    </row>
    <row r="684" spans="40:48" x14ac:dyDescent="0.25">
      <c r="AN684" t="s">
        <v>52</v>
      </c>
      <c r="AO684" t="s">
        <v>26</v>
      </c>
      <c r="AP684">
        <v>2006</v>
      </c>
      <c r="AQ684" t="s">
        <v>36</v>
      </c>
      <c r="AR684" t="s">
        <v>307</v>
      </c>
      <c r="AS684" t="s">
        <v>352</v>
      </c>
      <c r="AT684" t="s">
        <v>240</v>
      </c>
      <c r="AU684" t="s">
        <v>311</v>
      </c>
      <c r="AV684">
        <v>8.1999999999999993</v>
      </c>
    </row>
    <row r="685" spans="40:48" x14ac:dyDescent="0.25">
      <c r="AN685" t="s">
        <v>52</v>
      </c>
      <c r="AO685" t="s">
        <v>26</v>
      </c>
      <c r="AP685">
        <v>2006</v>
      </c>
      <c r="AQ685" t="s">
        <v>36</v>
      </c>
      <c r="AR685" t="s">
        <v>307</v>
      </c>
      <c r="AS685" t="s">
        <v>352</v>
      </c>
      <c r="AT685" t="s">
        <v>240</v>
      </c>
      <c r="AU685" t="s">
        <v>268</v>
      </c>
      <c r="AV685">
        <v>10.6</v>
      </c>
    </row>
    <row r="686" spans="40:48" x14ac:dyDescent="0.25">
      <c r="AN686" t="s">
        <v>52</v>
      </c>
      <c r="AO686" t="s">
        <v>26</v>
      </c>
      <c r="AP686">
        <v>2006</v>
      </c>
      <c r="AQ686" t="s">
        <v>36</v>
      </c>
      <c r="AR686" t="s">
        <v>307</v>
      </c>
      <c r="AS686" t="s">
        <v>352</v>
      </c>
      <c r="AT686" t="s">
        <v>316</v>
      </c>
      <c r="AU686" t="s">
        <v>310</v>
      </c>
      <c r="AV686">
        <v>2.4</v>
      </c>
    </row>
    <row r="687" spans="40:48" x14ac:dyDescent="0.25">
      <c r="AN687" t="s">
        <v>52</v>
      </c>
      <c r="AO687" t="s">
        <v>26</v>
      </c>
      <c r="AP687">
        <v>2006</v>
      </c>
      <c r="AQ687" t="s">
        <v>36</v>
      </c>
      <c r="AR687" t="s">
        <v>307</v>
      </c>
      <c r="AS687" t="s">
        <v>352</v>
      </c>
      <c r="AT687" t="s">
        <v>316</v>
      </c>
      <c r="AU687" t="s">
        <v>311</v>
      </c>
      <c r="AV687">
        <v>8.5</v>
      </c>
    </row>
    <row r="688" spans="40:48" x14ac:dyDescent="0.25">
      <c r="AN688" t="s">
        <v>52</v>
      </c>
      <c r="AO688" t="s">
        <v>26</v>
      </c>
      <c r="AP688">
        <v>2006</v>
      </c>
      <c r="AQ688" t="s">
        <v>36</v>
      </c>
      <c r="AR688" t="s">
        <v>307</v>
      </c>
      <c r="AS688" t="s">
        <v>352</v>
      </c>
      <c r="AT688" t="s">
        <v>316</v>
      </c>
      <c r="AU688" t="s">
        <v>268</v>
      </c>
      <c r="AV688">
        <v>10.9</v>
      </c>
    </row>
    <row r="689" spans="40:48" x14ac:dyDescent="0.25">
      <c r="AN689" t="s">
        <v>52</v>
      </c>
      <c r="AO689" t="s">
        <v>26</v>
      </c>
      <c r="AP689">
        <v>2006</v>
      </c>
      <c r="AQ689" t="s">
        <v>36</v>
      </c>
      <c r="AR689" t="s">
        <v>307</v>
      </c>
      <c r="AS689" t="s">
        <v>352</v>
      </c>
      <c r="AT689" t="s">
        <v>242</v>
      </c>
      <c r="AU689" t="s">
        <v>310</v>
      </c>
      <c r="AV689">
        <v>0</v>
      </c>
    </row>
    <row r="690" spans="40:48" x14ac:dyDescent="0.25">
      <c r="AN690" t="s">
        <v>52</v>
      </c>
      <c r="AO690" t="s">
        <v>26</v>
      </c>
      <c r="AP690">
        <v>2006</v>
      </c>
      <c r="AQ690" t="s">
        <v>36</v>
      </c>
      <c r="AR690" t="s">
        <v>307</v>
      </c>
      <c r="AS690" t="s">
        <v>352</v>
      </c>
      <c r="AT690" t="s">
        <v>242</v>
      </c>
      <c r="AU690" t="s">
        <v>311</v>
      </c>
      <c r="AV690">
        <v>0</v>
      </c>
    </row>
    <row r="691" spans="40:48" x14ac:dyDescent="0.25">
      <c r="AN691" t="s">
        <v>52</v>
      </c>
      <c r="AO691" t="s">
        <v>26</v>
      </c>
      <c r="AP691">
        <v>2006</v>
      </c>
      <c r="AQ691" t="s">
        <v>36</v>
      </c>
      <c r="AR691" t="s">
        <v>307</v>
      </c>
      <c r="AS691" t="s">
        <v>352</v>
      </c>
      <c r="AT691" t="s">
        <v>242</v>
      </c>
      <c r="AU691" t="s">
        <v>268</v>
      </c>
      <c r="AV691">
        <v>0</v>
      </c>
    </row>
    <row r="692" spans="40:48" x14ac:dyDescent="0.25">
      <c r="AN692" t="s">
        <v>52</v>
      </c>
      <c r="AO692" t="s">
        <v>26</v>
      </c>
      <c r="AP692">
        <v>2006</v>
      </c>
      <c r="AQ692" t="s">
        <v>36</v>
      </c>
      <c r="AR692" t="s">
        <v>307</v>
      </c>
      <c r="AS692" t="s">
        <v>352</v>
      </c>
      <c r="AT692" t="s">
        <v>243</v>
      </c>
      <c r="AU692" t="s">
        <v>337</v>
      </c>
      <c r="AV692">
        <v>0</v>
      </c>
    </row>
    <row r="693" spans="40:48" x14ac:dyDescent="0.25">
      <c r="AN693" t="s">
        <v>52</v>
      </c>
      <c r="AO693" t="s">
        <v>26</v>
      </c>
      <c r="AP693">
        <v>2006</v>
      </c>
      <c r="AQ693" t="s">
        <v>36</v>
      </c>
      <c r="AR693" t="s">
        <v>307</v>
      </c>
      <c r="AS693" t="s">
        <v>352</v>
      </c>
      <c r="AT693" t="s">
        <v>243</v>
      </c>
      <c r="AU693" t="s">
        <v>338</v>
      </c>
      <c r="AV693">
        <v>0</v>
      </c>
    </row>
    <row r="694" spans="40:48" x14ac:dyDescent="0.25">
      <c r="AN694" t="s">
        <v>52</v>
      </c>
      <c r="AO694" t="s">
        <v>26</v>
      </c>
      <c r="AP694">
        <v>2006</v>
      </c>
      <c r="AQ694" t="s">
        <v>36</v>
      </c>
      <c r="AR694" t="s">
        <v>307</v>
      </c>
      <c r="AS694" t="s">
        <v>352</v>
      </c>
      <c r="AT694" t="s">
        <v>243</v>
      </c>
      <c r="AU694" t="s">
        <v>349</v>
      </c>
      <c r="AV694">
        <v>37.1</v>
      </c>
    </row>
  </sheetData>
  <mergeCells count="2">
    <mergeCell ref="AD2:AD8"/>
    <mergeCell ref="AD9:AD15"/>
  </mergeCells>
  <phoneticPr fontId="1" type="noConversion"/>
  <conditionalFormatting sqref="B2:B34">
    <cfRule type="expression" dxfId="157" priority="332">
      <formula>IF($C2="junior",$AB2=MAX(_xlfn._xlws.FILTER($AB$2:$AB$39,$C$2:$C$39="junior")),$AB2=MAX(_xlfn._xlws.FILTER($AB$2:$AB$39,$C$2:$C$39="senior")))</formula>
    </cfRule>
    <cfRule type="expression" dxfId="156" priority="333">
      <formula>IF($C2="junior",$AB2=LARGE(_xlfn._xlws.FILTER($AB$2:$AB$39,$C$2:$C$39="junior"),2),$AB2=LARGE(_xlfn._xlws.FILTER($AB$2:$AB$39,$C$2:$C$39="senior"),2))</formula>
    </cfRule>
    <cfRule type="expression" dxfId="155" priority="334">
      <formula>IF($C2="junior",$AB2=LARGE(_xlfn._xlws.FILTER($AB$2:$AB$39,$C$2:$C$39="junior"),3),$AB2=LARGE(_xlfn._xlws.FILTER($AB$2:$AB$39,$C$2:$C$39="senior"),3))</formula>
    </cfRule>
    <cfRule type="expression" dxfId="154" priority="335">
      <formula>IF($C2="junior",Z2=MAX(_xlfn._xlws.FILTER($Z$2:$Z$39,$C$2:$C$39="junior")),Z2=MAX(_xlfn._xlws.FILTER($Z$2:$Z$39,$C$2:$C$39="senior")))</formula>
    </cfRule>
    <cfRule type="expression" dxfId="153" priority="336">
      <formula>IF($C2="junior",$AA2=MAX(_xlfn._xlws.FILTER($AA$2:$AA$39,$C$2:$C$39="junior")),$AA2=MAX(_xlfn._xlws.FILTER($AA$2:$AA$39,$C$2:$C$39="junior")))</formula>
    </cfRule>
  </conditionalFormatting>
  <conditionalFormatting sqref="H2:H34 K2:K34 N1:N34 Q1:Q34 T1:T34 W1:W34">
    <cfRule type="expression" dxfId="152" priority="28">
      <formula>AND(AND($C1="junior",H1&lt;2.6),H1&gt;0)</formula>
    </cfRule>
    <cfRule type="expression" dxfId="151" priority="29">
      <formula>AND(AND($C1="senior",H1&lt;2.9),H1&gt;0)</formula>
    </cfRule>
  </conditionalFormatting>
  <conditionalFormatting sqref="H2:H34">
    <cfRule type="expression" dxfId="150" priority="26">
      <formula>IF($C2="junior",H2&gt;=$AF$10+$AG$10,H2&gt;=$AF$3+$AG$3)</formula>
    </cfRule>
  </conditionalFormatting>
  <conditionalFormatting sqref="H2:AB34">
    <cfRule type="cellIs" dxfId="149" priority="30" operator="equal">
      <formula>0</formula>
    </cfRule>
  </conditionalFormatting>
  <conditionalFormatting sqref="J2:J34">
    <cfRule type="expression" dxfId="148" priority="206">
      <formula>IF($C2="junior",J2=MAX(_xlfn._xlws.FILTER(J$2:J$39,$C$2:$C$39="junior")),J2=MAX(_xlfn._xlws.FILTER(J$2:J$39,$C$2:$C$39="senior")))</formula>
    </cfRule>
    <cfRule type="expression" dxfId="147" priority="207">
      <formula>IF($C2="junior",J2&gt;=$AJ$10+$AK$10,J2&gt;=$AJ$3+$AK$3)</formula>
    </cfRule>
  </conditionalFormatting>
  <conditionalFormatting sqref="K2:K34">
    <cfRule type="expression" dxfId="146" priority="11">
      <formula>IF($C2="junior",K2&gt;=$AF$13+$AG$13,K2&gt;=$AF$6+$AG$6)</formula>
    </cfRule>
  </conditionalFormatting>
  <conditionalFormatting sqref="M2:M34">
    <cfRule type="expression" dxfId="145" priority="224">
      <formula>IF($C2="junior",M2=MAX(_xlfn._xlws.FILTER(M$2:M$39,$C$2:$C$39="junior")),M2=MAX(_xlfn._xlws.FILTER(M$2:M$39,$C$2:$C$39="senior")))</formula>
    </cfRule>
    <cfRule type="expression" dxfId="144" priority="225">
      <formula>IF($C2="junior",M2&gt;=$AJ$13+$AK$13,M2&gt;=$AJ$6+$AK$6)</formula>
    </cfRule>
  </conditionalFormatting>
  <conditionalFormatting sqref="N2:N34">
    <cfRule type="expression" dxfId="143" priority="10">
      <formula>IF($C2="junior",N2&gt;=$AF$14+$AG$14,N2&gt;=$AF$7+$AG$7)</formula>
    </cfRule>
  </conditionalFormatting>
  <conditionalFormatting sqref="N35 Q35 T35 W35 N53:N1048576 Q53:Q1048576 T53:T1048576 W53:W1048576">
    <cfRule type="expression" dxfId="142" priority="54">
      <formula>AND(AND($C35="junior",N35&lt;2.6),N35&gt;0)</formula>
    </cfRule>
    <cfRule type="expression" dxfId="141" priority="55">
      <formula>AND(AND($C35="senior",N35&lt;2.9),N35&gt;0)</formula>
    </cfRule>
  </conditionalFormatting>
  <conditionalFormatting sqref="N36:N49 Q36:Q49 T36:T49 W36:W49">
    <cfRule type="expression" dxfId="140" priority="128">
      <formula>AND(AND($C38="junior",N36&lt;2.6),N36&gt;0)</formula>
    </cfRule>
    <cfRule type="expression" dxfId="139" priority="129">
      <formula>AND(AND($C38="senior",N36&lt;2.9),N36&gt;0)</formula>
    </cfRule>
  </conditionalFormatting>
  <conditionalFormatting sqref="N50:N52 Q50:Q52 T50:T52 W50:W52">
    <cfRule type="expression" dxfId="138" priority="118">
      <formula>AND(AND(#REF!="junior",N50&lt;2.6),N50&gt;0)</formula>
    </cfRule>
    <cfRule type="expression" dxfId="137" priority="119">
      <formula>AND(AND(#REF!="senior",N50&lt;2.9),N50&gt;0)</formula>
    </cfRule>
  </conditionalFormatting>
  <conditionalFormatting sqref="P2:P34">
    <cfRule type="expression" dxfId="136" priority="242">
      <formula>IF($C2="junior",P2=MAX(_xlfn._xlws.FILTER(P$2:P$39,$C$2:$C$39="junior")),P2=MAX(_xlfn._xlws.FILTER(P$2:P$39,$C$2:$C$39="senior")))</formula>
    </cfRule>
    <cfRule type="expression" dxfId="135" priority="243">
      <formula>IF($C2="junior",P2&gt;=$AJ$14+$AK$14,P2&gt;=$AJ$7+$AK$7)</formula>
    </cfRule>
  </conditionalFormatting>
  <conditionalFormatting sqref="Q2:Q34">
    <cfRule type="expression" dxfId="134" priority="9">
      <formula>IF($C2="junior",Q2&gt;=$AF$15+$AG$15,Q2&gt;=$AF$8+$AG$8)</formula>
    </cfRule>
  </conditionalFormatting>
  <conditionalFormatting sqref="S2:S34">
    <cfRule type="expression" dxfId="133" priority="260">
      <formula>IF($C2="junior",S2=MAX(_xlfn._xlws.FILTER(S$2:S$39,$C$2:$C$39="junior")),S2=MAX(_xlfn._xlws.FILTER(S$2:S$39,$C$2:$C$39="senior")))</formula>
    </cfRule>
    <cfRule type="expression" dxfId="132" priority="261">
      <formula>IF($C2="junior",S2&gt;=$AJ$15+$AK$15,S2&gt;=$AJ$8+$AK$8)</formula>
    </cfRule>
  </conditionalFormatting>
  <conditionalFormatting sqref="T2:T34">
    <cfRule type="expression" dxfId="131" priority="8">
      <formula>IF($C2="junior",T2&gt;=$AF$12+$AG$12,T2&gt;=$AF$5+$AG$5)</formula>
    </cfRule>
  </conditionalFormatting>
  <conditionalFormatting sqref="V2:V34">
    <cfRule type="expression" dxfId="130" priority="278">
      <formula>IF($C2="junior",V2=MAX(_xlfn._xlws.FILTER(V$2:V$39,$C$2:$C$39="junior")),V2=MAX(_xlfn._xlws.FILTER(V$2:V$39,$C$2:$C$39="senior")))</formula>
    </cfRule>
    <cfRule type="expression" dxfId="129" priority="279">
      <formula>IF($C2="junior",V2&gt;=$AJ$12+$AK$12,V2&gt;=$AJ$5+$AK$5)</formula>
    </cfRule>
  </conditionalFormatting>
  <conditionalFormatting sqref="W2:W34">
    <cfRule type="expression" dxfId="128" priority="7">
      <formula>IF($C2="junior",W2&gt;=$AF$11+$AG$11,W2&gt;=$AF$4+$AG$4)</formula>
    </cfRule>
  </conditionalFormatting>
  <conditionalFormatting sqref="Y2:Y34">
    <cfRule type="expression" dxfId="127" priority="296">
      <formula>IF($C2="junior",Y2=MAX(_xlfn._xlws.FILTER(Y$2:Y$39,$C$2:$C$39="junior")),Y2=MAX(_xlfn._xlws.FILTER(Y$2:Y$39,$C$2:$C$39="senior")))</formula>
    </cfRule>
    <cfRule type="expression" dxfId="126" priority="297">
      <formula>IF($C2="junior",Y2&gt;=$AJ$11+$AK$11,Y2&gt;=$AJ$4+$AK$4)</formula>
    </cfRule>
  </conditionalFormatting>
  <conditionalFormatting sqref="Z2:Z34">
    <cfRule type="expression" dxfId="125" priority="6">
      <formula>IF($C2="junior",Z2&gt;=$AF$9+$AG$9,Z2&gt;=$AF$2+$AG$2)</formula>
    </cfRule>
  </conditionalFormatting>
  <conditionalFormatting sqref="AA2:AA34">
    <cfRule type="expression" dxfId="124" priority="12">
      <formula>IF($C2="junior",AA2&gt;=$AH$9+$AI$9,AA2&gt;=$AH$2+$AI$2)</formula>
    </cfRule>
  </conditionalFormatting>
  <conditionalFormatting sqref="AB2:AB34">
    <cfRule type="expression" dxfId="123" priority="314">
      <formula>IF($C2="junior",AB2=MAX(_xlfn._xlws.FILTER(AB$2:AB$39,$C$2:$C$39="junior",$G$2:$G$33="Yes")),AB2=MAX(_xlfn._xlws.FILTER(AB$2:AB$39,$C$2:$C$39="senior",$G$2:$G$39="Yes")))</formula>
    </cfRule>
    <cfRule type="expression" dxfId="122" priority="315">
      <formula>IF($C2="junior",AB2&gt;=$AJ$9+$AK$9,AB2&gt;=$AJ$2+$AK$2)</formula>
    </cfRule>
  </conditionalFormatting>
  <pageMargins left="0.7" right="0.7" top="0.75" bottom="0.75" header="0.3" footer="0.3"/>
  <drawing r:id="rId2"/>
  <tableParts count="3">
    <tablePart r:id="rId3"/>
    <tablePart r:id="rId4"/>
    <tablePart r:id="rId5"/>
  </tableParts>
  <extLst>
    <ext xmlns:x14="http://schemas.microsoft.com/office/spreadsheetml/2009/9/main" uri="{A8765BA9-456A-4dab-B4F3-ACF838C121DE}">
      <x14:slicerList>
        <x14:slicer r:id="rId6"/>
      </x14:slicerList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099E64-90DF-5040-A1C2-836D3D85C530}">
  <sheetPr codeName="Arkusz6">
    <tabColor theme="5" tint="0.39997558519241921"/>
  </sheetPr>
  <dimension ref="A1:AC62"/>
  <sheetViews>
    <sheetView topLeftCell="D1" zoomScale="70" zoomScaleNormal="70" workbookViewId="0">
      <selection activeCell="L31" sqref="L31"/>
    </sheetView>
  </sheetViews>
  <sheetFormatPr defaultColWidth="11" defaultRowHeight="15.75" x14ac:dyDescent="0.25"/>
  <cols>
    <col min="1" max="1" width="23.125" bestFit="1" customWidth="1"/>
    <col min="2" max="2" width="18.5" style="2" customWidth="1"/>
    <col min="3" max="3" width="17" style="2" bestFit="1" customWidth="1"/>
    <col min="4" max="4" width="17.625" customWidth="1"/>
    <col min="5" max="5" width="27.125" style="2" bestFit="1" customWidth="1"/>
    <col min="6" max="6" width="25" style="2" bestFit="1" customWidth="1"/>
    <col min="7" max="7" width="24.375" style="7" bestFit="1" customWidth="1"/>
    <col min="8" max="8" width="28.875" style="7" bestFit="1" customWidth="1"/>
    <col min="9" max="9" width="21.75" style="2" bestFit="1" customWidth="1"/>
    <col min="10" max="10" width="21.375" style="7" bestFit="1" customWidth="1"/>
    <col min="11" max="11" width="12.375" style="7" customWidth="1"/>
    <col min="12" max="12" width="7.625" style="2" customWidth="1"/>
    <col min="13" max="13" width="7.625" style="7" customWidth="1"/>
    <col min="14" max="14" width="11" style="7" customWidth="1"/>
    <col min="15" max="15" width="7.625" style="2" customWidth="1"/>
    <col min="16" max="17" width="7.625" style="7" customWidth="1"/>
    <col min="18" max="20" width="7.625" style="2" customWidth="1"/>
    <col min="21" max="21" width="10.125" style="2" customWidth="1"/>
    <col min="22" max="23" width="7.625" style="2" customWidth="1"/>
    <col min="24" max="24" width="8.625" customWidth="1"/>
    <col min="25" max="25" width="17.125" bestFit="1" customWidth="1"/>
    <col min="26" max="26" width="15" customWidth="1"/>
    <col min="27" max="27" width="15.125" bestFit="1" customWidth="1"/>
    <col min="28" max="30" width="11" customWidth="1"/>
  </cols>
  <sheetData>
    <row r="1" spans="1:29" s="2" customFormat="1" x14ac:dyDescent="0.25">
      <c r="A1" s="2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145</v>
      </c>
      <c r="G1" s="2" t="s">
        <v>146</v>
      </c>
      <c r="H1" s="2" t="s">
        <v>147</v>
      </c>
      <c r="I1" s="2" t="s">
        <v>148</v>
      </c>
      <c r="J1" s="2" t="s">
        <v>149</v>
      </c>
      <c r="K1" s="2" t="s">
        <v>150</v>
      </c>
      <c r="L1" s="2" t="s">
        <v>151</v>
      </c>
      <c r="M1" s="2" t="s">
        <v>152</v>
      </c>
      <c r="N1" s="2" t="s">
        <v>153</v>
      </c>
      <c r="O1" s="2" t="s">
        <v>154</v>
      </c>
      <c r="P1" s="2" t="s">
        <v>155</v>
      </c>
      <c r="Q1" s="2" t="s">
        <v>156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</row>
    <row r="2" spans="1:29" x14ac:dyDescent="0.25">
      <c r="A2" t="s">
        <v>63</v>
      </c>
      <c r="B2" s="2" t="s">
        <v>60</v>
      </c>
      <c r="C2" s="2" t="s">
        <v>64</v>
      </c>
      <c r="D2" t="s">
        <v>39</v>
      </c>
      <c r="E2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" s="4">
        <v>5.8</v>
      </c>
      <c r="G2" s="7">
        <v>7.8</v>
      </c>
      <c r="H2" s="7">
        <v>13.6</v>
      </c>
      <c r="I2" s="4">
        <v>6</v>
      </c>
      <c r="J2" s="7">
        <v>6.6</v>
      </c>
      <c r="K2" s="7">
        <v>12.6</v>
      </c>
      <c r="L2" s="4">
        <v>5.6</v>
      </c>
      <c r="M2" s="7">
        <v>7.65</v>
      </c>
      <c r="N2" s="7">
        <v>13.25</v>
      </c>
      <c r="O2" s="4">
        <v>5.6</v>
      </c>
      <c r="P2" s="7">
        <v>6.65</v>
      </c>
      <c r="Q2" s="7">
        <v>12.25</v>
      </c>
      <c r="R2" s="4">
        <f>LARGE(CHOOSE({1;2;3;4},F2,I2,L2,O2),1)+LARGE(CHOOSE({1;2;3;4},F2,I2,L2,O2),2)+LARGE(CHOOSE({1;2;3;4},F2,I2,L2,O2),3)</f>
        <v>17.399999999999999</v>
      </c>
      <c r="S2" s="7">
        <f>LARGE(CHOOSE({1;2;3;4},G2,J2,M2,P2),1)+LARGE(CHOOSE({1;2;3;4},G2,J2,M2,P2),2)+LARGE(CHOOSE({1;2;3;4},G2,J2,M2,P2),3)</f>
        <v>22.1</v>
      </c>
      <c r="T2" s="7">
        <f>LARGE(CHOOSE({1;2;3;4},H2,K2,N2,Q2),1)+LARGE(CHOOSE({1;2;3;4},H2,K2,N2,Q2),2)+LARGE(CHOOSE({1;2;3;4},H2,K2,N2,Q2),3)</f>
        <v>39.450000000000003</v>
      </c>
      <c r="U2" s="4" cm="1">
        <f t="array" ref="U2">IF(FX[[#This Row],[Number_of_competition]:[Number_of_competition]]&gt;=3,(LARGE(CHOOSE({1;2;3;4},F2,I2,L2,O2),1)+LARGE(CHOOSE({1;2;3;4},F2,I2,L2,O2),2)+LARGE(CHOOSE({1;2;3;4},F2,I2,L2,O2),3))/3,0)</f>
        <v>5.8</v>
      </c>
      <c r="V2" s="7" cm="1">
        <f t="array" ref="V2">IF(FX[[#This Row],[Number_of_competition]:[Number_of_competition]]&gt;=3,(LARGE(CHOOSE({1;2;3;4},G2,J2,M2,P2),1)+LARGE(CHOOSE({1;2;3;4},G2,J2,M2,P2),2)+LARGE(CHOOSE({1;2;3;4},G2,J2,M2,P2),3))/3,0)</f>
        <v>7.3666666666666671</v>
      </c>
      <c r="W2" s="7" cm="1">
        <f t="array" ref="W2">IF(FX[[#This Row],[Number_of_competition]:[Number_of_competition]]&gt;=3,(LARGE(CHOOSE({1;2;3;4},H2,K2,N2,Q2),1)+LARGE(CHOOSE({1;2;3;4},H2,K2,N2,Q2),2)+LARGE(CHOOSE({1;2;3;4},H2,K2,N2,Q2),3))/3,0)</f>
        <v>13.15</v>
      </c>
      <c r="Y2" s="41" t="s">
        <v>60</v>
      </c>
      <c r="Z2" s="20" t="s">
        <v>269</v>
      </c>
      <c r="AA2" s="21" cm="1">
        <f t="array" ref="AA2">SUM(_xlfn._xlws.FILTER(FX[bydgoszcz_FX_Dscore],FX[Category]="senior"),_xlfn._xlws.FILTER(FX[zabrze_FX_Dscore],FX[Category]="senior"),_xlfn._xlws.FILTER(FX[cracow_FX_Dscore],FX[Category]="senior"),_xlfn._xlws.FILTER(FX[gdansk_FX_Dscore],FX[Category]="senior"))/(COUNTIFS(FX[bydgoszcz_FX_Dscore],"&gt;0",FX[Category],"senior")+COUNTIFS(FX[zabrze_FX_Dscore],"&gt;0",FX[Category],"senior")+COUNTIFS(FX[cracow_FX_Dscore],"&gt;0",FX[Category],"senior")+COUNTIFS(FX[gdansk_FX_Dscore],"&gt;0",FX[Category],"senior"))</f>
        <v>4.3048387096774192</v>
      </c>
      <c r="AB2" s="21" cm="1">
        <f t="array" ref="AB2">_xlfn.STDEV.S(_xlfn._xlws.FILTER(FX[bydgoszcz_FX_Dscore],(FX[Category]="senior")*(FX[bydgoszcz_FX_Dscore])&gt;0),_xlfn._xlws.FILTER(FX[zabrze_FX_Dscore],(FX[Category]="senior")*(FX[zabrze_FX_Dscore])&gt;0),_xlfn._xlws.FILTER(FX[cracow_FX_Dscore],(FX[Category]="senior")*(FX[cracow_FX_Dscore])&gt;0),_xlfn._xlws.FILTER(FX[gdansk_FX_Dscore],(FX[Category]="senior")*(FX[gdansk_FX_Dscore])&gt;0))</f>
        <v>0.655975664121489</v>
      </c>
      <c r="AC2" s="21" cm="1">
        <f t="array" ref="AC2">MAX(_xlfn._xlws.FILTER(FX[bydgoszcz_FX_Dscore],FX[Category]="senior"),_xlfn._xlws.FILTER(FX[zabrze_FX_Dscore],FX[Category]="senior"),_xlfn._xlws.FILTER(FX[cracow_FX_Dscore],FX[Category]="senior"),_xlfn._xlws.FILTER(FX[gdansk_FX_Dscore],FX[Category]="senior"))</f>
        <v>6</v>
      </c>
    </row>
    <row r="3" spans="1:29" x14ac:dyDescent="0.25">
      <c r="A3" t="s">
        <v>73</v>
      </c>
      <c r="B3" s="2" t="s">
        <v>60</v>
      </c>
      <c r="C3" s="2" t="s">
        <v>74</v>
      </c>
      <c r="D3" t="s">
        <v>62</v>
      </c>
      <c r="E3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" s="4">
        <v>4.7</v>
      </c>
      <c r="G3" s="7">
        <v>8.1</v>
      </c>
      <c r="H3" s="7">
        <v>12.8</v>
      </c>
      <c r="I3" s="4">
        <v>4.7</v>
      </c>
      <c r="J3" s="7">
        <v>8.6999999999999993</v>
      </c>
      <c r="K3" s="7">
        <v>13.4</v>
      </c>
      <c r="L3" s="4">
        <v>4.5</v>
      </c>
      <c r="M3" s="7">
        <v>8.15</v>
      </c>
      <c r="N3" s="7">
        <v>12.65</v>
      </c>
      <c r="O3" s="4">
        <v>4.7</v>
      </c>
      <c r="P3" s="7">
        <v>6.7</v>
      </c>
      <c r="Q3" s="7">
        <v>11.4</v>
      </c>
      <c r="R3" s="4">
        <f>LARGE(CHOOSE({1;2;3;4},F3,I3,L3,O3),1)+LARGE(CHOOSE({1;2;3;4},F3,I3,L3,O3),2)+LARGE(CHOOSE({1;2;3;4},F3,I3,L3,O3),3)</f>
        <v>14.100000000000001</v>
      </c>
      <c r="S3" s="7">
        <f>LARGE(CHOOSE({1;2;3;4},G3,J3,M3,P3),1)+LARGE(CHOOSE({1;2;3;4},G3,J3,M3,P3),2)+LARGE(CHOOSE({1;2;3;4},G3,J3,M3,P3),3)</f>
        <v>24.950000000000003</v>
      </c>
      <c r="T3" s="7">
        <f>LARGE(CHOOSE({1;2;3;4},H3,K3,N3,Q3),1)+LARGE(CHOOSE({1;2;3;4},H3,K3,N3,Q3),2)+LARGE(CHOOSE({1;2;3;4},H3,K3,N3,Q3),3)</f>
        <v>38.85</v>
      </c>
      <c r="U3" s="4" cm="1">
        <f t="array" ref="U3">IF(FX[[#This Row],[Number_of_competition]:[Number_of_competition]]&gt;=3,(LARGE(CHOOSE({1;2;3;4},F3,I3,L3,O3),1)+LARGE(CHOOSE({1;2;3;4},F3,I3,L3,O3),2)+LARGE(CHOOSE({1;2;3;4},F3,I3,L3,O3),3))/3,0)</f>
        <v>4.7</v>
      </c>
      <c r="V3" s="7" cm="1">
        <f t="array" ref="V3">IF(FX[[#This Row],[Number_of_competition]:[Number_of_competition]]&gt;=3,(LARGE(CHOOSE({1;2;3;4},G3,J3,M3,P3),1)+LARGE(CHOOSE({1;2;3;4},G3,J3,M3,P3),2)+LARGE(CHOOSE({1;2;3;4},G3,J3,M3,P3),3))/3,0)</f>
        <v>8.3166666666666682</v>
      </c>
      <c r="W3" s="7" cm="1">
        <f t="array" ref="W3">IF(FX[[#This Row],[Number_of_competition]:[Number_of_competition]]&gt;=3,(LARGE(CHOOSE({1;2;3;4},H3,K3,N3,Q3),1)+LARGE(CHOOSE({1;2;3;4},H3,K3,N3,Q3),2)+LARGE(CHOOSE({1;2;3;4},H3,K3,N3,Q3),3))/3,0)</f>
        <v>12.950000000000001</v>
      </c>
      <c r="Y3" s="42"/>
      <c r="Z3" s="20" t="s">
        <v>267</v>
      </c>
      <c r="AA3" s="22" cm="1">
        <f t="array" ref="AA3">SUM(_xlfn._xlws.FILTER(FX[bydgoszcz_FX_Escore],FX[Category]="senior"),_xlfn._xlws.FILTER(FX[zabrze_FX_Escore],FX[Category]="senior"),_xlfn._xlws.FILTER(FX[cracow_FX_Escore],FX[Category]="senior"),_xlfn._xlws.FILTER(FX[gdansk_FX_Escore],FX[Category]="senior"))/(COUNTIFS(FX[bydgoszcz_FX_Escore],"&gt;0",FX[Category],"senior")+COUNTIFS(FX[zabrze_FX_Escore],"&gt;0",FX[Category],"senior")+COUNTIFS(FX[cracow_FX_Escore],"&gt;0",FX[Category],"senior")+COUNTIFS(FX[gdansk_FX_Escore],"&gt;0",FX[Category],"senior"))</f>
        <v>7.507258064516126</v>
      </c>
      <c r="AB3" s="22" cm="1">
        <f t="array" ref="AB3">_xlfn.STDEV.S(_xlfn._xlws.FILTER(FX[bydgoszcz_FX_Escore],(FX[Category]="senior")*(FX[bydgoszcz_FX_Escore])&gt;0),_xlfn._xlws.FILTER(FX[zabrze_FX_Escore],(FX[Category]="senior")*(FX[zabrze_FX_Escore])&gt;0),_xlfn._xlws.FILTER(FX[cracow_FX_Escore],(FX[Category]="senior")*(FX[cracow_FX_Escore])&gt;0),_xlfn._xlws.FILTER(FX[gdansk_FX_Escore],(FX[Category]="senior")*(FX[gdansk_FX_Escore])&gt;0))</f>
        <v>0.88228683740522262</v>
      </c>
      <c r="AC3" s="22" cm="1">
        <f t="array" ref="AC3">MAX(_xlfn._xlws.FILTER(FX[bydgoszcz_FX_Escore],FX[Category]="senior"),_xlfn._xlws.FILTER(FX[zabrze_FX_Escore],FX[Category]="senior"),_xlfn._xlws.FILTER(FX[cracow_FX_Escore],FX[Category]="senior"),_xlfn._xlws.FILTER(FX[gdansk_FX_Escore],FX[Category]="senior"))</f>
        <v>9</v>
      </c>
    </row>
    <row r="4" spans="1:29" x14ac:dyDescent="0.25">
      <c r="A4" t="s">
        <v>59</v>
      </c>
      <c r="B4" s="2" t="s">
        <v>60</v>
      </c>
      <c r="C4" s="2" t="s">
        <v>61</v>
      </c>
      <c r="D4" t="s">
        <v>62</v>
      </c>
      <c r="E4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4" s="4">
        <v>0</v>
      </c>
      <c r="G4" s="7">
        <v>0</v>
      </c>
      <c r="H4" s="7">
        <v>0</v>
      </c>
      <c r="I4" s="4">
        <v>5.3</v>
      </c>
      <c r="J4" s="7">
        <v>8.15</v>
      </c>
      <c r="K4" s="7">
        <v>13.45</v>
      </c>
      <c r="L4" s="4">
        <v>5.3</v>
      </c>
      <c r="M4" s="7">
        <v>7.25</v>
      </c>
      <c r="N4" s="7">
        <v>12.55</v>
      </c>
      <c r="O4" s="4">
        <v>5.4</v>
      </c>
      <c r="P4" s="7">
        <v>7.4</v>
      </c>
      <c r="Q4" s="7">
        <v>12.8</v>
      </c>
      <c r="R4" s="4">
        <f>LARGE(CHOOSE({1;2;3;4},F4,I4,L4,O4),1)+LARGE(CHOOSE({1;2;3;4},F4,I4,L4,O4),2)+LARGE(CHOOSE({1;2;3;4},F4,I4,L4,O4),3)</f>
        <v>16</v>
      </c>
      <c r="S4" s="7">
        <f>LARGE(CHOOSE({1;2;3;4},G4,J4,M4,P4),1)+LARGE(CHOOSE({1;2;3;4},G4,J4,M4,P4),2)+LARGE(CHOOSE({1;2;3;4},G4,J4,M4,P4),3)</f>
        <v>22.8</v>
      </c>
      <c r="T4" s="7">
        <f>LARGE(CHOOSE({1;2;3;4},H4,K4,N4,Q4),1)+LARGE(CHOOSE({1;2;3;4},H4,K4,N4,Q4),2)+LARGE(CHOOSE({1;2;3;4},H4,K4,N4,Q4),3)</f>
        <v>38.799999999999997</v>
      </c>
      <c r="U4" s="4" cm="1">
        <f t="array" ref="U4">IF(FX[[#This Row],[Number_of_competition]:[Number_of_competition]]&gt;=3,(LARGE(CHOOSE({1;2;3;4},F4,I4,L4,O4),1)+LARGE(CHOOSE({1;2;3;4},F4,I4,L4,O4),2)+LARGE(CHOOSE({1;2;3;4},F4,I4,L4,O4),3))/3,0)</f>
        <v>5.333333333333333</v>
      </c>
      <c r="V4" s="7" cm="1">
        <f t="array" ref="V4">IF(FX[[#This Row],[Number_of_competition]:[Number_of_competition]]&gt;=3,(LARGE(CHOOSE({1;2;3;4},G4,J4,M4,P4),1)+LARGE(CHOOSE({1;2;3;4},G4,J4,M4,P4),2)+LARGE(CHOOSE({1;2;3;4},G4,J4,M4,P4),3))/3,0)</f>
        <v>7.6000000000000005</v>
      </c>
      <c r="W4" s="7" cm="1">
        <f t="array" ref="W4">IF(FX[[#This Row],[Number_of_competition]:[Number_of_competition]]&gt;=3,(LARGE(CHOOSE({1;2;3;4},H4,K4,N4,Q4),1)+LARGE(CHOOSE({1;2;3;4},H4,K4,N4,Q4),2)+LARGE(CHOOSE({1;2;3;4},H4,K4,N4,Q4),3))/3,0)</f>
        <v>12.933333333333332</v>
      </c>
      <c r="Y4" s="42"/>
      <c r="Z4" s="20" t="s">
        <v>268</v>
      </c>
      <c r="AA4" s="22" cm="1">
        <f t="array" ref="AA4">SUM(_xlfn._xlws.FILTER(FX[bydgoszcz_FX_Total_Score],FX[Category]="senior"),_xlfn._xlws.FILTER(FX[zabrze_FX_Total_Score],FX[Category]="senior"),_xlfn._xlws.FILTER(FX[cracow_FX_Total_Score],FX[Category]="senior"),_xlfn._xlws.FILTER(FX[gdansk_FX_Total_Score],FX[Category]="senior"))/(COUNTIFS(FX[bydgoszcz_FX_Total_Score],"&gt;0",FX[Category],"senior")+COUNTIFS(FX[zabrze_FX_Total_Score],"&gt;0",FX[Category],"senior")+COUNTIFS(FX[cracow_FX_Total_Score],"&gt;0",FX[Category],"senior")+COUNTIFS(FX[gdansk_FX_Total_Score],"&gt;0",FX[Category],"senior"))</f>
        <v>11.812096774193545</v>
      </c>
      <c r="AB4" s="22" cm="1">
        <f t="array" ref="AB4">_xlfn.STDEV.S(_xlfn._xlws.FILTER(FX[bydgoszcz_FX_Total_Score],(FX[Category]="senior")*(FX[bydgoszcz_FX_Total_Score])&gt;0),_xlfn._xlws.FILTER(FX[zabrze_FX_Total_Score],(FX[Category]="senior")*(FX[zabrze_FX_Total_Score])&gt;0),_xlfn._xlws.FILTER(FX[cracow_FX_Total_Score],(FX[Category]="senior")*(FX[cracow_FX_Total_Score])&gt;0),_xlfn._xlws.FILTER(FX[gdansk_FX_Total_Score],(FX[Category]="senior")*(FX[gdansk_FX_Total_Score])&gt;0))</f>
        <v>1.0005607232812159</v>
      </c>
      <c r="AC4" s="22" cm="1">
        <f t="array" ref="AC4">MAX(_xlfn._xlws.FILTER(FX[bydgoszcz_FX_Total_Score],FX[Category]="senior"),_xlfn._xlws.FILTER(FX[zabrze_FX_Total_Score],FX[Category]="senior"),_xlfn._xlws.FILTER(FX[cracow_FX_Total_Score],FX[Category]="senior"),_xlfn._xlws.FILTER(FX[gdansk_FX_Total_Score],FX[Category]="senior"))</f>
        <v>13.65</v>
      </c>
    </row>
    <row r="5" spans="1:29" x14ac:dyDescent="0.25">
      <c r="A5" t="s">
        <v>80</v>
      </c>
      <c r="B5" s="2" t="s">
        <v>60</v>
      </c>
      <c r="C5" s="2" t="s">
        <v>81</v>
      </c>
      <c r="D5" t="s">
        <v>62</v>
      </c>
      <c r="E5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5" s="4">
        <v>3.6</v>
      </c>
      <c r="G5" s="7">
        <v>9</v>
      </c>
      <c r="H5" s="7">
        <v>12.6</v>
      </c>
      <c r="I5" s="4">
        <v>3.4</v>
      </c>
      <c r="J5" s="7">
        <v>8.6999999999999993</v>
      </c>
      <c r="K5" s="7">
        <v>12.1</v>
      </c>
      <c r="L5" s="4">
        <v>3.6</v>
      </c>
      <c r="M5" s="7">
        <v>8.4</v>
      </c>
      <c r="N5" s="7">
        <v>12</v>
      </c>
      <c r="O5" s="4">
        <v>3.6</v>
      </c>
      <c r="P5" s="7">
        <v>7.45</v>
      </c>
      <c r="Q5" s="7">
        <v>11.05</v>
      </c>
      <c r="R5" s="4">
        <f>LARGE(CHOOSE({1;2;3;4},F5,I5,L5,O5),1)+LARGE(CHOOSE({1;2;3;4},F5,I5,L5,O5),2)+LARGE(CHOOSE({1;2;3;4},F5,I5,L5,O5),3)</f>
        <v>10.8</v>
      </c>
      <c r="S5" s="7">
        <f>LARGE(CHOOSE({1;2;3;4},G5,J5,M5,P5),1)+LARGE(CHOOSE({1;2;3;4},G5,J5,M5,P5),2)+LARGE(CHOOSE({1;2;3;4},G5,J5,M5,P5),3)</f>
        <v>26.1</v>
      </c>
      <c r="T5" s="7">
        <f>LARGE(CHOOSE({1;2;3;4},H5,K5,N5,Q5),1)+LARGE(CHOOSE({1;2;3;4},H5,K5,N5,Q5),2)+LARGE(CHOOSE({1;2;3;4},H5,K5,N5,Q5),3)</f>
        <v>36.700000000000003</v>
      </c>
      <c r="U5" s="4" cm="1">
        <f t="array" ref="U5">IF(FX[[#This Row],[Number_of_competition]:[Number_of_competition]]&gt;=3,(LARGE(CHOOSE({1;2;3;4},F5,I5,L5,O5),1)+LARGE(CHOOSE({1;2;3;4},F5,I5,L5,O5),2)+LARGE(CHOOSE({1;2;3;4},F5,I5,L5,O5),3))/3,0)</f>
        <v>3.6</v>
      </c>
      <c r="V5" s="7" cm="1">
        <f t="array" ref="V5">IF(FX[[#This Row],[Number_of_competition]:[Number_of_competition]]&gt;=3,(LARGE(CHOOSE({1;2;3;4},G5,J5,M5,P5),1)+LARGE(CHOOSE({1;2;3;4},G5,J5,M5,P5),2)+LARGE(CHOOSE({1;2;3;4},G5,J5,M5,P5),3))/3,0)</f>
        <v>8.7000000000000011</v>
      </c>
      <c r="W5" s="7" cm="1">
        <f t="array" ref="W5">IF(FX[[#This Row],[Number_of_competition]:[Number_of_competition]]&gt;=3,(LARGE(CHOOSE({1;2;3;4},H5,K5,N5,Q5),1)+LARGE(CHOOSE({1;2;3;4},H5,K5,N5,Q5),2)+LARGE(CHOOSE({1;2;3;4},H5,K5,N5,Q5),3))/3,0)</f>
        <v>12.233333333333334</v>
      </c>
      <c r="Y5" s="42"/>
      <c r="Z5" s="20" t="s">
        <v>275</v>
      </c>
      <c r="AA5" s="21" cm="1">
        <f t="array" ref="AA5">SUM(_xlfn._xlws.FILTER(FX[Year_Dscore],(FX[Category]="senior")*(FX[Number_of_competition]&gt;=3))/COUNTIFS(FX[Number_of_competition],"&gt;=3",FX[Category],"senior"))</f>
        <v>13.049999999999999</v>
      </c>
      <c r="AB5" s="21" cm="1">
        <f t="array" ref="AB5">_xlfn.STDEV.S(_xlfn._xlws.FILTER(FX[Year_Dscore],(FX[Category]="senior")*(FX[Number_of_competition]&gt;=3)))</f>
        <v>1.9085930086656155</v>
      </c>
      <c r="AC5" s="21" cm="1">
        <f t="array" ref="AC5">MAX(_xlfn._xlws.FILTER(FX[Year_Dscore],FX[Category]="senior"))</f>
        <v>17.399999999999999</v>
      </c>
    </row>
    <row r="6" spans="1:29" x14ac:dyDescent="0.25">
      <c r="A6" t="s">
        <v>86</v>
      </c>
      <c r="B6" s="2" t="s">
        <v>60</v>
      </c>
      <c r="C6" s="2" t="s">
        <v>87</v>
      </c>
      <c r="D6" t="s">
        <v>72</v>
      </c>
      <c r="E6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6" s="4">
        <v>4.2</v>
      </c>
      <c r="G6" s="7">
        <v>8.6</v>
      </c>
      <c r="H6" s="7">
        <v>12.8</v>
      </c>
      <c r="I6" s="4">
        <v>3.9</v>
      </c>
      <c r="J6" s="7">
        <v>8</v>
      </c>
      <c r="K6" s="7">
        <v>11.9</v>
      </c>
      <c r="L6" s="4">
        <v>4.2</v>
      </c>
      <c r="M6" s="7">
        <v>7.55</v>
      </c>
      <c r="N6" s="7">
        <v>11.75</v>
      </c>
      <c r="O6" s="4">
        <v>3.9</v>
      </c>
      <c r="P6" s="7">
        <v>7.2</v>
      </c>
      <c r="Q6" s="7">
        <v>11.1</v>
      </c>
      <c r="R6" s="4">
        <f>LARGE(CHOOSE({1;2;3;4},F6,I6,L6,O6),1)+LARGE(CHOOSE({1;2;3;4},F6,I6,L6,O6),2)+LARGE(CHOOSE({1;2;3;4},F6,I6,L6,O6),3)</f>
        <v>12.3</v>
      </c>
      <c r="S6" s="7">
        <f>LARGE(CHOOSE({1;2;3;4},G6,J6,M6,P6),1)+LARGE(CHOOSE({1;2;3;4},G6,J6,M6,P6),2)+LARGE(CHOOSE({1;2;3;4},G6,J6,M6,P6),3)</f>
        <v>24.150000000000002</v>
      </c>
      <c r="T6" s="7">
        <f>LARGE(CHOOSE({1;2;3;4},H6,K6,N6,Q6),1)+LARGE(CHOOSE({1;2;3;4},H6,K6,N6,Q6),2)+LARGE(CHOOSE({1;2;3;4},H6,K6,N6,Q6),3)</f>
        <v>36.450000000000003</v>
      </c>
      <c r="U6" s="4" cm="1">
        <f t="array" ref="U6">IF(FX[[#This Row],[Number_of_competition]:[Number_of_competition]]&gt;=3,(LARGE(CHOOSE({1;2;3;4},F6,I6,L6,O6),1)+LARGE(CHOOSE({1;2;3;4},F6,I6,L6,O6),2)+LARGE(CHOOSE({1;2;3;4},F6,I6,L6,O6),3))/3,0)</f>
        <v>4.1000000000000005</v>
      </c>
      <c r="V6" s="7" cm="1">
        <f t="array" ref="V6">IF(FX[[#This Row],[Number_of_competition]:[Number_of_competition]]&gt;=3,(LARGE(CHOOSE({1;2;3;4},G6,J6,M6,P6),1)+LARGE(CHOOSE({1;2;3;4},G6,J6,M6,P6),2)+LARGE(CHOOSE({1;2;3;4},G6,J6,M6,P6),3))/3,0)</f>
        <v>8.0500000000000007</v>
      </c>
      <c r="W6" s="7" cm="1">
        <f t="array" ref="W6">IF(FX[[#This Row],[Number_of_competition]:[Number_of_competition]]&gt;=3,(LARGE(CHOOSE({1;2;3;4},H6,K6,N6,Q6),1)+LARGE(CHOOSE({1;2;3;4},H6,K6,N6,Q6),2)+LARGE(CHOOSE({1;2;3;4},H6,K6,N6,Q6),3))/3,0)</f>
        <v>12.15</v>
      </c>
      <c r="Y6" s="42"/>
      <c r="Z6" s="20" t="s">
        <v>276</v>
      </c>
      <c r="AA6" s="22" cm="1">
        <f t="array" ref="AA6">SUM(_xlfn._xlws.FILTER(FX[Year_Escore],(FX[Category]="senior")*(FX[Number_of_competition]&gt;=3))/COUNTIFS(FX[Number_of_competition],"&gt;=3",FX[Category],"senior"))</f>
        <v>23.108333333333334</v>
      </c>
      <c r="AB6" s="22" cm="1">
        <f t="array" ref="AB6">_xlfn.STDEV.S(_xlfn._xlws.FILTER(FX[Year_Escore],(FX[Category]="senior")*(FX[Number_of_competition]&gt;=3)))</f>
        <v>1.3487086977976945</v>
      </c>
      <c r="AC6" s="22" cm="1">
        <f t="array" ref="AC6">MAX(_xlfn._xlws.FILTER(FX[Year_Escore],FX[Category]="senior"))</f>
        <v>26.1</v>
      </c>
    </row>
    <row r="7" spans="1:29" x14ac:dyDescent="0.25">
      <c r="A7" t="s">
        <v>84</v>
      </c>
      <c r="B7" s="2" t="s">
        <v>60</v>
      </c>
      <c r="C7" s="2" t="s">
        <v>85</v>
      </c>
      <c r="D7" t="s">
        <v>39</v>
      </c>
      <c r="E7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7" s="4">
        <v>4.5</v>
      </c>
      <c r="G7" s="7">
        <v>7.35</v>
      </c>
      <c r="H7" s="7">
        <v>11.85</v>
      </c>
      <c r="I7" s="4">
        <v>4.0999999999999996</v>
      </c>
      <c r="J7" s="7">
        <v>6.25</v>
      </c>
      <c r="K7" s="7">
        <v>10.35</v>
      </c>
      <c r="L7" s="4">
        <v>4.0999999999999996</v>
      </c>
      <c r="M7" s="7">
        <v>8.4</v>
      </c>
      <c r="N7" s="7">
        <v>12.5</v>
      </c>
      <c r="O7" s="4">
        <v>4.0999999999999996</v>
      </c>
      <c r="P7" s="7">
        <v>7.3</v>
      </c>
      <c r="Q7" s="7">
        <v>11.4</v>
      </c>
      <c r="R7" s="4">
        <f>LARGE(CHOOSE({1;2;3;4},F7,I7,L7,O7),1)+LARGE(CHOOSE({1;2;3;4},F7,I7,L7,O7),2)+LARGE(CHOOSE({1;2;3;4},F7,I7,L7,O7),3)</f>
        <v>12.7</v>
      </c>
      <c r="S7" s="7">
        <f>LARGE(CHOOSE({1;2;3;4},G7,J7,M7,P7),1)+LARGE(CHOOSE({1;2;3;4},G7,J7,M7,P7),2)+LARGE(CHOOSE({1;2;3;4},G7,J7,M7,P7),3)</f>
        <v>23.05</v>
      </c>
      <c r="T7" s="7">
        <f>LARGE(CHOOSE({1;2;3;4},H7,K7,N7,Q7),1)+LARGE(CHOOSE({1;2;3;4},H7,K7,N7,Q7),2)+LARGE(CHOOSE({1;2;3;4},H7,K7,N7,Q7),3)</f>
        <v>35.75</v>
      </c>
      <c r="U7" s="4" cm="1">
        <f t="array" ref="U7">IF(FX[[#This Row],[Number_of_competition]:[Number_of_competition]]&gt;=3,(LARGE(CHOOSE({1;2;3;4},F7,I7,L7,O7),1)+LARGE(CHOOSE({1;2;3;4},F7,I7,L7,O7),2)+LARGE(CHOOSE({1;2;3;4},F7,I7,L7,O7),3))/3,0)</f>
        <v>4.2333333333333334</v>
      </c>
      <c r="V7" s="7" cm="1">
        <f t="array" ref="V7">IF(FX[[#This Row],[Number_of_competition]:[Number_of_competition]]&gt;=3,(LARGE(CHOOSE({1;2;3;4},G7,J7,M7,P7),1)+LARGE(CHOOSE({1;2;3;4},G7,J7,M7,P7),2)+LARGE(CHOOSE({1;2;3;4},G7,J7,M7,P7),3))/3,0)</f>
        <v>7.6833333333333336</v>
      </c>
      <c r="W7" s="7" cm="1">
        <f t="array" ref="W7">IF(FX[[#This Row],[Number_of_competition]:[Number_of_competition]]&gt;=3,(LARGE(CHOOSE({1;2;3;4},H7,K7,N7,Q7),1)+LARGE(CHOOSE({1;2;3;4},H7,K7,N7,Q7),2)+LARGE(CHOOSE({1;2;3;4},H7,K7,N7,Q7),3))/3,0)</f>
        <v>11.916666666666666</v>
      </c>
      <c r="Y7" s="43"/>
      <c r="Z7" s="20" t="s">
        <v>277</v>
      </c>
      <c r="AA7" s="22" cm="1">
        <f t="array" ref="AA7">SUM(_xlfn._xlws.FILTER(FX[Year_Total_Score],(FX[Category]="senior")*(FX[Number_of_competition]&gt;=3))/COUNTIFS(FX[Number_of_competition],"&gt;=3",FX[Category],"senior"))</f>
        <v>36.087499999999991</v>
      </c>
      <c r="AB7" s="22" cm="1">
        <f t="array" ref="AB7">_xlfn.STDEV.S(_xlfn._xlws.FILTER(FX[Year_Total_Score],(FX[Category]="senior")*(FX[Number_of_competition]&gt;=3)))</f>
        <v>2.0562681333823276</v>
      </c>
      <c r="AC7" s="22" cm="1">
        <f t="array" ref="AC7">MAX(_xlfn._xlws.FILTER(FX[Year_Total_Score],FX[Category]="senior"))</f>
        <v>39.450000000000003</v>
      </c>
    </row>
    <row r="8" spans="1:29" x14ac:dyDescent="0.25">
      <c r="A8" t="s">
        <v>68</v>
      </c>
      <c r="B8" s="2" t="s">
        <v>60</v>
      </c>
      <c r="C8" s="2" t="s">
        <v>69</v>
      </c>
      <c r="D8" t="s">
        <v>31</v>
      </c>
      <c r="E8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8" s="4">
        <v>0</v>
      </c>
      <c r="G8" s="7">
        <v>0</v>
      </c>
      <c r="H8" s="7">
        <v>0</v>
      </c>
      <c r="I8" s="4">
        <v>4.2</v>
      </c>
      <c r="J8" s="7">
        <v>8.35</v>
      </c>
      <c r="K8" s="7">
        <v>12.55</v>
      </c>
      <c r="L8" s="4">
        <v>4.5</v>
      </c>
      <c r="M8" s="7">
        <v>8</v>
      </c>
      <c r="N8" s="7">
        <v>12.5</v>
      </c>
      <c r="O8" s="4">
        <v>4</v>
      </c>
      <c r="P8" s="7">
        <v>6.3</v>
      </c>
      <c r="Q8" s="7">
        <v>10.3</v>
      </c>
      <c r="R8" s="4">
        <f>LARGE(CHOOSE({1;2;3;4},F8,I8,L8,O8),1)+LARGE(CHOOSE({1;2;3;4},F8,I8,L8,O8),2)+LARGE(CHOOSE({1;2;3;4},F8,I8,L8,O8),3)</f>
        <v>12.7</v>
      </c>
      <c r="S8" s="7">
        <f>LARGE(CHOOSE({1;2;3;4},G8,J8,M8,P8),1)+LARGE(CHOOSE({1;2;3;4},G8,J8,M8,P8),2)+LARGE(CHOOSE({1;2;3;4},G8,J8,M8,P8),3)</f>
        <v>22.650000000000002</v>
      </c>
      <c r="T8" s="7">
        <f>LARGE(CHOOSE({1;2;3;4},H8,K8,N8,Q8),1)+LARGE(CHOOSE({1;2;3;4},H8,K8,N8,Q8),2)+LARGE(CHOOSE({1;2;3;4},H8,K8,N8,Q8),3)</f>
        <v>35.35</v>
      </c>
      <c r="U8" s="4" cm="1">
        <f t="array" ref="U8">IF(FX[[#This Row],[Number_of_competition]:[Number_of_competition]]&gt;=3,(LARGE(CHOOSE({1;2;3;4},F8,I8,L8,O8),1)+LARGE(CHOOSE({1;2;3;4},F8,I8,L8,O8),2)+LARGE(CHOOSE({1;2;3;4},F8,I8,L8,O8),3))/3,0)</f>
        <v>4.2333333333333334</v>
      </c>
      <c r="V8" s="7" cm="1">
        <f t="array" ref="V8">IF(FX[[#This Row],[Number_of_competition]:[Number_of_competition]]&gt;=3,(LARGE(CHOOSE({1;2;3;4},G8,J8,M8,P8),1)+LARGE(CHOOSE({1;2;3;4},G8,J8,M8,P8),2)+LARGE(CHOOSE({1;2;3;4},G8,J8,M8,P8),3))/3,0)</f>
        <v>7.5500000000000007</v>
      </c>
      <c r="W8" s="7" cm="1">
        <f t="array" ref="W8">IF(FX[[#This Row],[Number_of_competition]:[Number_of_competition]]&gt;=3,(LARGE(CHOOSE({1;2;3;4},H8,K8,N8,Q8),1)+LARGE(CHOOSE({1;2;3;4},H8,K8,N8,Q8),2)+LARGE(CHOOSE({1;2;3;4},H8,K8,N8,Q8),3))/3,0)</f>
        <v>11.783333333333333</v>
      </c>
      <c r="Y8" s="41" t="s">
        <v>26</v>
      </c>
      <c r="Z8" s="20" t="s">
        <v>269</v>
      </c>
      <c r="AA8" s="21" cm="1">
        <f t="array" ref="AA8">SUM(_xlfn._xlws.FILTER(FX[bydgoszcz_FX_Dscore],FX[Category]="junior"),_xlfn._xlws.FILTER(FX[zabrze_FX_Dscore],FX[Category]="junior"),_xlfn._xlws.FILTER(FX[cracow_FX_Dscore],FX[Category]="junior"),_xlfn._xlws.FILTER(FX[gdansk_FX_Dscore],FX[Category]="junior"))/(COUNTIFS(FX[bydgoszcz_FX_Dscore],"&gt;0",FX[Category],"junior")+COUNTIFS(FX[zabrze_FX_Dscore],"&gt;0",FX[Category],"junior")+COUNTIFS(FX[cracow_FX_Dscore],"&gt;0",FX[Category],"junior")+COUNTIFS(FX[gdansk_FX_Dscore],"&gt;0",FX[Category],"junior"))</f>
        <v>3.5288461538461537</v>
      </c>
      <c r="AB8" s="21" cm="1">
        <f t="array" ref="AB8">_xlfn.STDEV.S(_xlfn._xlws.FILTER(FX[bydgoszcz_FX_Dscore],(FX[Category]="junior")*(FX[bydgoszcz_FX_Dscore])&gt;0),_xlfn._xlws.FILTER(FX[zabrze_FX_Dscore],(FX[Category]="junior")*(FX[zabrze_FX_Dscore])&gt;0),_xlfn._xlws.FILTER(FX[cracow_FX_Dscore],(FX[Category]="junior")*(FX[cracow_FX_Dscore])&gt;0),_xlfn._xlws.FILTER(FX[gdansk_FX_Dscore],(FX[Category]="junior")*(FX[gdansk_FX_Dscore])&gt;0))</f>
        <v>0.45818762252585366</v>
      </c>
      <c r="AC8" s="21" cm="1">
        <f t="array" ref="AC8">MAX(_xlfn._xlws.FILTER(FX[bydgoszcz_FX_Dscore],FX[Category]="junior"),_xlfn._xlws.FILTER(FX[zabrze_FX_Dscore],FX[Category]="junior"),_xlfn._xlws.FILTER(FX[cracow_FX_Dscore],FX[Category]="junior"),_xlfn._xlws.FILTER(FX[gdansk_FX_Dscore],FX[Category]="junior"))</f>
        <v>4.4000000000000004</v>
      </c>
    </row>
    <row r="9" spans="1:29" x14ac:dyDescent="0.25">
      <c r="A9" t="s">
        <v>100</v>
      </c>
      <c r="B9" s="2" t="s">
        <v>60</v>
      </c>
      <c r="C9" s="2" t="s">
        <v>101</v>
      </c>
      <c r="D9" t="s">
        <v>31</v>
      </c>
      <c r="E9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9" s="4">
        <v>4.3</v>
      </c>
      <c r="G9" s="7">
        <v>7.4</v>
      </c>
      <c r="H9" s="7">
        <v>11.7</v>
      </c>
      <c r="I9" s="4">
        <v>4.2</v>
      </c>
      <c r="J9" s="7">
        <v>7.3</v>
      </c>
      <c r="K9" s="7">
        <v>11.5</v>
      </c>
      <c r="L9" s="4">
        <v>4.4000000000000004</v>
      </c>
      <c r="M9" s="7">
        <v>7.55</v>
      </c>
      <c r="N9" s="7">
        <v>11.95</v>
      </c>
      <c r="O9" s="4">
        <v>0</v>
      </c>
      <c r="P9" s="7">
        <v>0</v>
      </c>
      <c r="Q9" s="7">
        <v>0</v>
      </c>
      <c r="R9" s="4">
        <f>LARGE(CHOOSE({1;2;3;4},F9,I9,L9,O9),1)+LARGE(CHOOSE({1;2;3;4},F9,I9,L9,O9),2)+LARGE(CHOOSE({1;2;3;4},F9,I9,L9,O9),3)</f>
        <v>12.899999999999999</v>
      </c>
      <c r="S9" s="7">
        <f>LARGE(CHOOSE({1;2;3;4},G9,J9,M9,P9),1)+LARGE(CHOOSE({1;2;3;4},G9,J9,M9,P9),2)+LARGE(CHOOSE({1;2;3;4},G9,J9,M9,P9),3)</f>
        <v>22.25</v>
      </c>
      <c r="T9" s="7">
        <f>LARGE(CHOOSE({1;2;3;4},H9,K9,N9,Q9),1)+LARGE(CHOOSE({1;2;3;4},H9,K9,N9,Q9),2)+LARGE(CHOOSE({1;2;3;4},H9,K9,N9,Q9),3)</f>
        <v>35.15</v>
      </c>
      <c r="U9" s="4" cm="1">
        <f t="array" ref="U9">IF(FX[[#This Row],[Number_of_competition]:[Number_of_competition]]&gt;=3,(LARGE(CHOOSE({1;2;3;4},F9,I9,L9,O9),1)+LARGE(CHOOSE({1;2;3;4},F9,I9,L9,O9),2)+LARGE(CHOOSE({1;2;3;4},F9,I9,L9,O9),3))/3,0)</f>
        <v>4.3</v>
      </c>
      <c r="V9" s="7" cm="1">
        <f t="array" ref="V9">IF(FX[[#This Row],[Number_of_competition]:[Number_of_competition]]&gt;=3,(LARGE(CHOOSE({1;2;3;4},G9,J9,M9,P9),1)+LARGE(CHOOSE({1;2;3;4},G9,J9,M9,P9),2)+LARGE(CHOOSE({1;2;3;4},G9,J9,M9,P9),3))/3,0)</f>
        <v>7.416666666666667</v>
      </c>
      <c r="W9" s="7" cm="1">
        <f t="array" ref="W9">IF(FX[[#This Row],[Number_of_competition]:[Number_of_competition]]&gt;=3,(LARGE(CHOOSE({1;2;3;4},H9,K9,N9,Q9),1)+LARGE(CHOOSE({1;2;3;4},H9,K9,N9,Q9),2)+LARGE(CHOOSE({1;2;3;4},H9,K9,N9,Q9),3))/3,0)</f>
        <v>11.716666666666667</v>
      </c>
      <c r="Y9" s="42"/>
      <c r="Z9" s="20" t="s">
        <v>267</v>
      </c>
      <c r="AA9" s="22" cm="1">
        <f t="array" ref="AA9">SUM(_xlfn._xlws.FILTER(FX[bydgoszcz_FX_Escore],FX[Category]="junior"),_xlfn._xlws.FILTER(FX[zabrze_FX_Escore],FX[Category]="junior"),_xlfn._xlws.FILTER(FX[cracow_FX_Escore],FX[Category]="junior"),_xlfn._xlws.FILTER(FX[gdansk_FX_Escore],FX[Category]="junior"))/(COUNTIFS(FX[bydgoszcz_FX_Escore],"&gt;0",FX[Category],"junior")+COUNTIFS(FX[zabrze_FX_Escore],"&gt;0",FX[Category],"junior")+COUNTIFS(FX[cracow_FX_Escore],"&gt;0",FX[Category],"junior")+COUNTIFS(FX[gdansk_FX_Escore],"&gt;0",FX[Category],"junior"))</f>
        <v>7.8874999999999993</v>
      </c>
      <c r="AB9" s="22" cm="1">
        <f t="array" ref="AB9">_xlfn.STDEV.S(_xlfn._xlws.FILTER(FX[bydgoszcz_FX_Escore],(FX[Category]="junior")*(FX[bydgoszcz_FX_Escore])&gt;0),_xlfn._xlws.FILTER(FX[zabrze_FX_Escore],(FX[Category]="junior")*(FX[zabrze_FX_Escore])&gt;0),_xlfn._xlws.FILTER(FX[cracow_FX_Escore],(FX[Category]="junior")*(FX[cracow_FX_Escore])&gt;0),_xlfn._xlws.FILTER(FX[gdansk_FX_Escore],(FX[Category]="junior")*(FX[gdansk_FX_Escore])&gt;0))</f>
        <v>0.60891055075727629</v>
      </c>
      <c r="AC9" s="22" cm="1">
        <f t="array" ref="AC9">MAX(_xlfn._xlws.FILTER(FX[bydgoszcz_FX_Escore],FX[Category]="junior"),_xlfn._xlws.FILTER(FX[zabrze_FX_Escore],FX[Category]="junior"),_xlfn._xlws.FILTER(FX[cracow_FX_Escore],FX[Category]="junior"),_xlfn._xlws.FILTER(FX[gdansk_FX_Escore],FX[Category]="junior"))</f>
        <v>8.9499999999999993</v>
      </c>
    </row>
    <row r="10" spans="1:29" x14ac:dyDescent="0.25">
      <c r="A10" t="s">
        <v>82</v>
      </c>
      <c r="B10" s="2" t="s">
        <v>60</v>
      </c>
      <c r="C10" s="2" t="s">
        <v>83</v>
      </c>
      <c r="D10" t="s">
        <v>36</v>
      </c>
      <c r="E10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10" s="4">
        <v>0</v>
      </c>
      <c r="G10" s="7">
        <v>0</v>
      </c>
      <c r="H10" s="7">
        <v>0</v>
      </c>
      <c r="I10" s="4">
        <v>4.4000000000000004</v>
      </c>
      <c r="J10" s="7">
        <v>8.1</v>
      </c>
      <c r="K10" s="7">
        <v>12.5</v>
      </c>
      <c r="L10" s="4">
        <v>4.0999999999999996</v>
      </c>
      <c r="M10" s="7">
        <v>6.7</v>
      </c>
      <c r="N10" s="7">
        <v>10.8</v>
      </c>
      <c r="O10" s="4">
        <v>3.9</v>
      </c>
      <c r="P10" s="7">
        <v>7.9</v>
      </c>
      <c r="Q10" s="7">
        <v>11.8</v>
      </c>
      <c r="R10" s="4">
        <f>LARGE(CHOOSE({1;2;3;4},F10,I10,L10,O10),1)+LARGE(CHOOSE({1;2;3;4},F10,I10,L10,O10),2)+LARGE(CHOOSE({1;2;3;4},F10,I10,L10,O10),3)</f>
        <v>12.4</v>
      </c>
      <c r="S10" s="7">
        <f>LARGE(CHOOSE({1;2;3;4},G10,J10,M10,P10),1)+LARGE(CHOOSE({1;2;3;4},G10,J10,M10,P10),2)+LARGE(CHOOSE({1;2;3;4},G10,J10,M10,P10),3)</f>
        <v>22.7</v>
      </c>
      <c r="T10" s="7">
        <f>LARGE(CHOOSE({1;2;3;4},H10,K10,N10,Q10),1)+LARGE(CHOOSE({1;2;3;4},H10,K10,N10,Q10),2)+LARGE(CHOOSE({1;2;3;4},H10,K10,N10,Q10),3)</f>
        <v>35.1</v>
      </c>
      <c r="U10" s="4" cm="1">
        <f t="array" ref="U10">IF(FX[[#This Row],[Number_of_competition]:[Number_of_competition]]&gt;=3,(LARGE(CHOOSE({1;2;3;4},F10,I10,L10,O10),1)+LARGE(CHOOSE({1;2;3;4},F10,I10,L10,O10),2)+LARGE(CHOOSE({1;2;3;4},F10,I10,L10,O10),3))/3,0)</f>
        <v>4.1333333333333337</v>
      </c>
      <c r="V10" s="7" cm="1">
        <f t="array" ref="V10">IF(FX[[#This Row],[Number_of_competition]:[Number_of_competition]]&gt;=3,(LARGE(CHOOSE({1;2;3;4},G10,J10,M10,P10),1)+LARGE(CHOOSE({1;2;3;4},G10,J10,M10,P10),2)+LARGE(CHOOSE({1;2;3;4},G10,J10,M10,P10),3))/3,0)</f>
        <v>7.5666666666666664</v>
      </c>
      <c r="W10" s="7" cm="1">
        <f t="array" ref="W10">IF(FX[[#This Row],[Number_of_competition]:[Number_of_competition]]&gt;=3,(LARGE(CHOOSE({1;2;3;4},H10,K10,N10,Q10),1)+LARGE(CHOOSE({1;2;3;4},H10,K10,N10,Q10),2)+LARGE(CHOOSE({1;2;3;4},H10,K10,N10,Q10),3))/3,0)</f>
        <v>11.700000000000001</v>
      </c>
      <c r="Y10" s="42"/>
      <c r="Z10" s="20" t="s">
        <v>268</v>
      </c>
      <c r="AA10" s="22" cm="1">
        <f t="array" ref="AA10">SUM(_xlfn._xlws.FILTER(FX[bydgoszcz_FX_Total_Score],FX[Category]="junior"),_xlfn._xlws.FILTER(FX[zabrze_FX_Total_Score],FX[Category]="junior"),_xlfn._xlws.FILTER(FX[cracow_FX_Total_Score],FX[Category]="junior"),_xlfn._xlws.FILTER(FX[gdansk_FX_Total_Score],FX[Category]="junior"))/(COUNTIFS(FX[bydgoszcz_FX_Total_Score],"&gt;0",FX[Category],"junior")+COUNTIFS(FX[zabrze_FX_Total_Score],"&gt;0",FX[Category],"junior")+COUNTIFS(FX[cracow_FX_Total_Score],"&gt;0",FX[Category],"junior")+COUNTIFS(FX[gdansk_FX_Total_Score],"&gt;0",FX[Category],"junior"))</f>
        <v>11.416346153846153</v>
      </c>
      <c r="AB10" s="22" cm="1">
        <f t="array" ref="AB10">_xlfn.STDEV.S(_xlfn._xlws.FILTER(FX[bydgoszcz_FX_Total_Score],(FX[Category]="junior")*(FX[bydgoszcz_FX_Total_Score])&gt;0),_xlfn._xlws.FILTER(FX[zabrze_FX_Total_Score],(FX[Category]="junior")*(FX[zabrze_FX_Total_Score])&gt;0),_xlfn._xlws.FILTER(FX[cracow_FX_Total_Score],(FX[Category]="junior")*(FX[cracow_FX_Total_Score])&gt;0),_xlfn._xlws.FILTER(FX[gdansk_FX_Total_Score],(FX[Category]="junior")*(FX[gdansk_FX_Total_Score])&gt;0))</f>
        <v>0.81015135077427824</v>
      </c>
      <c r="AC10" s="22" cm="1">
        <f t="array" ref="AC10">MAX(_xlfn._xlws.FILTER(FX[bydgoszcz_FX_Total_Score],FX[Category]="junior"),_xlfn._xlws.FILTER(FX[zabrze_FX_Total_Score],FX[Category]="junior"),_xlfn._xlws.FILTER(FX[cracow_FX_Total_Score],FX[Category]="junior"),_xlfn._xlws.FILTER(FX[gdansk_FX_Total_Score],FX[Category]="junior"))</f>
        <v>12.95</v>
      </c>
    </row>
    <row r="11" spans="1:29" ht="21" customHeight="1" x14ac:dyDescent="0.25">
      <c r="A11" t="s">
        <v>77</v>
      </c>
      <c r="B11" s="2" t="s">
        <v>60</v>
      </c>
      <c r="C11" s="2" t="s">
        <v>78</v>
      </c>
      <c r="D11" t="s">
        <v>79</v>
      </c>
      <c r="E11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11" s="4">
        <v>4.2</v>
      </c>
      <c r="G11" s="7">
        <v>6.3</v>
      </c>
      <c r="H11" s="7">
        <v>10.5</v>
      </c>
      <c r="I11" s="4">
        <v>3.9</v>
      </c>
      <c r="J11" s="7">
        <v>7.85</v>
      </c>
      <c r="K11" s="7">
        <v>11.75</v>
      </c>
      <c r="L11" s="4">
        <v>3.9</v>
      </c>
      <c r="M11" s="7">
        <v>8</v>
      </c>
      <c r="N11" s="7">
        <v>11.9</v>
      </c>
      <c r="O11" s="4">
        <v>3.8</v>
      </c>
      <c r="P11" s="7">
        <v>7.4</v>
      </c>
      <c r="Q11" s="7">
        <v>11.2</v>
      </c>
      <c r="R11" s="4">
        <f>LARGE(CHOOSE({1;2;3;4},F11,I11,L11,O11),1)+LARGE(CHOOSE({1;2;3;4},F11,I11,L11,O11),2)+LARGE(CHOOSE({1;2;3;4},F11,I11,L11,O11),3)</f>
        <v>12</v>
      </c>
      <c r="S11" s="7">
        <f>LARGE(CHOOSE({1;2;3;4},G11,J11,M11,P11),1)+LARGE(CHOOSE({1;2;3;4},G11,J11,M11,P11),2)+LARGE(CHOOSE({1;2;3;4},G11,J11,M11,P11),3)</f>
        <v>23.25</v>
      </c>
      <c r="T11" s="7">
        <f>LARGE(CHOOSE({1;2;3;4},H11,K11,N11,Q11),1)+LARGE(CHOOSE({1;2;3;4},H11,K11,N11,Q11),2)+LARGE(CHOOSE({1;2;3;4},H11,K11,N11,Q11),3)</f>
        <v>34.849999999999994</v>
      </c>
      <c r="U11" s="4" cm="1">
        <f t="array" ref="U11">IF(FX[[#This Row],[Number_of_competition]:[Number_of_competition]]&gt;=3,(LARGE(CHOOSE({1;2;3;4},F11,I11,L11,O11),1)+LARGE(CHOOSE({1;2;3;4},F11,I11,L11,O11),2)+LARGE(CHOOSE({1;2;3;4},F11,I11,L11,O11),3))/3,0)</f>
        <v>4</v>
      </c>
      <c r="V11" s="7" cm="1">
        <f t="array" ref="V11">IF(FX[[#This Row],[Number_of_competition]:[Number_of_competition]]&gt;=3,(LARGE(CHOOSE({1;2;3;4},G11,J11,M11,P11),1)+LARGE(CHOOSE({1;2;3;4},G11,J11,M11,P11),2)+LARGE(CHOOSE({1;2;3;4},G11,J11,M11,P11),3))/3,0)</f>
        <v>7.75</v>
      </c>
      <c r="W11" s="7" cm="1">
        <f t="array" ref="W11">IF(FX[[#This Row],[Number_of_competition]:[Number_of_competition]]&gt;=3,(LARGE(CHOOSE({1;2;3;4},H11,K11,N11,Q11),1)+LARGE(CHOOSE({1;2;3;4},H11,K11,N11,Q11),2)+LARGE(CHOOSE({1;2;3;4},H11,K11,N11,Q11),3))/3,0)</f>
        <v>11.616666666666665</v>
      </c>
      <c r="Y11" s="42"/>
      <c r="Z11" s="20" t="s">
        <v>275</v>
      </c>
      <c r="AA11" s="21" cm="1">
        <f t="array" ref="AA11">SUM(_xlfn._xlws.FILTER(FX[Year_Dscore],(FX[Category]="junior")*(FX[Number_of_competition]&gt;=3))/COUNTIFS(FX[Number_of_competition],"&gt;=3",FX[Category],"junior"))</f>
        <v>10.880000000000003</v>
      </c>
      <c r="AB11" s="21" cm="1">
        <f t="array" ref="AB11">_xlfn.STDEV.S(_xlfn._xlws.FILTER(FX[Year_Dscore],(FX[Category]="junior")*(FX[Number_of_competition]&gt;=3)))</f>
        <v>1.2629770825755648</v>
      </c>
      <c r="AC11" s="21" cm="1">
        <f t="array" ref="AC11">MAX(_xlfn._xlws.FILTER(FX[Year_Dscore],FX[Category]="junior"))</f>
        <v>12.7</v>
      </c>
    </row>
    <row r="12" spans="1:29" x14ac:dyDescent="0.25">
      <c r="A12" t="s">
        <v>106</v>
      </c>
      <c r="B12" s="2" t="s">
        <v>60</v>
      </c>
      <c r="C12" s="2" t="s">
        <v>107</v>
      </c>
      <c r="D12" t="s">
        <v>31</v>
      </c>
      <c r="E12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12" s="4">
        <v>3.9</v>
      </c>
      <c r="G12" s="7">
        <v>8.4</v>
      </c>
      <c r="H12" s="7">
        <v>12.3</v>
      </c>
      <c r="I12" s="4">
        <v>4</v>
      </c>
      <c r="J12" s="7">
        <v>6</v>
      </c>
      <c r="K12" s="7">
        <v>10</v>
      </c>
      <c r="L12" s="4">
        <v>3.8</v>
      </c>
      <c r="M12" s="7">
        <v>7.45</v>
      </c>
      <c r="N12" s="7">
        <v>11.25</v>
      </c>
      <c r="O12" s="4">
        <v>0</v>
      </c>
      <c r="P12" s="7">
        <v>0</v>
      </c>
      <c r="Q12" s="7">
        <v>0</v>
      </c>
      <c r="R12" s="4">
        <f>LARGE(CHOOSE({1;2;3;4},F12,I12,L12,O12),1)+LARGE(CHOOSE({1;2;3;4},F12,I12,L12,O12),2)+LARGE(CHOOSE({1;2;3;4},F12,I12,L12,O12),3)</f>
        <v>11.7</v>
      </c>
      <c r="S12" s="7">
        <f>LARGE(CHOOSE({1;2;3;4},G12,J12,M12,P12),1)+LARGE(CHOOSE({1;2;3;4},G12,J12,M12,P12),2)+LARGE(CHOOSE({1;2;3;4},G12,J12,M12,P12),3)</f>
        <v>21.85</v>
      </c>
      <c r="T12" s="7">
        <f>LARGE(CHOOSE({1;2;3;4},H12,K12,N12,Q12),1)+LARGE(CHOOSE({1;2;3;4},H12,K12,N12,Q12),2)+LARGE(CHOOSE({1;2;3;4},H12,K12,N12,Q12),3)</f>
        <v>33.549999999999997</v>
      </c>
      <c r="U12" s="4" cm="1">
        <f t="array" ref="U12">IF(FX[[#This Row],[Number_of_competition]:[Number_of_competition]]&gt;=3,(LARGE(CHOOSE({1;2;3;4},F12,I12,L12,O12),1)+LARGE(CHOOSE({1;2;3;4},F12,I12,L12,O12),2)+LARGE(CHOOSE({1;2;3;4},F12,I12,L12,O12),3))/3,0)</f>
        <v>3.9</v>
      </c>
      <c r="V12" s="7" cm="1">
        <f t="array" ref="V12">IF(FX[[#This Row],[Number_of_competition]:[Number_of_competition]]&gt;=3,(LARGE(CHOOSE({1;2;3;4},G12,J12,M12,P12),1)+LARGE(CHOOSE({1;2;3;4},G12,J12,M12,P12),2)+LARGE(CHOOSE({1;2;3;4},G12,J12,M12,P12),3))/3,0)</f>
        <v>7.2833333333333341</v>
      </c>
      <c r="W12" s="7" cm="1">
        <f t="array" ref="W12">IF(FX[[#This Row],[Number_of_competition]:[Number_of_competition]]&gt;=3,(LARGE(CHOOSE({1;2;3;4},H12,K12,N12,Q12),1)+LARGE(CHOOSE({1;2;3;4},H12,K12,N12,Q12),2)+LARGE(CHOOSE({1;2;3;4},H12,K12,N12,Q12),3))/3,0)</f>
        <v>11.183333333333332</v>
      </c>
      <c r="Y12" s="42"/>
      <c r="Z12" s="20" t="s">
        <v>276</v>
      </c>
      <c r="AA12" s="22" cm="1">
        <f t="array" ref="AA12">SUM(_xlfn._xlws.FILTER(FX[Year_Escore],(FX[Category]="junior")*(FX[Number_of_competition]&gt;=3))/COUNTIFS(FX[Number_of_competition],"&gt;=3",FX[Category],"junior"))</f>
        <v>24.480000000000004</v>
      </c>
      <c r="AB12" s="22" cm="1">
        <f t="array" ref="AB12">_xlfn.STDEV.S(_xlfn._xlws.FILTER(FX[Year_Escore],(FX[Category]="junior")*(FX[Number_of_competition]&gt;=3)))</f>
        <v>0.87088715942103689</v>
      </c>
      <c r="AC12" s="22" cm="1">
        <f t="array" ref="AC12">MAX(_xlfn._xlws.FILTER(FX[Year_Escore],FX[Category]="junior"))</f>
        <v>26.099999999999998</v>
      </c>
    </row>
    <row r="13" spans="1:29" x14ac:dyDescent="0.25">
      <c r="A13" t="s">
        <v>90</v>
      </c>
      <c r="B13" s="2" t="s">
        <v>60</v>
      </c>
      <c r="C13" s="2" t="s">
        <v>91</v>
      </c>
      <c r="D13" t="s">
        <v>36</v>
      </c>
      <c r="E13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13" s="4">
        <v>0</v>
      </c>
      <c r="G13" s="7">
        <v>0</v>
      </c>
      <c r="H13" s="7">
        <v>0</v>
      </c>
      <c r="I13" s="4">
        <v>4</v>
      </c>
      <c r="J13" s="7">
        <v>7.85</v>
      </c>
      <c r="K13" s="7">
        <v>11.85</v>
      </c>
      <c r="L13" s="4">
        <v>4</v>
      </c>
      <c r="M13" s="7">
        <v>7.9</v>
      </c>
      <c r="N13" s="7">
        <v>11.9</v>
      </c>
      <c r="O13" s="4">
        <v>3.6</v>
      </c>
      <c r="P13" s="7">
        <v>5.7</v>
      </c>
      <c r="Q13" s="7">
        <v>9.3000000000000007</v>
      </c>
      <c r="R13" s="4">
        <f>LARGE(CHOOSE({1;2;3;4},F13,I13,L13,O13),1)+LARGE(CHOOSE({1;2;3;4},F13,I13,L13,O13),2)+LARGE(CHOOSE({1;2;3;4},F13,I13,L13,O13),3)</f>
        <v>11.6</v>
      </c>
      <c r="S13" s="7">
        <f>LARGE(CHOOSE({1;2;3;4},G13,J13,M13,P13),1)+LARGE(CHOOSE({1;2;3;4},G13,J13,M13,P13),2)+LARGE(CHOOSE({1;2;3;4},G13,J13,M13,P13),3)</f>
        <v>21.45</v>
      </c>
      <c r="T13" s="7">
        <f>LARGE(CHOOSE({1;2;3;4},H13,K13,N13,Q13),1)+LARGE(CHOOSE({1;2;3;4},H13,K13,N13,Q13),2)+LARGE(CHOOSE({1;2;3;4},H13,K13,N13,Q13),3)</f>
        <v>33.049999999999997</v>
      </c>
      <c r="U13" s="4" cm="1">
        <f t="array" ref="U13">IF(FX[[#This Row],[Number_of_competition]:[Number_of_competition]]&gt;=3,(LARGE(CHOOSE({1;2;3;4},F13,I13,L13,O13),1)+LARGE(CHOOSE({1;2;3;4},F13,I13,L13,O13),2)+LARGE(CHOOSE({1;2;3;4},F13,I13,L13,O13),3))/3,0)</f>
        <v>3.8666666666666667</v>
      </c>
      <c r="V13" s="7" cm="1">
        <f t="array" ref="V13">IF(FX[[#This Row],[Number_of_competition]:[Number_of_competition]]&gt;=3,(LARGE(CHOOSE({1;2;3;4},G13,J13,M13,P13),1)+LARGE(CHOOSE({1;2;3;4},G13,J13,M13,P13),2)+LARGE(CHOOSE({1;2;3;4},G13,J13,M13,P13),3))/3,0)</f>
        <v>7.1499999999999995</v>
      </c>
      <c r="W13" s="7" cm="1">
        <f t="array" ref="W13">IF(FX[[#This Row],[Number_of_competition]:[Number_of_competition]]&gt;=3,(LARGE(CHOOSE({1;2;3;4},H13,K13,N13,Q13),1)+LARGE(CHOOSE({1;2;3;4},H13,K13,N13,Q13),2)+LARGE(CHOOSE({1;2;3;4},H13,K13,N13,Q13),3))/3,0)</f>
        <v>11.016666666666666</v>
      </c>
      <c r="Y13" s="43"/>
      <c r="Z13" s="20" t="s">
        <v>277</v>
      </c>
      <c r="AA13" s="22" cm="1">
        <f t="array" ref="AA13">SUM(_xlfn._xlws.FILTER(FX[Year_Total_Score],(FX[Category]="junior")*(FX[Number_of_competition]&gt;=3))/COUNTIFS(FX[Number_of_competition],"&gt;=3",FX[Category],"junior"))</f>
        <v>35.25</v>
      </c>
      <c r="AB13" s="22" cm="1">
        <f t="array" ref="AB13">_xlfn.STDEV.S(_xlfn._xlws.FILTER(FX[Year_Total_Score],(FX[Category]="junior")*(FX[Number_of_competition]&gt;=3)))</f>
        <v>2.0277245046274563</v>
      </c>
      <c r="AC13" s="22" cm="1">
        <f t="array" ref="AC13">MAX(_xlfn._xlws.FILTER(FX[Year_Total_Score],FX[Category]="junior"))</f>
        <v>38.099999999999994</v>
      </c>
    </row>
    <row r="14" spans="1:29" x14ac:dyDescent="0.25">
      <c r="A14" t="s">
        <v>116</v>
      </c>
      <c r="B14" s="2" t="s">
        <v>60</v>
      </c>
      <c r="C14" s="2" t="s">
        <v>117</v>
      </c>
      <c r="D14" t="s">
        <v>62</v>
      </c>
      <c r="E14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4" s="4">
        <v>0</v>
      </c>
      <c r="G14" s="7">
        <v>0</v>
      </c>
      <c r="H14" s="7">
        <v>0</v>
      </c>
      <c r="I14" s="4">
        <v>0</v>
      </c>
      <c r="J14" s="7">
        <v>0</v>
      </c>
      <c r="K14" s="7">
        <v>0</v>
      </c>
      <c r="L14" s="4">
        <v>5.4</v>
      </c>
      <c r="M14" s="7">
        <v>8.25</v>
      </c>
      <c r="N14" s="7">
        <v>13.65</v>
      </c>
      <c r="O14" s="4">
        <v>5.8</v>
      </c>
      <c r="P14" s="7">
        <v>5.4</v>
      </c>
      <c r="Q14" s="7">
        <v>11.2</v>
      </c>
      <c r="R14" s="4">
        <f>LARGE(CHOOSE({1;2;3;4},F14,I14,L14,O14),1)+LARGE(CHOOSE({1;2;3;4},F14,I14,L14,O14),2)+LARGE(CHOOSE({1;2;3;4},F14,I14,L14,O14),3)</f>
        <v>11.2</v>
      </c>
      <c r="S14" s="7">
        <f>LARGE(CHOOSE({1;2;3;4},G14,J14,M14,P14),1)+LARGE(CHOOSE({1;2;3;4},G14,J14,M14,P14),2)+LARGE(CHOOSE({1;2;3;4},G14,J14,M14,P14),3)</f>
        <v>13.65</v>
      </c>
      <c r="T14" s="7">
        <f>LARGE(CHOOSE({1;2;3;4},H14,K14,N14,Q14),1)+LARGE(CHOOSE({1;2;3;4},H14,K14,N14,Q14),2)+LARGE(CHOOSE({1;2;3;4},H14,K14,N14,Q14),3)</f>
        <v>24.85</v>
      </c>
      <c r="U14" s="4" cm="1">
        <f t="array" ref="U14">IF(FX[[#This Row],[Number_of_competition]:[Number_of_competition]]&gt;=3,(LARGE(CHOOSE({1;2;3;4},F14,I14,L14,O14),1)+LARGE(CHOOSE({1;2;3;4},F14,I14,L14,O14),2)+LARGE(CHOOSE({1;2;3;4},F14,I14,L14,O14),3))/3,0)</f>
        <v>0</v>
      </c>
      <c r="V14" s="7" cm="1">
        <f t="array" ref="V14">IF(FX[[#This Row],[Number_of_competition]:[Number_of_competition]]&gt;=3,(LARGE(CHOOSE({1;2;3;4},G14,J14,M14,P14),1)+LARGE(CHOOSE({1;2;3;4},G14,J14,M14,P14),2)+LARGE(CHOOSE({1;2;3;4},G14,J14,M14,P14),3))/3,0)</f>
        <v>0</v>
      </c>
      <c r="W14" s="7" cm="1">
        <f t="array" ref="W14">IF(FX[[#This Row],[Number_of_competition]:[Number_of_competition]]&gt;=3,(LARGE(CHOOSE({1;2;3;4},H14,K14,N14,Q14),1)+LARGE(CHOOSE({1;2;3;4},H14,K14,N14,Q14),2)+LARGE(CHOOSE({1;2;3;4},H14,K14,N14,Q14),3))/3,0)</f>
        <v>0</v>
      </c>
    </row>
    <row r="15" spans="1:29" x14ac:dyDescent="0.25">
      <c r="A15" t="s">
        <v>70</v>
      </c>
      <c r="B15" s="2" t="s">
        <v>60</v>
      </c>
      <c r="C15" s="2" t="s">
        <v>71</v>
      </c>
      <c r="D15" t="s">
        <v>72</v>
      </c>
      <c r="E15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5" s="4">
        <v>0</v>
      </c>
      <c r="G15" s="7">
        <v>0</v>
      </c>
      <c r="H15" s="7">
        <v>0</v>
      </c>
      <c r="I15" s="4">
        <v>5</v>
      </c>
      <c r="J15" s="7">
        <v>6.8</v>
      </c>
      <c r="K15" s="7">
        <v>11.8</v>
      </c>
      <c r="L15" s="4">
        <v>4.9000000000000004</v>
      </c>
      <c r="M15" s="7">
        <v>7.6</v>
      </c>
      <c r="N15" s="7">
        <v>12.5</v>
      </c>
      <c r="O15" s="4">
        <v>0</v>
      </c>
      <c r="P15" s="7">
        <v>0</v>
      </c>
      <c r="Q15" s="7">
        <v>0</v>
      </c>
      <c r="R15" s="4">
        <f>LARGE(CHOOSE({1;2;3;4},F15,I15,L15,O15),1)+LARGE(CHOOSE({1;2;3;4},F15,I15,L15,O15),2)+LARGE(CHOOSE({1;2;3;4},F15,I15,L15,O15),3)</f>
        <v>9.9</v>
      </c>
      <c r="S15" s="7">
        <f>LARGE(CHOOSE({1;2;3;4},G15,J15,M15,P15),1)+LARGE(CHOOSE({1;2;3;4},G15,J15,M15,P15),2)+LARGE(CHOOSE({1;2;3;4},G15,J15,M15,P15),3)</f>
        <v>14.399999999999999</v>
      </c>
      <c r="T15" s="7">
        <f>LARGE(CHOOSE({1;2;3;4},H15,K15,N15,Q15),1)+LARGE(CHOOSE({1;2;3;4},H15,K15,N15,Q15),2)+LARGE(CHOOSE({1;2;3;4},H15,K15,N15,Q15),3)</f>
        <v>24.3</v>
      </c>
      <c r="U15" s="4" cm="1">
        <f t="array" ref="U15">IF(FX[[#This Row],[Number_of_competition]:[Number_of_competition]]&gt;=3,(LARGE(CHOOSE({1;2;3;4},F15,I15,L15,O15),1)+LARGE(CHOOSE({1;2;3;4},F15,I15,L15,O15),2)+LARGE(CHOOSE({1;2;3;4},F15,I15,L15,O15),3))/3,0)</f>
        <v>0</v>
      </c>
      <c r="V15" s="7" cm="1">
        <f t="array" ref="V15">IF(FX[[#This Row],[Number_of_competition]:[Number_of_competition]]&gt;=3,(LARGE(CHOOSE({1;2;3;4},G15,J15,M15,P15),1)+LARGE(CHOOSE({1;2;3;4},G15,J15,M15,P15),2)+LARGE(CHOOSE({1;2;3;4},G15,J15,M15,P15),3))/3,0)</f>
        <v>0</v>
      </c>
      <c r="W15" s="7" cm="1">
        <f t="array" ref="W15">IF(FX[[#This Row],[Number_of_competition]:[Number_of_competition]]&gt;=3,(LARGE(CHOOSE({1;2;3;4},H15,K15,N15,Q15),1)+LARGE(CHOOSE({1;2;3;4},H15,K15,N15,Q15),2)+LARGE(CHOOSE({1;2;3;4},H15,K15,N15,Q15),3))/3,0)</f>
        <v>0</v>
      </c>
      <c r="Y15" s="28" t="s">
        <v>296</v>
      </c>
    </row>
    <row r="16" spans="1:29" x14ac:dyDescent="0.25">
      <c r="A16" t="s">
        <v>127</v>
      </c>
      <c r="B16" s="2" t="s">
        <v>60</v>
      </c>
      <c r="C16" s="2" t="s">
        <v>128</v>
      </c>
      <c r="D16" t="s">
        <v>72</v>
      </c>
      <c r="E16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6" s="4">
        <v>4.4000000000000004</v>
      </c>
      <c r="G16" s="7">
        <v>8.6999999999999993</v>
      </c>
      <c r="H16" s="7">
        <v>13.1</v>
      </c>
      <c r="I16" s="4">
        <v>0</v>
      </c>
      <c r="J16" s="7">
        <v>0</v>
      </c>
      <c r="K16" s="7">
        <v>0</v>
      </c>
      <c r="L16" s="4">
        <v>3.7</v>
      </c>
      <c r="M16" s="7">
        <v>7.1</v>
      </c>
      <c r="N16" s="7">
        <v>10.8</v>
      </c>
      <c r="O16" s="4">
        <v>0</v>
      </c>
      <c r="P16" s="7">
        <v>0</v>
      </c>
      <c r="Q16" s="7">
        <v>0</v>
      </c>
      <c r="R16" s="4">
        <f>LARGE(CHOOSE({1;2;3;4},F16,I16,L16,O16),1)+LARGE(CHOOSE({1;2;3;4},F16,I16,L16,O16),2)+LARGE(CHOOSE({1;2;3;4},F16,I16,L16,O16),3)</f>
        <v>8.1000000000000014</v>
      </c>
      <c r="S16" s="7">
        <f>LARGE(CHOOSE({1;2;3;4},G16,J16,M16,P16),1)+LARGE(CHOOSE({1;2;3;4},G16,J16,M16,P16),2)+LARGE(CHOOSE({1;2;3;4},G16,J16,M16,P16),3)</f>
        <v>15.799999999999999</v>
      </c>
      <c r="T16" s="7">
        <f>LARGE(CHOOSE({1;2;3;4},H16,K16,N16,Q16),1)+LARGE(CHOOSE({1;2;3;4},H16,K16,N16,Q16),2)+LARGE(CHOOSE({1;2;3;4},H16,K16,N16,Q16),3)</f>
        <v>23.9</v>
      </c>
      <c r="U16" s="4" cm="1">
        <f t="array" ref="U16">IF(FX[[#This Row],[Number_of_competition]:[Number_of_competition]]&gt;=3,(LARGE(CHOOSE({1;2;3;4},F16,I16,L16,O16),1)+LARGE(CHOOSE({1;2;3;4},F16,I16,L16,O16),2)+LARGE(CHOOSE({1;2;3;4},F16,I16,L16,O16),3))/3,0)</f>
        <v>0</v>
      </c>
      <c r="V16" s="7" cm="1">
        <f t="array" ref="V16">IF(FX[[#This Row],[Number_of_competition]:[Number_of_competition]]&gt;=3,(LARGE(CHOOSE({1;2;3;4},G16,J16,M16,P16),1)+LARGE(CHOOSE({1;2;3;4},G16,J16,M16,P16),2)+LARGE(CHOOSE({1;2;3;4},G16,J16,M16,P16),3))/3,0)</f>
        <v>0</v>
      </c>
      <c r="W16" s="7" cm="1">
        <f t="array" ref="W16">IF(FX[[#This Row],[Number_of_competition]:[Number_of_competition]]&gt;=3,(LARGE(CHOOSE({1;2;3;4},H16,K16,N16,Q16),1)+LARGE(CHOOSE({1;2;3;4},H16,K16,N16,Q16),2)+LARGE(CHOOSE({1;2;3;4},H16,K16,N16,Q16),3))/3,0)</f>
        <v>0</v>
      </c>
      <c r="Y16" s="29" t="s">
        <v>297</v>
      </c>
    </row>
    <row r="17" spans="1:25" x14ac:dyDescent="0.25">
      <c r="A17" t="s">
        <v>92</v>
      </c>
      <c r="B17" s="2" t="s">
        <v>60</v>
      </c>
      <c r="C17" s="2" t="s">
        <v>93</v>
      </c>
      <c r="D17" t="s">
        <v>39</v>
      </c>
      <c r="E17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7" s="4">
        <v>0</v>
      </c>
      <c r="G17" s="7">
        <v>0</v>
      </c>
      <c r="H17" s="7">
        <v>0</v>
      </c>
      <c r="I17" s="4">
        <v>3.7</v>
      </c>
      <c r="J17" s="7">
        <v>7.95</v>
      </c>
      <c r="K17" s="7">
        <v>11.65</v>
      </c>
      <c r="L17" s="4">
        <v>4.0999999999999996</v>
      </c>
      <c r="M17" s="7">
        <v>7.95</v>
      </c>
      <c r="N17" s="7">
        <v>12.05</v>
      </c>
      <c r="O17" s="4">
        <v>0</v>
      </c>
      <c r="P17" s="7">
        <v>0</v>
      </c>
      <c r="Q17" s="7">
        <v>0</v>
      </c>
      <c r="R17" s="4">
        <f>LARGE(CHOOSE({1;2;3;4},F17,I17,L17,O17),1)+LARGE(CHOOSE({1;2;3;4},F17,I17,L17,O17),2)+LARGE(CHOOSE({1;2;3;4},F17,I17,L17,O17),3)</f>
        <v>7.8</v>
      </c>
      <c r="S17" s="7">
        <f>LARGE(CHOOSE({1;2;3;4},G17,J17,M17,P17),1)+LARGE(CHOOSE({1;2;3;4},G17,J17,M17,P17),2)+LARGE(CHOOSE({1;2;3;4},G17,J17,M17,P17),3)</f>
        <v>15.9</v>
      </c>
      <c r="T17" s="7">
        <f>LARGE(CHOOSE({1;2;3;4},H17,K17,N17,Q17),1)+LARGE(CHOOSE({1;2;3;4},H17,K17,N17,Q17),2)+LARGE(CHOOSE({1;2;3;4},H17,K17,N17,Q17),3)</f>
        <v>23.700000000000003</v>
      </c>
      <c r="U17" s="4" cm="1">
        <f t="array" ref="U17">IF(FX[[#This Row],[Number_of_competition]:[Number_of_competition]]&gt;=3,(LARGE(CHOOSE({1;2;3;4},F17,I17,L17,O17),1)+LARGE(CHOOSE({1;2;3;4},F17,I17,L17,O17),2)+LARGE(CHOOSE({1;2;3;4},F17,I17,L17,O17),3))/3,0)</f>
        <v>0</v>
      </c>
      <c r="V17" s="7" cm="1">
        <f t="array" ref="V17">IF(FX[[#This Row],[Number_of_competition]:[Number_of_competition]]&gt;=3,(LARGE(CHOOSE({1;2;3;4},G17,J17,M17,P17),1)+LARGE(CHOOSE({1;2;3;4},G17,J17,M17,P17),2)+LARGE(CHOOSE({1;2;3;4},G17,J17,M17,P17),3))/3,0)</f>
        <v>0</v>
      </c>
      <c r="W17" s="7" cm="1">
        <f t="array" ref="W17">IF(FX[[#This Row],[Number_of_competition]:[Number_of_competition]]&gt;=3,(LARGE(CHOOSE({1;2;3;4},H17,K17,N17,Q17),1)+LARGE(CHOOSE({1;2;3;4},H17,K17,N17,Q17),2)+LARGE(CHOOSE({1;2;3;4},H17,K17,N17,Q17),3))/3,0)</f>
        <v>0</v>
      </c>
      <c r="Y17" s="30" t="s">
        <v>298</v>
      </c>
    </row>
    <row r="18" spans="1:25" x14ac:dyDescent="0.25">
      <c r="A18" t="s">
        <v>65</v>
      </c>
      <c r="B18" s="2" t="s">
        <v>60</v>
      </c>
      <c r="C18" s="2" t="s">
        <v>66</v>
      </c>
      <c r="D18" t="s">
        <v>67</v>
      </c>
      <c r="E18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8" s="4">
        <v>0</v>
      </c>
      <c r="G18" s="7">
        <v>0</v>
      </c>
      <c r="H18" s="7">
        <v>0</v>
      </c>
      <c r="I18" s="4">
        <v>3.8</v>
      </c>
      <c r="J18" s="7">
        <v>8.4</v>
      </c>
      <c r="K18" s="7">
        <v>12.2</v>
      </c>
      <c r="L18" s="4">
        <v>0</v>
      </c>
      <c r="M18" s="7">
        <v>0</v>
      </c>
      <c r="N18" s="7">
        <v>0</v>
      </c>
      <c r="O18" s="4">
        <v>3.9</v>
      </c>
      <c r="P18" s="7">
        <v>7.3</v>
      </c>
      <c r="Q18" s="7">
        <v>11.2</v>
      </c>
      <c r="R18" s="4">
        <f>LARGE(CHOOSE({1;2;3;4},F18,I18,L18,O18),1)+LARGE(CHOOSE({1;2;3;4},F18,I18,L18,O18),2)+LARGE(CHOOSE({1;2;3;4},F18,I18,L18,O18),3)</f>
        <v>7.6999999999999993</v>
      </c>
      <c r="S18" s="7">
        <f>LARGE(CHOOSE({1;2;3;4},G18,J18,M18,P18),1)+LARGE(CHOOSE({1;2;3;4},G18,J18,M18,P18),2)+LARGE(CHOOSE({1;2;3;4},G18,J18,M18,P18),3)</f>
        <v>15.7</v>
      </c>
      <c r="T18" s="7">
        <f>LARGE(CHOOSE({1;2;3;4},H18,K18,N18,Q18),1)+LARGE(CHOOSE({1;2;3;4},H18,K18,N18,Q18),2)+LARGE(CHOOSE({1;2;3;4},H18,K18,N18,Q18),3)</f>
        <v>23.4</v>
      </c>
      <c r="U18" s="4" cm="1">
        <f t="array" ref="U18">IF(FX[[#This Row],[Number_of_competition]:[Number_of_competition]]&gt;=3,(LARGE(CHOOSE({1;2;3;4},F18,I18,L18,O18),1)+LARGE(CHOOSE({1;2;3;4},F18,I18,L18,O18),2)+LARGE(CHOOSE({1;2;3;4},F18,I18,L18,O18),3))/3,0)</f>
        <v>0</v>
      </c>
      <c r="V18" s="7" cm="1">
        <f t="array" ref="V18">IF(FX[[#This Row],[Number_of_competition]:[Number_of_competition]]&gt;=3,(LARGE(CHOOSE({1;2;3;4},G18,J18,M18,P18),1)+LARGE(CHOOSE({1;2;3;4},G18,J18,M18,P18),2)+LARGE(CHOOSE({1;2;3;4},G18,J18,M18,P18),3))/3,0)</f>
        <v>0</v>
      </c>
      <c r="W18" s="7" cm="1">
        <f t="array" ref="W18">IF(FX[[#This Row],[Number_of_competition]:[Number_of_competition]]&gt;=3,(LARGE(CHOOSE({1;2;3;4},H18,K18,N18,Q18),1)+LARGE(CHOOSE({1;2;3;4},H18,K18,N18,Q18),2)+LARGE(CHOOSE({1;2;3;4},H18,K18,N18,Q18),3))/3,0)</f>
        <v>0</v>
      </c>
      <c r="Y18" s="31" t="s">
        <v>300</v>
      </c>
    </row>
    <row r="19" spans="1:25" x14ac:dyDescent="0.25">
      <c r="A19" t="s">
        <v>75</v>
      </c>
      <c r="B19" s="2" t="s">
        <v>60</v>
      </c>
      <c r="C19" s="2" t="s">
        <v>76</v>
      </c>
      <c r="D19" t="s">
        <v>28</v>
      </c>
      <c r="E19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19" s="4">
        <v>0</v>
      </c>
      <c r="G19" s="7">
        <v>0</v>
      </c>
      <c r="H19" s="7">
        <v>0</v>
      </c>
      <c r="I19" s="4">
        <v>3.8</v>
      </c>
      <c r="J19" s="7">
        <v>7.3</v>
      </c>
      <c r="K19" s="7">
        <v>11.1</v>
      </c>
      <c r="L19" s="4">
        <v>3.9</v>
      </c>
      <c r="M19" s="7">
        <v>7.9</v>
      </c>
      <c r="N19" s="7">
        <v>11.8</v>
      </c>
      <c r="O19" s="4">
        <v>0</v>
      </c>
      <c r="P19" s="7">
        <v>0</v>
      </c>
      <c r="Q19" s="7">
        <v>0</v>
      </c>
      <c r="R19" s="4">
        <f>LARGE(CHOOSE({1;2;3;4},F19,I19,L19,O19),1)+LARGE(CHOOSE({1;2;3;4},F19,I19,L19,O19),2)+LARGE(CHOOSE({1;2;3;4},F19,I19,L19,O19),3)</f>
        <v>7.6999999999999993</v>
      </c>
      <c r="S19" s="7">
        <f>LARGE(CHOOSE({1;2;3;4},G19,J19,M19,P19),1)+LARGE(CHOOSE({1;2;3;4},G19,J19,M19,P19),2)+LARGE(CHOOSE({1;2;3;4},G19,J19,M19,P19),3)</f>
        <v>15.2</v>
      </c>
      <c r="T19" s="7">
        <f>LARGE(CHOOSE({1;2;3;4},H19,K19,N19,Q19),1)+LARGE(CHOOSE({1;2;3;4},H19,K19,N19,Q19),2)+LARGE(CHOOSE({1;2;3;4},H19,K19,N19,Q19),3)</f>
        <v>22.9</v>
      </c>
      <c r="U19" s="4" cm="1">
        <f t="array" ref="U19">IF(FX[[#This Row],[Number_of_competition]:[Number_of_competition]]&gt;=3,(LARGE(CHOOSE({1;2;3;4},F19,I19,L19,O19),1)+LARGE(CHOOSE({1;2;3;4},F19,I19,L19,O19),2)+LARGE(CHOOSE({1;2;3;4},F19,I19,L19,O19),3))/3,0)</f>
        <v>0</v>
      </c>
      <c r="V19" s="7" cm="1">
        <f t="array" ref="V19">IF(FX[[#This Row],[Number_of_competition]:[Number_of_competition]]&gt;=3,(LARGE(CHOOSE({1;2;3;4},G19,J19,M19,P19),1)+LARGE(CHOOSE({1;2;3;4},G19,J19,M19,P19),2)+LARGE(CHOOSE({1;2;3;4},G19,J19,M19,P19),3))/3,0)</f>
        <v>0</v>
      </c>
      <c r="W19" s="7" cm="1">
        <f t="array" ref="W19">IF(FX[[#This Row],[Number_of_competition]:[Number_of_competition]]&gt;=3,(LARGE(CHOOSE({1;2;3;4},H19,K19,N19,Q19),1)+LARGE(CHOOSE({1;2;3;4},H19,K19,N19,Q19),2)+LARGE(CHOOSE({1;2;3;4},H19,K19,N19,Q19),3))/3,0)</f>
        <v>0</v>
      </c>
      <c r="Y19" s="32" t="s">
        <v>299</v>
      </c>
    </row>
    <row r="20" spans="1:25" x14ac:dyDescent="0.25">
      <c r="A20" t="s">
        <v>108</v>
      </c>
      <c r="B20" s="2" t="s">
        <v>60</v>
      </c>
      <c r="C20" s="2" t="s">
        <v>109</v>
      </c>
      <c r="D20" t="s">
        <v>62</v>
      </c>
      <c r="E20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20" s="4">
        <v>0</v>
      </c>
      <c r="G20" s="7">
        <v>0</v>
      </c>
      <c r="H20" s="7">
        <v>0</v>
      </c>
      <c r="I20" s="4">
        <v>3.3</v>
      </c>
      <c r="J20" s="7">
        <v>8.4</v>
      </c>
      <c r="K20" s="7">
        <v>11.7</v>
      </c>
      <c r="L20" s="4">
        <v>3.5</v>
      </c>
      <c r="M20" s="7">
        <v>7.45</v>
      </c>
      <c r="N20" s="7">
        <v>10.95</v>
      </c>
      <c r="O20" s="4">
        <v>0</v>
      </c>
      <c r="P20" s="7">
        <v>0</v>
      </c>
      <c r="Q20" s="7">
        <v>0</v>
      </c>
      <c r="R20" s="4">
        <f>LARGE(CHOOSE({1;2;3;4},F20,I20,L20,O20),1)+LARGE(CHOOSE({1;2;3;4},F20,I20,L20,O20),2)+LARGE(CHOOSE({1;2;3;4},F20,I20,L20,O20),3)</f>
        <v>6.8</v>
      </c>
      <c r="S20" s="7">
        <f>LARGE(CHOOSE({1;2;3;4},G20,J20,M20,P20),1)+LARGE(CHOOSE({1;2;3;4},G20,J20,M20,P20),2)+LARGE(CHOOSE({1;2;3;4},G20,J20,M20,P20),3)</f>
        <v>15.850000000000001</v>
      </c>
      <c r="T20" s="7">
        <f>LARGE(CHOOSE({1;2;3;4},H20,K20,N20,Q20),1)+LARGE(CHOOSE({1;2;3;4},H20,K20,N20,Q20),2)+LARGE(CHOOSE({1;2;3;4},H20,K20,N20,Q20),3)</f>
        <v>22.65</v>
      </c>
      <c r="U20" s="4" cm="1">
        <f t="array" ref="U20">IF(FX[[#This Row],[Number_of_competition]:[Number_of_competition]]&gt;=3,(LARGE(CHOOSE({1;2;3;4},F20,I20,L20,O20),1)+LARGE(CHOOSE({1;2;3;4},F20,I20,L20,O20),2)+LARGE(CHOOSE({1;2;3;4},F20,I20,L20,O20),3))/3,0)</f>
        <v>0</v>
      </c>
      <c r="V20" s="7" cm="1">
        <f t="array" ref="V20">IF(FX[[#This Row],[Number_of_competition]:[Number_of_competition]]&gt;=3,(LARGE(CHOOSE({1;2;3;4},G20,J20,M20,P20),1)+LARGE(CHOOSE({1;2;3;4},G20,J20,M20,P20),2)+LARGE(CHOOSE({1;2;3;4},G20,J20,M20,P20),3))/3,0)</f>
        <v>0</v>
      </c>
      <c r="W20" s="7" cm="1">
        <f t="array" ref="W20">IF(FX[[#This Row],[Number_of_competition]:[Number_of_competition]]&gt;=3,(LARGE(CHOOSE({1;2;3;4},H20,K20,N20,Q20),1)+LARGE(CHOOSE({1;2;3;4},H20,K20,N20,Q20),2)+LARGE(CHOOSE({1;2;3;4},H20,K20,N20,Q20),3))/3,0)</f>
        <v>0</v>
      </c>
      <c r="Y20" s="33" t="s">
        <v>252</v>
      </c>
    </row>
    <row r="21" spans="1:25" x14ac:dyDescent="0.25">
      <c r="A21" t="s">
        <v>104</v>
      </c>
      <c r="B21" s="2" t="s">
        <v>60</v>
      </c>
      <c r="C21" s="2" t="s">
        <v>105</v>
      </c>
      <c r="D21" t="s">
        <v>28</v>
      </c>
      <c r="E21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21" s="4">
        <v>0</v>
      </c>
      <c r="G21" s="7">
        <v>0</v>
      </c>
      <c r="H21" s="7">
        <v>0</v>
      </c>
      <c r="I21" s="4">
        <v>4.5</v>
      </c>
      <c r="J21" s="7">
        <v>6.2</v>
      </c>
      <c r="K21" s="7">
        <v>10.7</v>
      </c>
      <c r="L21" s="4">
        <v>0</v>
      </c>
      <c r="M21" s="7">
        <v>0</v>
      </c>
      <c r="N21" s="7">
        <v>0</v>
      </c>
      <c r="O21" s="4">
        <v>4.4000000000000004</v>
      </c>
      <c r="P21" s="7">
        <v>4.5</v>
      </c>
      <c r="Q21" s="7">
        <v>8.9</v>
      </c>
      <c r="R21" s="4">
        <f>LARGE(CHOOSE({1;2;3;4},F21,I21,L21,O21),1)+LARGE(CHOOSE({1;2;3;4},F21,I21,L21,O21),2)+LARGE(CHOOSE({1;2;3;4},F21,I21,L21,O21),3)</f>
        <v>8.9</v>
      </c>
      <c r="S21" s="7">
        <f>LARGE(CHOOSE({1;2;3;4},G21,J21,M21,P21),1)+LARGE(CHOOSE({1;2;3;4},G21,J21,M21,P21),2)+LARGE(CHOOSE({1;2;3;4},G21,J21,M21,P21),3)</f>
        <v>10.7</v>
      </c>
      <c r="T21" s="7">
        <f>LARGE(CHOOSE({1;2;3;4},H21,K21,N21,Q21),1)+LARGE(CHOOSE({1;2;3;4},H21,K21,N21,Q21),2)+LARGE(CHOOSE({1;2;3;4},H21,K21,N21,Q21),3)</f>
        <v>19.600000000000001</v>
      </c>
      <c r="U21" s="4" cm="1">
        <f t="array" ref="U21">IF(FX[[#This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IF(FX[[#This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IF(FX[[#This Row],[Number_of_competition]:[Number_of_competition]]&gt;=3,(LARGE(CHOOSE({1;2;3;4},H21,K21,N21,Q21),1)+LARGE(CHOOSE({1;2;3;4},H21,K21,N21,Q21),2)+LARGE(CHOOSE({1;2;3;4},H21,K21,N21,Q21),3))/3,0)</f>
        <v>0</v>
      </c>
      <c r="Y21" s="34" t="s">
        <v>301</v>
      </c>
    </row>
    <row r="22" spans="1:25" x14ac:dyDescent="0.25">
      <c r="A22" t="s">
        <v>142</v>
      </c>
      <c r="B22" s="2" t="s">
        <v>60</v>
      </c>
      <c r="C22" s="2" t="s">
        <v>143</v>
      </c>
      <c r="D22" t="s">
        <v>62</v>
      </c>
      <c r="E22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2" s="4">
        <v>4.5</v>
      </c>
      <c r="G22" s="7">
        <v>8.6999999999999993</v>
      </c>
      <c r="H22" s="7">
        <v>13.2</v>
      </c>
      <c r="I22" s="4">
        <v>0</v>
      </c>
      <c r="J22" s="7">
        <v>0</v>
      </c>
      <c r="K22" s="7">
        <v>0</v>
      </c>
      <c r="L22" s="4">
        <v>0</v>
      </c>
      <c r="M22" s="7">
        <v>0</v>
      </c>
      <c r="N22" s="7">
        <v>0</v>
      </c>
      <c r="O22" s="4">
        <v>0</v>
      </c>
      <c r="P22" s="7">
        <v>0</v>
      </c>
      <c r="Q22" s="7">
        <v>0</v>
      </c>
      <c r="R22" s="4">
        <f>LARGE(CHOOSE({1;2;3;4},F22,I22,L22,O22),1)+LARGE(CHOOSE({1;2;3;4},F22,I22,L22,O22),2)+LARGE(CHOOSE({1;2;3;4},F22,I22,L22,O22),3)</f>
        <v>4.5</v>
      </c>
      <c r="S22" s="7">
        <f>LARGE(CHOOSE({1;2;3;4},G22,J22,M22,P22),1)+LARGE(CHOOSE({1;2;3;4},G22,J22,M22,P22),2)+LARGE(CHOOSE({1;2;3;4},G22,J22,M22,P22),3)</f>
        <v>8.6999999999999993</v>
      </c>
      <c r="T22" s="7">
        <f>LARGE(CHOOSE({1;2;3;4},H22,K22,N22,Q22),1)+LARGE(CHOOSE({1;2;3;4},H22,K22,N22,Q22),2)+LARGE(CHOOSE({1;2;3;4},H22,K22,N22,Q22),3)</f>
        <v>13.2</v>
      </c>
      <c r="U22" s="4" cm="1">
        <f t="array" ref="U22">IF(FX[[#This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IF(FX[[#This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IF(FX[[#This Row],[Number_of_competition]:[Number_of_competition]]&gt;=3,(LARGE(CHOOSE({1;2;3;4},H22,K22,N22,Q22),1)+LARGE(CHOOSE({1;2;3;4},H22,K22,N22,Q22),2)+LARGE(CHOOSE({1;2;3;4},H22,K22,N22,Q22),3))/3,0)</f>
        <v>0</v>
      </c>
      <c r="Y22" s="37" t="s">
        <v>304</v>
      </c>
    </row>
    <row r="23" spans="1:25" x14ac:dyDescent="0.25">
      <c r="A23" t="s">
        <v>118</v>
      </c>
      <c r="B23" s="2" t="s">
        <v>60</v>
      </c>
      <c r="C23" s="2" t="s">
        <v>119</v>
      </c>
      <c r="D23" t="s">
        <v>31</v>
      </c>
      <c r="E23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3" s="4">
        <v>0</v>
      </c>
      <c r="G23" s="7">
        <v>0</v>
      </c>
      <c r="H23" s="7">
        <v>0</v>
      </c>
      <c r="I23" s="4">
        <v>0</v>
      </c>
      <c r="J23" s="7">
        <v>0</v>
      </c>
      <c r="K23" s="7">
        <v>0</v>
      </c>
      <c r="L23" s="4">
        <v>4.8</v>
      </c>
      <c r="M23" s="7">
        <v>7.7</v>
      </c>
      <c r="N23" s="7">
        <v>12.5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4.8</v>
      </c>
      <c r="S23" s="7">
        <f>LARGE(CHOOSE({1;2;3;4},G23,J23,M23,P23),1)+LARGE(CHOOSE({1;2;3;4},G23,J23,M23,P23),2)+LARGE(CHOOSE({1;2;3;4},G23,J23,M23,P23),3)</f>
        <v>7.7</v>
      </c>
      <c r="T23" s="7">
        <f>LARGE(CHOOSE({1;2;3;4},H23,K23,N23,Q23),1)+LARGE(CHOOSE({1;2;3;4},H23,K23,N23,Q23),2)+LARGE(CHOOSE({1;2;3;4},H23,K23,N23,Q23),3)</f>
        <v>12.5</v>
      </c>
      <c r="U23" s="4" cm="1">
        <f t="array" ref="U23">IF(FX[[#This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IF(FX[[#This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IF(FX[[#This Row],[Number_of_competition]:[Number_of_competition]]&gt;=3,(LARGE(CHOOSE({1;2;3;4},H23,K23,N23,Q23),1)+LARGE(CHOOSE({1;2;3;4},H23,K23,N23,Q23),2)+LARGE(CHOOSE({1;2;3;4},H23,K23,N23,Q23),3))/3,0)</f>
        <v>0</v>
      </c>
      <c r="Y23" s="35" t="s">
        <v>302</v>
      </c>
    </row>
    <row r="24" spans="1:25" x14ac:dyDescent="0.25">
      <c r="A24" t="s">
        <v>129</v>
      </c>
      <c r="B24" s="2" t="s">
        <v>60</v>
      </c>
      <c r="C24" s="2" t="s">
        <v>130</v>
      </c>
      <c r="D24" t="s">
        <v>72</v>
      </c>
      <c r="E24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4" s="4">
        <v>0</v>
      </c>
      <c r="G24" s="7">
        <v>0</v>
      </c>
      <c r="H24" s="7">
        <v>0</v>
      </c>
      <c r="I24" s="4">
        <v>0</v>
      </c>
      <c r="J24" s="7">
        <v>0</v>
      </c>
      <c r="K24" s="7">
        <v>0</v>
      </c>
      <c r="L24" s="4">
        <v>4.4000000000000004</v>
      </c>
      <c r="M24" s="7">
        <v>7.05</v>
      </c>
      <c r="N24" s="7">
        <v>11.45</v>
      </c>
      <c r="O24" s="4">
        <v>0</v>
      </c>
      <c r="P24" s="7">
        <v>0</v>
      </c>
      <c r="Q24" s="7">
        <v>0</v>
      </c>
      <c r="R24" s="4">
        <f>LARGE(CHOOSE({1;2;3;4},F24,I24,L24,O24),1)+LARGE(CHOOSE({1;2;3;4},F24,I24,L24,O24),2)+LARGE(CHOOSE({1;2;3;4},F24,I24,L24,O24),3)</f>
        <v>4.4000000000000004</v>
      </c>
      <c r="S24" s="7">
        <f>LARGE(CHOOSE({1;2;3;4},G24,J24,M24,P24),1)+LARGE(CHOOSE({1;2;3;4},G24,J24,M24,P24),2)+LARGE(CHOOSE({1;2;3;4},G24,J24,M24,P24),3)</f>
        <v>7.05</v>
      </c>
      <c r="T24" s="7">
        <f>LARGE(CHOOSE({1;2;3;4},H24,K24,N24,Q24),1)+LARGE(CHOOSE({1;2;3;4},H24,K24,N24,Q24),2)+LARGE(CHOOSE({1;2;3;4},H24,K24,N24,Q24),3)</f>
        <v>11.45</v>
      </c>
      <c r="U24" s="4" cm="1">
        <f t="array" ref="U24">IF(FX[[#This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IF(FX[[#This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IF(FX[[#This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</row>
    <row r="25" spans="1:25" x14ac:dyDescent="0.25">
      <c r="A25" t="s">
        <v>88</v>
      </c>
      <c r="B25" s="2" t="s">
        <v>60</v>
      </c>
      <c r="C25" s="2" t="s">
        <v>89</v>
      </c>
      <c r="D25" t="s">
        <v>36</v>
      </c>
      <c r="E25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25" s="4">
        <v>0</v>
      </c>
      <c r="G25" s="7">
        <v>0</v>
      </c>
      <c r="H25" s="7">
        <v>0</v>
      </c>
      <c r="I25" s="4">
        <v>0</v>
      </c>
      <c r="J25" s="7">
        <v>0</v>
      </c>
      <c r="K25" s="7">
        <v>0</v>
      </c>
      <c r="L25" s="4">
        <v>0</v>
      </c>
      <c r="M25" s="7">
        <v>0</v>
      </c>
      <c r="N25" s="7">
        <v>0</v>
      </c>
      <c r="O25" s="4">
        <v>3.2</v>
      </c>
      <c r="P25" s="7">
        <v>7</v>
      </c>
      <c r="Q25" s="7">
        <v>10.199999999999999</v>
      </c>
      <c r="R25" s="4">
        <f>LARGE(CHOOSE({1;2;3;4},F25,I25,L25,O25),1)+LARGE(CHOOSE({1;2;3;4},F25,I25,L25,O25),2)+LARGE(CHOOSE({1;2;3;4},F25,I25,L25,O25),3)</f>
        <v>3.2</v>
      </c>
      <c r="S25" s="7">
        <f>LARGE(CHOOSE({1;2;3;4},G25,J25,M25,P25),1)+LARGE(CHOOSE({1;2;3;4},G25,J25,M25,P25),2)+LARGE(CHOOSE({1;2;3;4},G25,J25,M25,P25),3)</f>
        <v>7</v>
      </c>
      <c r="T25" s="7">
        <f>LARGE(CHOOSE({1;2;3;4},H25,K25,N25,Q25),1)+LARGE(CHOOSE({1;2;3;4},H25,K25,N25,Q25),2)+LARGE(CHOOSE({1;2;3;4},H25,K25,N25,Q25),3)</f>
        <v>10.199999999999999</v>
      </c>
      <c r="U25" s="4" cm="1">
        <f t="array" ref="U25">IF(FX[[#This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IF(FX[[#This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IF(FX[[#This Row],[Number_of_competition]:[Number_of_competition]]&gt;=3,(LARGE(CHOOSE({1;2;3;4},H25,K25,N25,Q25),1)+LARGE(CHOOSE({1;2;3;4},H25,K25,N25,Q25),2)+LARGE(CHOOSE({1;2;3;4},H25,K25,N25,Q25),3))/3,0)</f>
        <v>0</v>
      </c>
    </row>
    <row r="26" spans="1:25" x14ac:dyDescent="0.25">
      <c r="A26" t="s">
        <v>29</v>
      </c>
      <c r="B26" s="2" t="s">
        <v>26</v>
      </c>
      <c r="C26" s="2" t="s">
        <v>30</v>
      </c>
      <c r="D26" t="s">
        <v>31</v>
      </c>
      <c r="E26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26" s="4">
        <v>4</v>
      </c>
      <c r="G26" s="7">
        <v>8.9499999999999993</v>
      </c>
      <c r="H26" s="7">
        <v>12.95</v>
      </c>
      <c r="I26" s="4">
        <v>4.3</v>
      </c>
      <c r="J26" s="7">
        <v>8.15</v>
      </c>
      <c r="K26" s="7">
        <v>12.45</v>
      </c>
      <c r="L26" s="4">
        <v>0</v>
      </c>
      <c r="M26" s="7">
        <v>0</v>
      </c>
      <c r="N26" s="7">
        <v>0</v>
      </c>
      <c r="O26" s="4">
        <v>4.4000000000000004</v>
      </c>
      <c r="P26" s="7">
        <v>7.5</v>
      </c>
      <c r="Q26" s="7">
        <v>11.9</v>
      </c>
      <c r="R26" s="4">
        <f>LARGE(CHOOSE({1;2;3;4},F26,I26,L26,O26),1)+LARGE(CHOOSE({1;2;3;4},F26,I26,L26,O26),2)+LARGE(CHOOSE({1;2;3;4},F26,I26,L26,O26),3)</f>
        <v>12.7</v>
      </c>
      <c r="S26" s="7">
        <f>LARGE(CHOOSE({1;2;3;4},G26,J26,M26,P26),1)+LARGE(CHOOSE({1;2;3;4},G26,J26,M26,P26),2)+LARGE(CHOOSE({1;2;3;4},G26,J26,M26,P26),3)</f>
        <v>24.6</v>
      </c>
      <c r="T26" s="7">
        <f>LARGE(CHOOSE({1;2;3;4},H26,K26,N26,Q26),1)+LARGE(CHOOSE({1;2;3;4},H26,K26,N26,Q26),2)+LARGE(CHOOSE({1;2;3;4},H26,K26,N26,Q26),3)</f>
        <v>37.299999999999997</v>
      </c>
      <c r="U26" s="4" cm="1">
        <f t="array" ref="U26">IF(FX[[#This Row],[Number_of_competition]:[Number_of_competition]]&gt;=3,(LARGE(CHOOSE({1;2;3;4},F26,I26,L26,O26),1)+LARGE(CHOOSE({1;2;3;4},F26,I26,L26,O26),2)+LARGE(CHOOSE({1;2;3;4},F26,I26,L26,O26),3))/3,0)</f>
        <v>4.2333333333333334</v>
      </c>
      <c r="V26" s="7" cm="1">
        <f t="array" ref="V26">IF(FX[[#This Row],[Number_of_competition]:[Number_of_competition]]&gt;=3,(LARGE(CHOOSE({1;2;3;4},G26,J26,M26,P26),1)+LARGE(CHOOSE({1;2;3;4},G26,J26,M26,P26),2)+LARGE(CHOOSE({1;2;3;4},G26,J26,M26,P26),3))/3,0)</f>
        <v>8.2000000000000011</v>
      </c>
      <c r="W26" s="7" cm="1">
        <f t="array" ref="W26">IF(FX[[#This Row],[Number_of_competition]:[Number_of_competition]]&gt;=3,(LARGE(CHOOSE({1;2;3;4},H26,K26,N26,Q26),1)+LARGE(CHOOSE({1;2;3;4},H26,K26,N26,Q26),2)+LARGE(CHOOSE({1;2;3;4},H26,K26,N26,Q26),3))/3,0)</f>
        <v>12.433333333333332</v>
      </c>
    </row>
    <row r="27" spans="1:25" x14ac:dyDescent="0.25">
      <c r="A27" t="s">
        <v>32</v>
      </c>
      <c r="B27" s="2" t="s">
        <v>26</v>
      </c>
      <c r="C27" s="2" t="s">
        <v>33</v>
      </c>
      <c r="D27" t="s">
        <v>31</v>
      </c>
      <c r="E27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7" s="4">
        <v>4.2</v>
      </c>
      <c r="G27" s="7">
        <v>8.6</v>
      </c>
      <c r="H27" s="7">
        <v>12.8</v>
      </c>
      <c r="I27" s="4">
        <v>4.2</v>
      </c>
      <c r="J27" s="7">
        <v>8.5500000000000007</v>
      </c>
      <c r="K27" s="7">
        <v>12.75</v>
      </c>
      <c r="L27" s="4">
        <v>4.2</v>
      </c>
      <c r="M27" s="7">
        <v>8.3000000000000007</v>
      </c>
      <c r="N27" s="7">
        <v>12.5</v>
      </c>
      <c r="O27" s="4">
        <v>4.0999999999999996</v>
      </c>
      <c r="P27" s="7">
        <v>7.8</v>
      </c>
      <c r="Q27" s="7">
        <v>11.9</v>
      </c>
      <c r="R27" s="4">
        <f>LARGE(CHOOSE({1;2;3;4},F27,I27,L27,O27),1)+LARGE(CHOOSE({1;2;3;4},F27,I27,L27,O27),2)+LARGE(CHOOSE({1;2;3;4},F27,I27,L27,O27),3)</f>
        <v>12.600000000000001</v>
      </c>
      <c r="S27" s="7">
        <f>LARGE(CHOOSE({1;2;3;4},G27,J27,M27,P27),1)+LARGE(CHOOSE({1;2;3;4},G27,J27,M27,P27),2)+LARGE(CHOOSE({1;2;3;4},G27,J27,M27,P27),3)</f>
        <v>25.45</v>
      </c>
      <c r="T27" s="7">
        <f>LARGE(CHOOSE({1;2;3;4},H27,K27,N27,Q27),1)+LARGE(CHOOSE({1;2;3;4},H27,K27,N27,Q27),2)+LARGE(CHOOSE({1;2;3;4},H27,K27,N27,Q27),3)</f>
        <v>38.049999999999997</v>
      </c>
      <c r="U27" s="4" cm="1">
        <f t="array" ref="U27">IF(FX[[#This Row],[Number_of_competition]:[Number_of_competition]]&gt;=3,(LARGE(CHOOSE({1;2;3;4},F27,I27,L27,O27),1)+LARGE(CHOOSE({1;2;3;4},F27,I27,L27,O27),2)+LARGE(CHOOSE({1;2;3;4},F27,I27,L27,O27),3))/3,0)</f>
        <v>4.2</v>
      </c>
      <c r="V27" s="7" cm="1">
        <f t="array" ref="V27">IF(FX[[#This Row],[Number_of_competition]:[Number_of_competition]]&gt;=3,(LARGE(CHOOSE({1;2;3;4},G27,J27,M27,P27),1)+LARGE(CHOOSE({1;2;3;4},G27,J27,M27,P27),2)+LARGE(CHOOSE({1;2;3;4},G27,J27,M27,P27),3))/3,0)</f>
        <v>8.4833333333333325</v>
      </c>
      <c r="W27" s="7" cm="1">
        <f t="array" ref="W27">IF(FX[[#This Row],[Number_of_competition]:[Number_of_competition]]&gt;=3,(LARGE(CHOOSE({1;2;3;4},H27,K27,N27,Q27),1)+LARGE(CHOOSE({1;2;3;4},H27,K27,N27,Q27),2)+LARGE(CHOOSE({1;2;3;4},H27,K27,N27,Q27),3))/3,0)</f>
        <v>12.683333333333332</v>
      </c>
    </row>
    <row r="28" spans="1:25" x14ac:dyDescent="0.25">
      <c r="A28" t="s">
        <v>25</v>
      </c>
      <c r="B28" s="2" t="s">
        <v>26</v>
      </c>
      <c r="C28" s="2" t="s">
        <v>27</v>
      </c>
      <c r="D28" t="s">
        <v>28</v>
      </c>
      <c r="E28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8" s="4">
        <v>4</v>
      </c>
      <c r="G28" s="7">
        <v>8.9499999999999993</v>
      </c>
      <c r="H28" s="7">
        <v>12.95</v>
      </c>
      <c r="I28" s="4">
        <v>4</v>
      </c>
      <c r="J28" s="7">
        <v>8.6999999999999993</v>
      </c>
      <c r="K28" s="7">
        <v>12.7</v>
      </c>
      <c r="L28" s="4">
        <v>4</v>
      </c>
      <c r="M28" s="7">
        <v>8.4499999999999993</v>
      </c>
      <c r="N28" s="7">
        <v>12.45</v>
      </c>
      <c r="O28" s="4">
        <v>4</v>
      </c>
      <c r="P28" s="7">
        <v>7.9</v>
      </c>
      <c r="Q28" s="7">
        <v>11.9</v>
      </c>
      <c r="R28" s="4">
        <f>LARGE(CHOOSE({1;2;3;4},F28,I28,L28,O28),1)+LARGE(CHOOSE({1;2;3;4},F28,I28,L28,O28),2)+LARGE(CHOOSE({1;2;3;4},F28,I28,L28,O28),3)</f>
        <v>12</v>
      </c>
      <c r="S28" s="7">
        <f>LARGE(CHOOSE({1;2;3;4},G28,J28,M28,P28),1)+LARGE(CHOOSE({1;2;3;4},G28,J28,M28,P28),2)+LARGE(CHOOSE({1;2;3;4},G28,J28,M28,P28),3)</f>
        <v>26.099999999999998</v>
      </c>
      <c r="T28" s="7">
        <f>LARGE(CHOOSE({1;2;3;4},H28,K28,N28,Q28),1)+LARGE(CHOOSE({1;2;3;4},H28,K28,N28,Q28),2)+LARGE(CHOOSE({1;2;3;4},H28,K28,N28,Q28),3)</f>
        <v>38.099999999999994</v>
      </c>
      <c r="U28" s="4" cm="1">
        <f t="array" ref="U28">IF(FX[[#This Row],[Number_of_competition]:[Number_of_competition]]&gt;=3,(LARGE(CHOOSE({1;2;3;4},F28,I28,L28,O28),1)+LARGE(CHOOSE({1;2;3;4},F28,I28,L28,O28),2)+LARGE(CHOOSE({1;2;3;4},F28,I28,L28,O28),3))/3,0)</f>
        <v>4</v>
      </c>
      <c r="V28" s="7" cm="1">
        <f t="array" ref="V28">IF(FX[[#This Row],[Number_of_competition]:[Number_of_competition]]&gt;=3,(LARGE(CHOOSE({1;2;3;4},G28,J28,M28,P28),1)+LARGE(CHOOSE({1;2;3;4},G28,J28,M28,P28),2)+LARGE(CHOOSE({1;2;3;4},G28,J28,M28,P28),3))/3,0)</f>
        <v>8.6999999999999993</v>
      </c>
      <c r="W28" s="7" cm="1">
        <f t="array" ref="W28">IF(FX[[#This Row],[Number_of_competition]:[Number_of_competition]]&gt;=3,(LARGE(CHOOSE({1;2;3;4},H28,K28,N28,Q28),1)+LARGE(CHOOSE({1;2;3;4},H28,K28,N28,Q28),2)+LARGE(CHOOSE({1;2;3;4},H28,K28,N28,Q28),3))/3,0)</f>
        <v>12.699999999999998</v>
      </c>
    </row>
    <row r="29" spans="1:25" x14ac:dyDescent="0.25">
      <c r="A29" t="s">
        <v>42</v>
      </c>
      <c r="B29" s="2" t="s">
        <v>26</v>
      </c>
      <c r="C29" s="2" t="s">
        <v>43</v>
      </c>
      <c r="D29" t="s">
        <v>36</v>
      </c>
      <c r="E29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29" s="4">
        <v>4</v>
      </c>
      <c r="G29" s="7">
        <v>8.1999999999999993</v>
      </c>
      <c r="H29" s="7">
        <v>12.2</v>
      </c>
      <c r="I29" s="4">
        <v>3.4</v>
      </c>
      <c r="J29" s="7">
        <v>8.4</v>
      </c>
      <c r="K29" s="7">
        <v>11.8</v>
      </c>
      <c r="L29" s="4">
        <v>3.8</v>
      </c>
      <c r="M29" s="7">
        <v>7.1</v>
      </c>
      <c r="N29" s="7">
        <v>10.9</v>
      </c>
      <c r="O29" s="4">
        <v>3.4</v>
      </c>
      <c r="P29" s="7">
        <v>7.5</v>
      </c>
      <c r="Q29" s="7">
        <v>10.9</v>
      </c>
      <c r="R29" s="4">
        <f>LARGE(CHOOSE({1;2;3;4},F29,I29,L29,O29),1)+LARGE(CHOOSE({1;2;3;4},F29,I29,L29,O29),2)+LARGE(CHOOSE({1;2;3;4},F29,I29,L29,O29),3)</f>
        <v>11.2</v>
      </c>
      <c r="S29" s="7">
        <f>LARGE(CHOOSE({1;2;3;4},G29,J29,M29,P29),1)+LARGE(CHOOSE({1;2;3;4},G29,J29,M29,P29),2)+LARGE(CHOOSE({1;2;3;4},G29,J29,M29,P29),3)</f>
        <v>24.1</v>
      </c>
      <c r="T29" s="7">
        <f>LARGE(CHOOSE({1;2;3;4},H29,K29,N29,Q29),1)+LARGE(CHOOSE({1;2;3;4},H29,K29,N29,Q29),2)+LARGE(CHOOSE({1;2;3;4},H29,K29,N29,Q29),3)</f>
        <v>34.9</v>
      </c>
      <c r="U29" s="4" cm="1">
        <f t="array" ref="U29">IF(FX[[#This Row],[Number_of_competition]:[Number_of_competition]]&gt;=3,(LARGE(CHOOSE({1;2;3;4},F29,I29,L29,O29),1)+LARGE(CHOOSE({1;2;3;4},F29,I29,L29,O29),2)+LARGE(CHOOSE({1;2;3;4},F29,I29,L29,O29),3))/3,0)</f>
        <v>3.7333333333333329</v>
      </c>
      <c r="V29" s="7" cm="1">
        <f t="array" ref="V29">IF(FX[[#This Row],[Number_of_competition]:[Number_of_competition]]&gt;=3,(LARGE(CHOOSE({1;2;3;4},G29,J29,M29,P29),1)+LARGE(CHOOSE({1;2;3;4},G29,J29,M29,P29),2)+LARGE(CHOOSE({1;2;3;4},G29,J29,M29,P29),3))/3,0)</f>
        <v>8.0333333333333332</v>
      </c>
      <c r="W29" s="7" cm="1">
        <f t="array" ref="W29">IF(FX[[#This Row],[Number_of_competition]:[Number_of_competition]]&gt;=3,(LARGE(CHOOSE({1;2;3;4},H29,K29,N29,Q29),1)+LARGE(CHOOSE({1;2;3;4},H29,K29,N29,Q29),2)+LARGE(CHOOSE({1;2;3;4},H29,K29,N29,Q29),3))/3,0)</f>
        <v>11.633333333333333</v>
      </c>
    </row>
    <row r="30" spans="1:25" x14ac:dyDescent="0.25">
      <c r="A30" t="s">
        <v>34</v>
      </c>
      <c r="B30" s="2" t="s">
        <v>26</v>
      </c>
      <c r="C30" s="2" t="s">
        <v>35</v>
      </c>
      <c r="D30" t="s">
        <v>36</v>
      </c>
      <c r="E30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0" s="4">
        <v>3.8</v>
      </c>
      <c r="G30" s="7">
        <v>8.6999999999999993</v>
      </c>
      <c r="H30" s="7">
        <v>12.5</v>
      </c>
      <c r="I30" s="4">
        <v>3.7</v>
      </c>
      <c r="J30" s="7">
        <v>8.1</v>
      </c>
      <c r="K30" s="7">
        <v>11.8</v>
      </c>
      <c r="L30" s="4">
        <v>3.6</v>
      </c>
      <c r="M30" s="7">
        <v>8.25</v>
      </c>
      <c r="N30" s="7">
        <v>11.85</v>
      </c>
      <c r="O30" s="4">
        <v>3.6</v>
      </c>
      <c r="P30" s="7">
        <v>7.4</v>
      </c>
      <c r="Q30" s="7">
        <v>11</v>
      </c>
      <c r="R30" s="4">
        <f>LARGE(CHOOSE({1;2;3;4},F30,I30,L30,O30),1)+LARGE(CHOOSE({1;2;3;4},F30,I30,L30,O30),2)+LARGE(CHOOSE({1;2;3;4},F30,I30,L30,O30),3)</f>
        <v>11.1</v>
      </c>
      <c r="S30" s="7">
        <f>LARGE(CHOOSE({1;2;3;4},G30,J30,M30,P30),1)+LARGE(CHOOSE({1;2;3;4},G30,J30,M30,P30),2)+LARGE(CHOOSE({1;2;3;4},G30,J30,M30,P30),3)</f>
        <v>25.049999999999997</v>
      </c>
      <c r="T30" s="7">
        <f>LARGE(CHOOSE({1;2;3;4},H30,K30,N30,Q30),1)+LARGE(CHOOSE({1;2;3;4},H30,K30,N30,Q30),2)+LARGE(CHOOSE({1;2;3;4},H30,K30,N30,Q30),3)</f>
        <v>36.150000000000006</v>
      </c>
      <c r="U30" s="4" cm="1">
        <f t="array" ref="U30">IF(FX[[#This Row],[Number_of_competition]:[Number_of_competition]]&gt;=3,(LARGE(CHOOSE({1;2;3;4},F30,I30,L30,O30),1)+LARGE(CHOOSE({1;2;3;4},F30,I30,L30,O30),2)+LARGE(CHOOSE({1;2;3;4},F30,I30,L30,O30),3))/3,0)</f>
        <v>3.6999999999999997</v>
      </c>
      <c r="V30" s="7" cm="1">
        <f t="array" ref="V30">IF(FX[[#This Row],[Number_of_competition]:[Number_of_competition]]&gt;=3,(LARGE(CHOOSE({1;2;3;4},G30,J30,M30,P30),1)+LARGE(CHOOSE({1;2;3;4},G30,J30,M30,P30),2)+LARGE(CHOOSE({1;2;3;4},G30,J30,M30,P30),3))/3,0)</f>
        <v>8.35</v>
      </c>
      <c r="W30" s="7" cm="1">
        <f t="array" ref="W30">IF(FX[[#This Row],[Number_of_competition]:[Number_of_competition]]&gt;=3,(LARGE(CHOOSE({1;2;3;4},H30,K30,N30,Q30),1)+LARGE(CHOOSE({1;2;3;4},H30,K30,N30,Q30),2)+LARGE(CHOOSE({1;2;3;4},H30,K30,N30,Q30),3))/3,0)</f>
        <v>12.050000000000002</v>
      </c>
    </row>
    <row r="31" spans="1:25" x14ac:dyDescent="0.25">
      <c r="A31" t="s">
        <v>48</v>
      </c>
      <c r="B31" s="2" t="s">
        <v>26</v>
      </c>
      <c r="C31" s="2" t="s">
        <v>49</v>
      </c>
      <c r="D31" t="s">
        <v>36</v>
      </c>
      <c r="E31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1" s="4">
        <v>3.7</v>
      </c>
      <c r="G31" s="7">
        <v>7.4</v>
      </c>
      <c r="H31" s="7">
        <v>11.1</v>
      </c>
      <c r="I31" s="4">
        <v>3.2</v>
      </c>
      <c r="J31" s="7">
        <v>8.15</v>
      </c>
      <c r="K31" s="7">
        <v>11.35</v>
      </c>
      <c r="L31" s="4">
        <v>3.5</v>
      </c>
      <c r="M31" s="7">
        <v>7.65</v>
      </c>
      <c r="N31" s="7">
        <v>11.15</v>
      </c>
      <c r="O31" s="4">
        <v>3.2</v>
      </c>
      <c r="P31" s="7">
        <v>7.9</v>
      </c>
      <c r="Q31" s="7">
        <v>11.1</v>
      </c>
      <c r="R31" s="4">
        <f>LARGE(CHOOSE({1;2;3;4},F31,I31,L31,O31),1)+LARGE(CHOOSE({1;2;3;4},F31,I31,L31,O31),2)+LARGE(CHOOSE({1;2;3;4},F31,I31,L31,O31),3)</f>
        <v>10.4</v>
      </c>
      <c r="S31" s="7">
        <f>LARGE(CHOOSE({1;2;3;4},G31,J31,M31,P31),1)+LARGE(CHOOSE({1;2;3;4},G31,J31,M31,P31),2)+LARGE(CHOOSE({1;2;3;4},G31,J31,M31,P31),3)</f>
        <v>23.700000000000003</v>
      </c>
      <c r="T31" s="7">
        <f>LARGE(CHOOSE({1;2;3;4},H31,K31,N31,Q31),1)+LARGE(CHOOSE({1;2;3;4},H31,K31,N31,Q31),2)+LARGE(CHOOSE({1;2;3;4},H31,K31,N31,Q31),3)</f>
        <v>33.6</v>
      </c>
      <c r="U31" s="4" cm="1">
        <f t="array" ref="U31">IF(FX[[#This Row],[Number_of_competition]:[Number_of_competition]]&gt;=3,(LARGE(CHOOSE({1;2;3;4},F31,I31,L31,O31),1)+LARGE(CHOOSE({1;2;3;4},F31,I31,L31,O31),2)+LARGE(CHOOSE({1;2;3;4},F31,I31,L31,O31),3))/3,0)</f>
        <v>3.4666666666666668</v>
      </c>
      <c r="V31" s="7" cm="1">
        <f t="array" ref="V31">IF(FX[[#This Row],[Number_of_competition]:[Number_of_competition]]&gt;=3,(LARGE(CHOOSE({1;2;3;4},G31,J31,M31,P31),1)+LARGE(CHOOSE({1;2;3;4},G31,J31,M31,P31),2)+LARGE(CHOOSE({1;2;3;4},G31,J31,M31,P31),3))/3,0)</f>
        <v>7.9000000000000012</v>
      </c>
      <c r="W31" s="7" cm="1">
        <f t="array" ref="W31">IF(FX[[#This Row],[Number_of_competition]:[Number_of_competition]]&gt;=3,(LARGE(CHOOSE({1;2;3;4},H31,K31,N31,Q31),1)+LARGE(CHOOSE({1;2;3;4},H31,K31,N31,Q31),2)+LARGE(CHOOSE({1;2;3;4},H31,K31,N31,Q31),3))/3,0)</f>
        <v>11.200000000000001</v>
      </c>
    </row>
    <row r="32" spans="1:25" x14ac:dyDescent="0.25">
      <c r="A32" t="s">
        <v>44</v>
      </c>
      <c r="B32" s="2" t="s">
        <v>26</v>
      </c>
      <c r="C32" s="2" t="s">
        <v>45</v>
      </c>
      <c r="D32" t="s">
        <v>39</v>
      </c>
      <c r="E32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2" s="4">
        <v>3.4</v>
      </c>
      <c r="G32" s="7">
        <v>8.4</v>
      </c>
      <c r="H32" s="7">
        <v>11.8</v>
      </c>
      <c r="I32" s="4">
        <v>3.1</v>
      </c>
      <c r="J32" s="7">
        <v>8.35</v>
      </c>
      <c r="K32" s="7">
        <v>11.45</v>
      </c>
      <c r="L32" s="4">
        <v>3.4</v>
      </c>
      <c r="M32" s="7">
        <v>8.0500000000000007</v>
      </c>
      <c r="N32" s="7">
        <v>11.45</v>
      </c>
      <c r="O32" s="4">
        <v>3.3</v>
      </c>
      <c r="P32" s="7">
        <v>7.2</v>
      </c>
      <c r="Q32" s="7">
        <v>10.5</v>
      </c>
      <c r="R32" s="4">
        <f>LARGE(CHOOSE({1;2;3;4},F32,I32,L32,O32),1)+LARGE(CHOOSE({1;2;3;4},F32,I32,L32,O32),2)+LARGE(CHOOSE({1;2;3;4},F32,I32,L32,O32),3)</f>
        <v>10.1</v>
      </c>
      <c r="S32" s="7">
        <f>LARGE(CHOOSE({1;2;3;4},G32,J32,M32,P32),1)+LARGE(CHOOSE({1;2;3;4},G32,J32,M32,P32),2)+LARGE(CHOOSE({1;2;3;4},G32,J32,M32,P32),3)</f>
        <v>24.8</v>
      </c>
      <c r="T32" s="7">
        <f>LARGE(CHOOSE({1;2;3;4},H32,K32,N32,Q32),1)+LARGE(CHOOSE({1;2;3;4},H32,K32,N32,Q32),2)+LARGE(CHOOSE({1;2;3;4},H32,K32,N32,Q32),3)</f>
        <v>34.700000000000003</v>
      </c>
      <c r="U32" s="4" cm="1">
        <f t="array" ref="U32">IF(FX[[#This Row],[Number_of_competition]:[Number_of_competition]]&gt;=3,(LARGE(CHOOSE({1;2;3;4},F32,I32,L32,O32),1)+LARGE(CHOOSE({1;2;3;4},F32,I32,L32,O32),2)+LARGE(CHOOSE({1;2;3;4},F32,I32,L32,O32),3))/3,0)</f>
        <v>3.3666666666666667</v>
      </c>
      <c r="V32" s="7" cm="1">
        <f t="array" ref="V32">IF(FX[[#This Row],[Number_of_competition]:[Number_of_competition]]&gt;=3,(LARGE(CHOOSE({1;2;3;4},G32,J32,M32,P32),1)+LARGE(CHOOSE({1;2;3;4},G32,J32,M32,P32),2)+LARGE(CHOOSE({1;2;3;4},G32,J32,M32,P32),3))/3,0)</f>
        <v>8.2666666666666675</v>
      </c>
      <c r="W32" s="7" cm="1">
        <f t="array" ref="W32">IF(FX[[#This Row],[Number_of_competition]:[Number_of_competition]]&gt;=3,(LARGE(CHOOSE({1;2;3;4},H32,K32,N32,Q32),1)+LARGE(CHOOSE({1;2;3;4},H32,K32,N32,Q32),2)+LARGE(CHOOSE({1;2;3;4},H32,K32,N32,Q32),3))/3,0)</f>
        <v>11.566666666666668</v>
      </c>
    </row>
    <row r="33" spans="1:23" x14ac:dyDescent="0.25">
      <c r="A33" t="s">
        <v>40</v>
      </c>
      <c r="B33" s="2" t="s">
        <v>26</v>
      </c>
      <c r="C33" s="2" t="s">
        <v>41</v>
      </c>
      <c r="D33" t="s">
        <v>39</v>
      </c>
      <c r="E33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33" s="4">
        <v>0</v>
      </c>
      <c r="G33" s="7">
        <v>0</v>
      </c>
      <c r="H33" s="7">
        <v>0</v>
      </c>
      <c r="I33" s="4">
        <v>3.4</v>
      </c>
      <c r="J33" s="7">
        <v>8.1999999999999993</v>
      </c>
      <c r="K33" s="7">
        <v>11.6</v>
      </c>
      <c r="L33" s="4">
        <v>3.4</v>
      </c>
      <c r="M33" s="7">
        <v>7.95</v>
      </c>
      <c r="N33" s="7">
        <v>11.35</v>
      </c>
      <c r="O33" s="4">
        <v>3.1</v>
      </c>
      <c r="P33" s="7">
        <v>7.3</v>
      </c>
      <c r="Q33" s="7">
        <v>10.4</v>
      </c>
      <c r="R33" s="4">
        <f>LARGE(CHOOSE({1;2;3;4},F33,I33,L33,O33),1)+LARGE(CHOOSE({1;2;3;4},F33,I33,L33,O33),2)+LARGE(CHOOSE({1;2;3;4},F33,I33,L33,O33),3)</f>
        <v>9.9</v>
      </c>
      <c r="S33" s="7">
        <f>LARGE(CHOOSE({1;2;3;4},G33,J33,M33,P33),1)+LARGE(CHOOSE({1;2;3;4},G33,J33,M33,P33),2)+LARGE(CHOOSE({1;2;3;4},G33,J33,M33,P33),3)</f>
        <v>23.45</v>
      </c>
      <c r="T33" s="7">
        <f>LARGE(CHOOSE({1;2;3;4},H33,K33,N33,Q33),1)+LARGE(CHOOSE({1;2;3;4},H33,K33,N33,Q33),2)+LARGE(CHOOSE({1;2;3;4},H33,K33,N33,Q33),3)</f>
        <v>33.35</v>
      </c>
      <c r="U33" s="4" cm="1">
        <f t="array" ref="U33">IF(FX[[#This Row],[Number_of_competition]:[Number_of_competition]]&gt;=3,(LARGE(CHOOSE({1;2;3;4},F33,I33,L33,O33),1)+LARGE(CHOOSE({1;2;3;4},F33,I33,L33,O33),2)+LARGE(CHOOSE({1;2;3;4},F33,I33,L33,O33),3))/3,0)</f>
        <v>3.3000000000000003</v>
      </c>
      <c r="V33" s="7" cm="1">
        <f t="array" ref="V33">IF(FX[[#This Row],[Number_of_competition]:[Number_of_competition]]&gt;=3,(LARGE(CHOOSE({1;2;3;4},G33,J33,M33,P33),1)+LARGE(CHOOSE({1;2;3;4},G33,J33,M33,P33),2)+LARGE(CHOOSE({1;2;3;4},G33,J33,M33,P33),3))/3,0)</f>
        <v>7.8166666666666664</v>
      </c>
      <c r="W33" s="7" cm="1">
        <f t="array" ref="W33">IF(FX[[#This Row],[Number_of_competition]:[Number_of_competition]]&gt;=3,(LARGE(CHOOSE({1;2;3;4},H33,K33,N33,Q33),1)+LARGE(CHOOSE({1;2;3;4},H33,K33,N33,Q33),2)+LARGE(CHOOSE({1;2;3;4},H33,K33,N33,Q33),3))/3,0)</f>
        <v>11.116666666666667</v>
      </c>
    </row>
    <row r="34" spans="1:23" x14ac:dyDescent="0.25">
      <c r="A34" t="s">
        <v>37</v>
      </c>
      <c r="B34" s="2" t="s">
        <v>26</v>
      </c>
      <c r="C34" s="2" t="s">
        <v>38</v>
      </c>
      <c r="D34" t="s">
        <v>39</v>
      </c>
      <c r="E34" s="6">
        <f>COUNTIF(FX[[#This Row],[bydgoszcz_FX_Total_Score]],"&gt;0")+COUNTIF(FX[[#This Row],[zabrze_FX_Total_Score]],"&gt;0")+COUNTIF(FX[[#This Row],[cracow_FX_Total_Score]],"&gt;0")+COUNTIF(FX[[#This Row],[gdansk_FX_Total_Score]],"&gt;0")</f>
        <v>4</v>
      </c>
      <c r="F34" s="4">
        <v>3.3</v>
      </c>
      <c r="G34" s="7">
        <v>8.3000000000000007</v>
      </c>
      <c r="H34" s="7">
        <v>11.6</v>
      </c>
      <c r="I34" s="4">
        <v>3.3</v>
      </c>
      <c r="J34" s="7">
        <v>8.3000000000000007</v>
      </c>
      <c r="K34" s="7">
        <v>11.6</v>
      </c>
      <c r="L34" s="4">
        <v>3.3</v>
      </c>
      <c r="M34" s="7">
        <v>7.25</v>
      </c>
      <c r="N34" s="7">
        <v>10.55</v>
      </c>
      <c r="O34" s="4">
        <v>3.3</v>
      </c>
      <c r="P34" s="7">
        <v>5.9</v>
      </c>
      <c r="Q34" s="7">
        <v>9.1999999999999993</v>
      </c>
      <c r="R34" s="4">
        <f>LARGE(CHOOSE({1;2;3;4},F34,I34,L34,O34),1)+LARGE(CHOOSE({1;2;3;4},F34,I34,L34,O34),2)+LARGE(CHOOSE({1;2;3;4},F34,I34,L34,O34),3)</f>
        <v>9.8999999999999986</v>
      </c>
      <c r="S34" s="7">
        <f>LARGE(CHOOSE({1;2;3;4},G34,J34,M34,P34),1)+LARGE(CHOOSE({1;2;3;4},G34,J34,M34,P34),2)+LARGE(CHOOSE({1;2;3;4},G34,J34,M34,P34),3)</f>
        <v>23.85</v>
      </c>
      <c r="T34" s="7">
        <f>LARGE(CHOOSE({1;2;3;4},H34,K34,N34,Q34),1)+LARGE(CHOOSE({1;2;3;4},H34,K34,N34,Q34),2)+LARGE(CHOOSE({1;2;3;4},H34,K34,N34,Q34),3)</f>
        <v>33.75</v>
      </c>
      <c r="U34" s="4" cm="1">
        <f t="array" ref="U34">IF(FX[[#This Row],[Number_of_competition]:[Number_of_competition]]&gt;=3,(LARGE(CHOOSE({1;2;3;4},F34,I34,L34,O34),1)+LARGE(CHOOSE({1;2;3;4},F34,I34,L34,O34),2)+LARGE(CHOOSE({1;2;3;4},F34,I34,L34,O34),3))/3,0)</f>
        <v>3.2999999999999994</v>
      </c>
      <c r="V34" s="7" cm="1">
        <f t="array" ref="V34">IF(FX[[#This Row],[Number_of_competition]:[Number_of_competition]]&gt;=3,(LARGE(CHOOSE({1;2;3;4},G34,J34,M34,P34),1)+LARGE(CHOOSE({1;2;3;4},G34,J34,M34,P34),2)+LARGE(CHOOSE({1;2;3;4},G34,J34,M34,P34),3))/3,0)</f>
        <v>7.95</v>
      </c>
      <c r="W34" s="7" cm="1">
        <f t="array" ref="W34">IF(FX[[#This Row],[Number_of_competition]:[Number_of_competition]]&gt;=3,(LARGE(CHOOSE({1;2;3;4},H34,K34,N34,Q34),1)+LARGE(CHOOSE({1;2;3;4},H34,K34,N34,Q34),2)+LARGE(CHOOSE({1;2;3;4},H34,K34,N34,Q34),3))/3,0)</f>
        <v>11.25</v>
      </c>
    </row>
    <row r="35" spans="1:23" x14ac:dyDescent="0.25">
      <c r="A35" t="s">
        <v>46</v>
      </c>
      <c r="B35" s="2" t="s">
        <v>26</v>
      </c>
      <c r="C35" s="2" t="s">
        <v>47</v>
      </c>
      <c r="D35" t="s">
        <v>36</v>
      </c>
      <c r="E35" s="6">
        <f>COUNTIF(FX[[#This Row],[bydgoszcz_FX_Total_Score]],"&gt;0")+COUNTIF(FX[[#This Row],[zabrze_FX_Total_Score]],"&gt;0")+COUNTIF(FX[[#This Row],[cracow_FX_Total_Score]],"&gt;0")+COUNTIF(FX[[#This Row],[gdansk_FX_Total_Score]],"&gt;0")</f>
        <v>3</v>
      </c>
      <c r="F35" s="4">
        <v>0</v>
      </c>
      <c r="G35" s="7">
        <v>0</v>
      </c>
      <c r="H35" s="7">
        <v>0</v>
      </c>
      <c r="I35" s="4">
        <v>2.9</v>
      </c>
      <c r="J35" s="7">
        <v>8.1999999999999993</v>
      </c>
      <c r="K35" s="7">
        <v>11.1</v>
      </c>
      <c r="L35" s="4">
        <v>3.1</v>
      </c>
      <c r="M35" s="7">
        <v>7.7</v>
      </c>
      <c r="N35" s="7">
        <v>10.8</v>
      </c>
      <c r="O35" s="4">
        <v>2.9</v>
      </c>
      <c r="P35" s="7">
        <v>7.8</v>
      </c>
      <c r="Q35" s="7">
        <v>10.7</v>
      </c>
      <c r="R35" s="4">
        <f>LARGE(CHOOSE({1;2;3;4},F35,I35,L35,O35),1)+LARGE(CHOOSE({1;2;3;4},F35,I35,L35,O35),2)+LARGE(CHOOSE({1;2;3;4},F35,I35,L35,O35),3)</f>
        <v>8.9</v>
      </c>
      <c r="S35" s="7">
        <f>LARGE(CHOOSE({1;2;3;4},G35,J35,M35,P35),1)+LARGE(CHOOSE({1;2;3;4},G35,J35,M35,P35),2)+LARGE(CHOOSE({1;2;3;4},G35,J35,M35,P35),3)</f>
        <v>23.7</v>
      </c>
      <c r="T35" s="7">
        <f>LARGE(CHOOSE({1;2;3;4},H35,K35,N35,Q35),1)+LARGE(CHOOSE({1;2;3;4},H35,K35,N35,Q35),2)+LARGE(CHOOSE({1;2;3;4},H35,K35,N35,Q35),3)</f>
        <v>32.599999999999994</v>
      </c>
      <c r="U35" s="4" cm="1">
        <f t="array" ref="U35">IF(FX[[#This Row],[Number_of_competition]:[Number_of_competition]]&gt;=3,(LARGE(CHOOSE({1;2;3;4},F35,I35,L35,O35),1)+LARGE(CHOOSE({1;2;3;4},F35,I35,L35,O35),2)+LARGE(CHOOSE({1;2;3;4},F35,I35,L35,O35),3))/3,0)</f>
        <v>2.9666666666666668</v>
      </c>
      <c r="V35" s="7" cm="1">
        <f t="array" ref="V35">IF(FX[[#This Row],[Number_of_competition]:[Number_of_competition]]&gt;=3,(LARGE(CHOOSE({1;2;3;4},G35,J35,M35,P35),1)+LARGE(CHOOSE({1;2;3;4},G35,J35,M35,P35),2)+LARGE(CHOOSE({1;2;3;4},G35,J35,M35,P35),3))/3,0)</f>
        <v>7.8999999999999995</v>
      </c>
      <c r="W35" s="7" cm="1">
        <f t="array" ref="W35">IF(FX[[#This Row],[Number_of_competition]:[Number_of_competition]]&gt;=3,(LARGE(CHOOSE({1;2;3;4},H35,K35,N35,Q35),1)+LARGE(CHOOSE({1;2;3;4},H35,K35,N35,Q35),2)+LARGE(CHOOSE({1;2;3;4},H35,K35,N35,Q35),3))/3,0)</f>
        <v>10.866666666666665</v>
      </c>
    </row>
    <row r="36" spans="1:23" x14ac:dyDescent="0.25">
      <c r="A36" t="s">
        <v>112</v>
      </c>
      <c r="B36" s="2" t="s">
        <v>26</v>
      </c>
      <c r="C36" s="2" t="s">
        <v>113</v>
      </c>
      <c r="D36" t="s">
        <v>31</v>
      </c>
      <c r="E36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36" s="4">
        <v>4</v>
      </c>
      <c r="G36" s="7">
        <v>7.8</v>
      </c>
      <c r="H36" s="7">
        <v>11.8</v>
      </c>
      <c r="I36" s="4">
        <v>0</v>
      </c>
      <c r="J36" s="7">
        <v>0</v>
      </c>
      <c r="K36" s="7">
        <v>0</v>
      </c>
      <c r="L36" s="4">
        <v>0</v>
      </c>
      <c r="M36" s="7">
        <v>0</v>
      </c>
      <c r="N36" s="7">
        <v>0</v>
      </c>
      <c r="O36" s="4">
        <v>4.2</v>
      </c>
      <c r="P36" s="7">
        <v>6.3</v>
      </c>
      <c r="Q36" s="7">
        <v>10.5</v>
      </c>
      <c r="R36" s="4">
        <f>LARGE(CHOOSE({1;2;3;4},F36,I36,L36,O36),1)+LARGE(CHOOSE({1;2;3;4},F36,I36,L36,O36),2)+LARGE(CHOOSE({1;2;3;4},F36,I36,L36,O36),3)</f>
        <v>8.1999999999999993</v>
      </c>
      <c r="S36" s="7">
        <f>LARGE(CHOOSE({1;2;3;4},G36,J36,M36,P36),1)+LARGE(CHOOSE({1;2;3;4},G36,J36,M36,P36),2)+LARGE(CHOOSE({1;2;3;4},G36,J36,M36,P36),3)</f>
        <v>14.1</v>
      </c>
      <c r="T36" s="7">
        <f>LARGE(CHOOSE({1;2;3;4},H36,K36,N36,Q36),1)+LARGE(CHOOSE({1;2;3;4},H36,K36,N36,Q36),2)+LARGE(CHOOSE({1;2;3;4},H36,K36,N36,Q36),3)</f>
        <v>22.3</v>
      </c>
      <c r="U36" s="4" cm="1">
        <f t="array" ref="U36">IF(FX[[#This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IF(FX[[#This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IF(FX[[#This Row],[Number_of_competition]:[Number_of_competition]]&gt;=3,(LARGE(CHOOSE({1;2;3;4},H36,K36,N36,Q36),1)+LARGE(CHOOSE({1;2;3;4},H36,K36,N36,Q36),2)+LARGE(CHOOSE({1;2;3;4},H36,K36,N36,Q36),3))/3,0)</f>
        <v>0</v>
      </c>
    </row>
    <row r="37" spans="1:23" x14ac:dyDescent="0.25">
      <c r="A37" t="s">
        <v>120</v>
      </c>
      <c r="B37" s="2" t="s">
        <v>26</v>
      </c>
      <c r="C37" s="2" t="s">
        <v>121</v>
      </c>
      <c r="D37" t="s">
        <v>39</v>
      </c>
      <c r="E37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37" s="4">
        <v>3</v>
      </c>
      <c r="G37" s="7">
        <v>8.3000000000000007</v>
      </c>
      <c r="H37" s="7">
        <v>11.3</v>
      </c>
      <c r="I37" s="4">
        <v>0</v>
      </c>
      <c r="J37" s="7">
        <v>0</v>
      </c>
      <c r="K37" s="7">
        <v>0</v>
      </c>
      <c r="L37" s="4">
        <v>2.6</v>
      </c>
      <c r="M37" s="7">
        <v>7.8</v>
      </c>
      <c r="N37" s="7">
        <v>10.4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5.6</v>
      </c>
      <c r="S37" s="7">
        <f>LARGE(CHOOSE({1;2;3;4},G37,J37,M37,P37),1)+LARGE(CHOOSE({1;2;3;4},G37,J37,M37,P37),2)+LARGE(CHOOSE({1;2;3;4},G37,J37,M37,P37),3)</f>
        <v>16.100000000000001</v>
      </c>
      <c r="T37" s="7">
        <f>LARGE(CHOOSE({1;2;3;4},H37,K37,N37,Q37),1)+LARGE(CHOOSE({1;2;3;4},H37,K37,N37,Q37),2)+LARGE(CHOOSE({1;2;3;4},H37,K37,N37,Q37),3)</f>
        <v>21.700000000000003</v>
      </c>
      <c r="U37" s="4" cm="1">
        <f t="array" ref="U37">IF(FX[[#This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IF(FX[[#This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IF(FX[[#This Row],[Number_of_competition]:[Number_of_competition]]&gt;=3,(LARGE(CHOOSE({1;2;3;4},H37,K37,N37,Q37),1)+LARGE(CHOOSE({1;2;3;4},H37,K37,N37,Q37),2)+LARGE(CHOOSE({1;2;3;4},H37,K37,N37,Q37),3))/3,0)</f>
        <v>0</v>
      </c>
    </row>
    <row r="38" spans="1:23" x14ac:dyDescent="0.25">
      <c r="A38" t="s">
        <v>50</v>
      </c>
      <c r="B38" s="2" t="s">
        <v>26</v>
      </c>
      <c r="C38" s="2" t="s">
        <v>51</v>
      </c>
      <c r="D38" t="s">
        <v>36</v>
      </c>
      <c r="E38" s="6">
        <f>COUNTIF(FX[[#This Row],[bydgoszcz_FX_Total_Score]],"&gt;0")+COUNTIF(FX[[#This Row],[zabrze_FX_Total_Score]],"&gt;0")+COUNTIF(FX[[#This Row],[cracow_FX_Total_Score]],"&gt;0")+COUNTIF(FX[[#This Row],[gdansk_FX_Total_Score]],"&gt;0")</f>
        <v>2</v>
      </c>
      <c r="F38" s="4">
        <v>0</v>
      </c>
      <c r="G38" s="7">
        <v>0</v>
      </c>
      <c r="H38" s="7">
        <v>0</v>
      </c>
      <c r="I38" s="4">
        <v>3.7</v>
      </c>
      <c r="J38" s="7">
        <v>8.3000000000000007</v>
      </c>
      <c r="K38" s="7">
        <v>12</v>
      </c>
      <c r="L38" s="4">
        <v>3.9</v>
      </c>
      <c r="M38" s="7">
        <v>7.35</v>
      </c>
      <c r="N38" s="7">
        <v>11.25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7.6</v>
      </c>
      <c r="S38" s="7">
        <f>LARGE(CHOOSE({1;2;3;4},G38,J38,M38,P38),1)+LARGE(CHOOSE({1;2;3;4},G38,J38,M38,P38),2)+LARGE(CHOOSE({1;2;3;4},G38,J38,M38,P38),3)</f>
        <v>15.65</v>
      </c>
      <c r="T38" s="7">
        <f>LARGE(CHOOSE({1;2;3;4},H38,K38,N38,Q38),1)+LARGE(CHOOSE({1;2;3;4},H38,K38,N38,Q38),2)+LARGE(CHOOSE({1;2;3;4},H38,K38,N38,Q38),3)</f>
        <v>23.25</v>
      </c>
      <c r="U38" s="4" cm="1">
        <f t="array" ref="U38">IF(FX[[#This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IF(FX[[#This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IF(FX[[#This Row],[Number_of_competition]:[Number_of_competition]]&gt;=3,(LARGE(CHOOSE({1;2;3;4},H38,K38,N38,Q38),1)+LARGE(CHOOSE({1;2;3;4},H38,K38,N38,Q38),2)+LARGE(CHOOSE({1;2;3;4},H38,K38,N38,Q38),3))/3,0)</f>
        <v>0</v>
      </c>
    </row>
    <row r="39" spans="1:23" x14ac:dyDescent="0.25">
      <c r="A39" t="s">
        <v>132</v>
      </c>
      <c r="B39" s="2" t="s">
        <v>26</v>
      </c>
      <c r="C39" s="2" t="s">
        <v>133</v>
      </c>
      <c r="D39" t="s">
        <v>39</v>
      </c>
      <c r="E39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39" s="4">
        <v>3.8</v>
      </c>
      <c r="G39" s="7">
        <v>7.8</v>
      </c>
      <c r="H39" s="7">
        <v>11.6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3.8</v>
      </c>
      <c r="S39" s="7">
        <f>LARGE(CHOOSE({1;2;3;4},G39,J39,M39,P39),1)+LARGE(CHOOSE({1;2;3;4},G39,J39,M39,P39),2)+LARGE(CHOOSE({1;2;3;4},G39,J39,M39,P39),3)</f>
        <v>7.8</v>
      </c>
      <c r="T39" s="7">
        <f>LARGE(CHOOSE({1;2;3;4},H39,K39,N39,Q39),1)+LARGE(CHOOSE({1;2;3;4},H39,K39,N39,Q39),2)+LARGE(CHOOSE({1;2;3;4},H39,K39,N39,Q39),3)</f>
        <v>11.6</v>
      </c>
      <c r="U39" s="4" cm="1">
        <f t="array" ref="U39">IF(FX[[#This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IF(FX[[#This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IF(FX[[#This Row],[Number_of_competition]:[Number_of_competition]]&gt;=3,(LARGE(CHOOSE({1;2;3;4},H39,K39,N39,Q39),1)+LARGE(CHOOSE({1;2;3;4},H39,K39,N39,Q39),2)+LARGE(CHOOSE({1;2;3;4},H39,K39,N39,Q39),3))/3,0)</f>
        <v>0</v>
      </c>
    </row>
    <row r="40" spans="1:23" x14ac:dyDescent="0.25">
      <c r="A40" t="s">
        <v>57</v>
      </c>
      <c r="B40" s="2" t="s">
        <v>26</v>
      </c>
      <c r="C40" s="2" t="s">
        <v>58</v>
      </c>
      <c r="D40" t="s">
        <v>36</v>
      </c>
      <c r="E40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0" s="4">
        <v>3.2</v>
      </c>
      <c r="G40" s="7">
        <v>7.3</v>
      </c>
      <c r="H40" s="7">
        <v>10.5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3.2</v>
      </c>
      <c r="S40" s="7">
        <f>LARGE(CHOOSE({1;2;3;4},G40,J40,M40,P40),1)+LARGE(CHOOSE({1;2;3;4},G40,J40,M40,P40),2)+LARGE(CHOOSE({1;2;3;4},G40,J40,M40,P40),3)</f>
        <v>7.3</v>
      </c>
      <c r="T40" s="7">
        <f>LARGE(CHOOSE({1;2;3;4},H40,K40,N40,Q40),1)+LARGE(CHOOSE({1;2;3;4},H40,K40,N40,Q40),2)+LARGE(CHOOSE({1;2;3;4},H40,K40,N40,Q40),3)</f>
        <v>10.5</v>
      </c>
      <c r="U40" s="4" cm="1">
        <f t="array" ref="U40">IF(FX[[#This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IF(FX[[#This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IF(FX[[#This Row],[Number_of_competition]:[Number_of_competition]]&gt;=3,(LARGE(CHOOSE({1;2;3;4},H40,K40,N40,Q40),1)+LARGE(CHOOSE({1;2;3;4},H40,K40,N40,Q40),2)+LARGE(CHOOSE({1;2;3;4},H40,K40,N40,Q40),3))/3,0)</f>
        <v>0</v>
      </c>
    </row>
    <row r="41" spans="1:23" x14ac:dyDescent="0.25">
      <c r="A41" t="s">
        <v>139</v>
      </c>
      <c r="B41" s="2" t="s">
        <v>26</v>
      </c>
      <c r="C41" s="2" t="s">
        <v>140</v>
      </c>
      <c r="D41" t="s">
        <v>124</v>
      </c>
      <c r="E41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1" s="4">
        <v>3</v>
      </c>
      <c r="G41" s="7">
        <v>8.1999999999999993</v>
      </c>
      <c r="H41" s="7">
        <v>11.2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3</v>
      </c>
      <c r="S41" s="7">
        <f>LARGE(CHOOSE({1;2;3;4},G41,J41,M41,P41),1)+LARGE(CHOOSE({1;2;3;4},G41,J41,M41,P41),2)+LARGE(CHOOSE({1;2;3;4},G41,J41,M41,P41),3)</f>
        <v>8.1999999999999993</v>
      </c>
      <c r="T41" s="7">
        <f>LARGE(CHOOSE({1;2;3;4},H41,K41,N41,Q41),1)+LARGE(CHOOSE({1;2;3;4},H41,K41,N41,Q41),2)+LARGE(CHOOSE({1;2;3;4},H41,K41,N41,Q41),3)</f>
        <v>11.2</v>
      </c>
      <c r="U41" s="4" cm="1">
        <f t="array" ref="U41">IF(FX[[#This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IF(FX[[#This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IF(FX[[#This Row],[Number_of_competition]:[Number_of_competition]]&gt;=3,(LARGE(CHOOSE({1;2;3;4},H41,K41,N41,Q41),1)+LARGE(CHOOSE({1;2;3;4},H41,K41,N41,Q41),2)+LARGE(CHOOSE({1;2;3;4},H41,K41,N41,Q41),3))/3,0)</f>
        <v>0</v>
      </c>
    </row>
    <row r="42" spans="1:23" x14ac:dyDescent="0.25">
      <c r="A42" t="s">
        <v>135</v>
      </c>
      <c r="B42" s="2" t="s">
        <v>26</v>
      </c>
      <c r="C42" s="2" t="s">
        <v>136</v>
      </c>
      <c r="D42" t="s">
        <v>124</v>
      </c>
      <c r="E42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2" s="4">
        <v>2.9</v>
      </c>
      <c r="G42" s="7">
        <v>7.8</v>
      </c>
      <c r="H42" s="7">
        <v>10.7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2.9</v>
      </c>
      <c r="S42" s="7">
        <f>LARGE(CHOOSE({1;2;3;4},G42,J42,M42,P42),1)+LARGE(CHOOSE({1;2;3;4},G42,J42,M42,P42),2)+LARGE(CHOOSE({1;2;3;4},G42,J42,M42,P42),3)</f>
        <v>7.8</v>
      </c>
      <c r="T42" s="7">
        <f>LARGE(CHOOSE({1;2;3;4},H42,K42,N42,Q42),1)+LARGE(CHOOSE({1;2;3;4},H42,K42,N42,Q42),2)+LARGE(CHOOSE({1;2;3;4},H42,K42,N42,Q42),3)</f>
        <v>10.7</v>
      </c>
      <c r="U42" s="4" cm="1">
        <f t="array" ref="U42">IF(FX[[#This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IF(FX[[#This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IF(FX[[#This Row],[Number_of_competition]:[Number_of_competition]]&gt;=3,(LARGE(CHOOSE({1;2;3;4},H42,K42,N42,Q42),1)+LARGE(CHOOSE({1;2;3;4},H42,K42,N42,Q42),2)+LARGE(CHOOSE({1;2;3;4},H42,K42,N42,Q42),3))/3,0)</f>
        <v>0</v>
      </c>
    </row>
    <row r="43" spans="1:23" x14ac:dyDescent="0.25">
      <c r="A43" t="s">
        <v>137</v>
      </c>
      <c r="B43" s="2" t="s">
        <v>26</v>
      </c>
      <c r="C43" s="2" t="s">
        <v>138</v>
      </c>
      <c r="D43" t="s">
        <v>124</v>
      </c>
      <c r="E43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3" s="4">
        <v>2.5</v>
      </c>
      <c r="G43" s="7">
        <v>8.3000000000000007</v>
      </c>
      <c r="H43" s="7">
        <v>10.8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2.5</v>
      </c>
      <c r="S43" s="7">
        <f>LARGE(CHOOSE({1;2;3;4},G43,J43,M43,P43),1)+LARGE(CHOOSE({1;2;3;4},G43,J43,M43,P43),2)+LARGE(CHOOSE({1;2;3;4},G43,J43,M43,P43),3)</f>
        <v>8.3000000000000007</v>
      </c>
      <c r="T43" s="7">
        <f>LARGE(CHOOSE({1;2;3;4},H43,K43,N43,Q43),1)+LARGE(CHOOSE({1;2;3;4},H43,K43,N43,Q43),2)+LARGE(CHOOSE({1;2;3;4},H43,K43,N43,Q43),3)</f>
        <v>10.8</v>
      </c>
      <c r="U43" s="4" cm="1">
        <f t="array" ref="U43">IF(FX[[#This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IF(FX[[#This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IF(FX[[#This Row],[Number_of_competition]:[Number_of_competition]]&gt;=3,(LARGE(CHOOSE({1;2;3;4},H43,K43,N43,Q43),1)+LARGE(CHOOSE({1;2;3;4},H43,K43,N43,Q43),2)+LARGE(CHOOSE({1;2;3;4},H43,K43,N43,Q43),3))/3,0)</f>
        <v>0</v>
      </c>
    </row>
    <row r="44" spans="1:23" x14ac:dyDescent="0.25">
      <c r="A44" t="s">
        <v>125</v>
      </c>
      <c r="B44" s="2" t="s">
        <v>26</v>
      </c>
      <c r="C44" s="2" t="s">
        <v>126</v>
      </c>
      <c r="D44" t="s">
        <v>67</v>
      </c>
      <c r="E44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4" s="4">
        <v>0</v>
      </c>
      <c r="G44" s="7">
        <v>0</v>
      </c>
      <c r="H44" s="7">
        <v>0</v>
      </c>
      <c r="I44" s="4">
        <v>0</v>
      </c>
      <c r="J44" s="7">
        <v>0</v>
      </c>
      <c r="K44" s="7">
        <v>0</v>
      </c>
      <c r="L44" s="4">
        <v>3.5</v>
      </c>
      <c r="M44" s="7">
        <v>7.85</v>
      </c>
      <c r="N44" s="7">
        <v>11.35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3.5</v>
      </c>
      <c r="S44" s="7">
        <f>LARGE(CHOOSE({1;2;3;4},G44,J44,M44,P44),1)+LARGE(CHOOSE({1;2;3;4},G44,J44,M44,P44),2)+LARGE(CHOOSE({1;2;3;4},G44,J44,M44,P44),3)</f>
        <v>7.85</v>
      </c>
      <c r="T44" s="7">
        <f>LARGE(CHOOSE({1;2;3;4},H44,K44,N44,Q44),1)+LARGE(CHOOSE({1;2;3;4},H44,K44,N44,Q44),2)+LARGE(CHOOSE({1;2;3;4},H44,K44,N44,Q44),3)</f>
        <v>11.35</v>
      </c>
      <c r="U44" s="4" cm="1">
        <f t="array" ref="U44">IF(FX[[#This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IF(FX[[#This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IF(FX[[#This Row],[Number_of_competition]:[Number_of_competition]]&gt;=3,(LARGE(CHOOSE({1;2;3;4},H44,K44,N44,Q44),1)+LARGE(CHOOSE({1;2;3;4},H44,K44,N44,Q44),2)+LARGE(CHOOSE({1;2;3;4},H44,K44,N44,Q44),3))/3,0)</f>
        <v>0</v>
      </c>
    </row>
    <row r="45" spans="1:23" x14ac:dyDescent="0.25">
      <c r="A45" t="s">
        <v>122</v>
      </c>
      <c r="B45" s="2" t="s">
        <v>26</v>
      </c>
      <c r="C45" s="2" t="s">
        <v>123</v>
      </c>
      <c r="D45" t="s">
        <v>124</v>
      </c>
      <c r="E45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5" s="4">
        <v>0</v>
      </c>
      <c r="G45" s="7">
        <v>0</v>
      </c>
      <c r="H45" s="7">
        <v>0</v>
      </c>
      <c r="I45" s="4">
        <v>0</v>
      </c>
      <c r="J45" s="7">
        <v>0</v>
      </c>
      <c r="K45" s="7">
        <v>0</v>
      </c>
      <c r="L45" s="4">
        <v>3.1</v>
      </c>
      <c r="M45" s="7">
        <v>7.55</v>
      </c>
      <c r="N45" s="7">
        <v>10.65</v>
      </c>
      <c r="O45" s="4">
        <v>0</v>
      </c>
      <c r="P45" s="7">
        <v>0</v>
      </c>
      <c r="Q45" s="7">
        <v>0</v>
      </c>
      <c r="R45" s="4">
        <f>LARGE(CHOOSE({1;2;3;4},F45,I45,L45,O45),1)+LARGE(CHOOSE({1;2;3;4},F45,I45,L45,O45),2)+LARGE(CHOOSE({1;2;3;4},F45,I45,L45,O45),3)</f>
        <v>3.1</v>
      </c>
      <c r="S45" s="7">
        <f>LARGE(CHOOSE({1;2;3;4},G45,J45,M45,P45),1)+LARGE(CHOOSE({1;2;3;4},G45,J45,M45,P45),2)+LARGE(CHOOSE({1;2;3;4},G45,J45,M45,P45),3)</f>
        <v>7.55</v>
      </c>
      <c r="T45" s="7">
        <f>LARGE(CHOOSE({1;2;3;4},H45,K45,N45,Q45),1)+LARGE(CHOOSE({1;2;3;4},H45,K45,N45,Q45),2)+LARGE(CHOOSE({1;2;3;4},H45,K45,N45,Q45),3)</f>
        <v>10.65</v>
      </c>
      <c r="U45" s="4" cm="1">
        <f t="array" ref="U45">IF(FX[[#This Row],[Number_of_competition]:[Number_of_competition]]&gt;=3,(LARGE(CHOOSE({1;2;3;4},F45,I45,L45,O45),1)+LARGE(CHOOSE({1;2;3;4},F45,I45,L45,O45),2)+LARGE(CHOOSE({1;2;3;4},F45,I45,L45,O45),3))/3,0)</f>
        <v>0</v>
      </c>
      <c r="V45" s="7" cm="1">
        <f t="array" ref="V45">IF(FX[[#This Row],[Number_of_competition]:[Number_of_competition]]&gt;=3,(LARGE(CHOOSE({1;2;3;4},G45,J45,M45,P45),1)+LARGE(CHOOSE({1;2;3;4},G45,J45,M45,P45),2)+LARGE(CHOOSE({1;2;3;4},G45,J45,M45,P45),3))/3,0)</f>
        <v>0</v>
      </c>
      <c r="W45" s="7" cm="1">
        <f t="array" ref="W45">IF(FX[[#This Row],[Number_of_competition]:[Number_of_competition]]&gt;=3,(LARGE(CHOOSE({1;2;3;4},H45,K45,N45,Q45),1)+LARGE(CHOOSE({1;2;3;4},H45,K45,N45,Q45),2)+LARGE(CHOOSE({1;2;3;4},H45,K45,N45,Q45),3))/3,0)</f>
        <v>0</v>
      </c>
    </row>
    <row r="46" spans="1:23" x14ac:dyDescent="0.25">
      <c r="A46" t="s">
        <v>114</v>
      </c>
      <c r="B46" s="2" t="s">
        <v>26</v>
      </c>
      <c r="C46" s="2" t="s">
        <v>115</v>
      </c>
      <c r="D46" t="s">
        <v>36</v>
      </c>
      <c r="E46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6" s="4">
        <v>0</v>
      </c>
      <c r="G46" s="7">
        <v>0</v>
      </c>
      <c r="H46" s="7">
        <v>0</v>
      </c>
      <c r="I46" s="4">
        <v>0</v>
      </c>
      <c r="J46" s="7">
        <v>0</v>
      </c>
      <c r="K46" s="7">
        <v>0</v>
      </c>
      <c r="L46" s="4">
        <v>0</v>
      </c>
      <c r="M46" s="7">
        <v>0</v>
      </c>
      <c r="N46" s="7">
        <v>0</v>
      </c>
      <c r="O46" s="4">
        <v>3.4</v>
      </c>
      <c r="P46" s="7">
        <v>7.1</v>
      </c>
      <c r="Q46" s="7">
        <v>10.5</v>
      </c>
      <c r="R46" s="4">
        <f>LARGE(CHOOSE({1;2;3;4},F46,I46,L46,O46),1)+LARGE(CHOOSE({1;2;3;4},F46,I46,L46,O46),2)+LARGE(CHOOSE({1;2;3;4},F46,I46,L46,O46),3)</f>
        <v>3.4</v>
      </c>
      <c r="S46" s="7">
        <f>LARGE(CHOOSE({1;2;3;4},G46,J46,M46,P46),1)+LARGE(CHOOSE({1;2;3;4},G46,J46,M46,P46),2)+LARGE(CHOOSE({1;2;3;4},G46,J46,M46,P46),3)</f>
        <v>7.1</v>
      </c>
      <c r="T46" s="7">
        <f>LARGE(CHOOSE({1;2;3;4},H46,K46,N46,Q46),1)+LARGE(CHOOSE({1;2;3;4},H46,K46,N46,Q46),2)+LARGE(CHOOSE({1;2;3;4},H46,K46,N46,Q46),3)</f>
        <v>10.5</v>
      </c>
      <c r="U46" s="4" cm="1">
        <f t="array" ref="U46">IF(FX[[#This Row],[Number_of_competition]:[Number_of_competition]]&gt;=3,(LARGE(CHOOSE({1;2;3;4},F46,I46,L46,O46),1)+LARGE(CHOOSE({1;2;3;4},F46,I46,L46,O46),2)+LARGE(CHOOSE({1;2;3;4},F46,I46,L46,O46),3))/3,0)</f>
        <v>0</v>
      </c>
      <c r="V46" s="7" cm="1">
        <f t="array" ref="V46">IF(FX[[#This Row],[Number_of_competition]:[Number_of_competition]]&gt;=3,(LARGE(CHOOSE({1;2;3;4},G46,J46,M46,P46),1)+LARGE(CHOOSE({1;2;3;4},G46,J46,M46,P46),2)+LARGE(CHOOSE({1;2;3;4},G46,J46,M46,P46),3))/3,0)</f>
        <v>0</v>
      </c>
      <c r="W46" s="7" cm="1">
        <f t="array" ref="W46">IF(FX[[#This Row],[Number_of_competition]:[Number_of_competition]]&gt;=3,(LARGE(CHOOSE({1;2;3;4},H46,K46,N46,Q46),1)+LARGE(CHOOSE({1;2;3;4},H46,K46,N46,Q46),2)+LARGE(CHOOSE({1;2;3;4},H46,K46,N46,Q46),3))/3,0)</f>
        <v>0</v>
      </c>
    </row>
    <row r="47" spans="1:23" x14ac:dyDescent="0.25">
      <c r="A47" t="s">
        <v>52</v>
      </c>
      <c r="B47" s="2" t="s">
        <v>26</v>
      </c>
      <c r="C47" s="2" t="s">
        <v>53</v>
      </c>
      <c r="D47" t="s">
        <v>36</v>
      </c>
      <c r="E47" s="6">
        <f>COUNTIF(FX[[#This Row],[bydgoszcz_FX_Total_Score]],"&gt;0")+COUNTIF(FX[[#This Row],[zabrze_FX_Total_Score]],"&gt;0")+COUNTIF(FX[[#This Row],[cracow_FX_Total_Score]],"&gt;0")+COUNTIF(FX[[#This Row],[gdansk_FX_Total_Score]],"&gt;0")</f>
        <v>1</v>
      </c>
      <c r="F47" s="4">
        <v>0</v>
      </c>
      <c r="G47" s="7">
        <v>0</v>
      </c>
      <c r="H47" s="7">
        <v>0</v>
      </c>
      <c r="I47" s="4">
        <v>0</v>
      </c>
      <c r="J47" s="7">
        <v>0</v>
      </c>
      <c r="K47" s="7">
        <v>0</v>
      </c>
      <c r="L47" s="4">
        <v>0</v>
      </c>
      <c r="M47" s="7">
        <v>0</v>
      </c>
      <c r="N47" s="7">
        <v>0</v>
      </c>
      <c r="O47" s="4">
        <v>3.2</v>
      </c>
      <c r="P47" s="7">
        <v>6.9</v>
      </c>
      <c r="Q47" s="7">
        <v>10.1</v>
      </c>
      <c r="R47" s="4">
        <f>LARGE(CHOOSE({1;2;3;4},F47,I47,L47,O47),1)+LARGE(CHOOSE({1;2;3;4},F47,I47,L47,O47),2)+LARGE(CHOOSE({1;2;3;4},F47,I47,L47,O47),3)</f>
        <v>3.2</v>
      </c>
      <c r="S47" s="7">
        <f>LARGE(CHOOSE({1;2;3;4},G47,J47,M47,P47),1)+LARGE(CHOOSE({1;2;3;4},G47,J47,M47,P47),2)+LARGE(CHOOSE({1;2;3;4},G47,J47,M47,P47),3)</f>
        <v>6.9</v>
      </c>
      <c r="T47" s="7">
        <f>LARGE(CHOOSE({1;2;3;4},H47,K47,N47,Q47),1)+LARGE(CHOOSE({1;2;3;4},H47,K47,N47,Q47),2)+LARGE(CHOOSE({1;2;3;4},H47,K47,N47,Q47),3)</f>
        <v>10.1</v>
      </c>
      <c r="U47" s="4" cm="1">
        <f t="array" ref="U47">IF(FX[[#This Row],[Number_of_competition]:[Number_of_competition]]&gt;=3,(LARGE(CHOOSE({1;2;3;4},F47,I47,L47,O47),1)+LARGE(CHOOSE({1;2;3;4},F47,I47,L47,O47),2)+LARGE(CHOOSE({1;2;3;4},F47,I47,L47,O47),3))/3,0)</f>
        <v>0</v>
      </c>
      <c r="V47" s="7" cm="1">
        <f t="array" ref="V47">IF(FX[[#This Row],[Number_of_competition]:[Number_of_competition]]&gt;=3,(LARGE(CHOOSE({1;2;3;4},G47,J47,M47,P47),1)+LARGE(CHOOSE({1;2;3;4},G47,J47,M47,P47),2)+LARGE(CHOOSE({1;2;3;4},G47,J47,M47,P47),3))/3,0)</f>
        <v>0</v>
      </c>
      <c r="W47" s="7" cm="1">
        <f t="array" ref="W47">IF(FX[[#This Row],[Number_of_competition]:[Number_of_competition]]&gt;=3,(LARGE(CHOOSE({1;2;3;4},H47,K47,N47,Q47),1)+LARGE(CHOOSE({1;2;3;4},H47,K47,N47,Q47),2)+LARGE(CHOOSE({1;2;3;4},H47,K47,N47,Q47),3))/3,0)</f>
        <v>0</v>
      </c>
    </row>
    <row r="50" spans="1:10" ht="27" customHeight="1" x14ac:dyDescent="0.25">
      <c r="A50" s="2" t="s">
        <v>2</v>
      </c>
      <c r="B50" s="2" t="s">
        <v>266</v>
      </c>
      <c r="C50" s="2" t="s">
        <v>271</v>
      </c>
      <c r="D50" s="7" t="s">
        <v>272</v>
      </c>
      <c r="E50" s="7" t="s">
        <v>270</v>
      </c>
      <c r="F50" s="2" t="s">
        <v>253</v>
      </c>
    </row>
    <row r="51" spans="1:10" ht="27" customHeight="1" x14ac:dyDescent="0.25">
      <c r="A51" s="2" t="s">
        <v>60</v>
      </c>
      <c r="B51" s="2" t="s">
        <v>269</v>
      </c>
      <c r="C51" s="4" cm="1">
        <f t="array" ref="C51">SUM(_xlfn._xlws.FILTER(FX[bydgoszcz_FX_Dscore],FX[Category]="senior"),_xlfn._xlws.FILTER(FX[zabrze_FX_Dscore],FX[Category]="senior"),_xlfn._xlws.FILTER(FX[cracow_FX_Dscore],FX[Category]="senior"),_xlfn._xlws.FILTER(FX[gdansk_FX_Dscore],FX[Category]="senior"))/(COUNTIFS(FX[bydgoszcz_FX_Dscore],"&gt;0",FX[Category],"senior")+COUNTIFS(FX[zabrze_FX_Dscore],"&gt;0",FX[Category],"senior")+COUNTIFS(FX[cracow_FX_Dscore],"&gt;0",FX[Category],"senior")+COUNTIFS(FX[gdansk_FX_Dscore],"&gt;0",FX[Category],"senior"))</f>
        <v>4.3048387096774192</v>
      </c>
      <c r="D51" s="4" cm="1">
        <f t="array" ref="D51">_xlfn.STDEV.S(_xlfn._xlws.FILTER(FX[bydgoszcz_FX_Dscore],(FX[Category]="senior")*(FX[bydgoszcz_FX_Dscore])&gt;0),_xlfn._xlws.FILTER(FX[zabrze_FX_Dscore],(FX[Category]="senior")*(FX[zabrze_FX_Dscore])&gt;0),_xlfn._xlws.FILTER(FX[cracow_FX_Dscore],(FX[Category]="senior")*(FX[cracow_FX_Dscore])&gt;0),_xlfn._xlws.FILTER(FX[gdansk_FX_Dscore],(FX[Category]="senior")*(FX[gdansk_FX_Dscore])&gt;0))</f>
        <v>0.655975664121489</v>
      </c>
      <c r="E51" s="4" cm="1">
        <f t="array" ref="E51">MAX(_xlfn._xlws.FILTER(FX[bydgoszcz_FX_Dscore],FX[Category]="senior"),_xlfn._xlws.FILTER(FX[zabrze_FX_Dscore],FX[Category]="senior"),_xlfn._xlws.FILTER(FX[cracow_FX_Dscore],FX[Category]="senior"),_xlfn._xlws.FILTER(FX[gdansk_FX_Dscore],FX[Category]="senior"))</f>
        <v>6</v>
      </c>
      <c r="F51" s="2" t="str" cm="1">
        <f t="array" ref="F51">_xlfn.XLOOKUP(E51,_xlfn._xlws.FILTER(FX[bydgoszcz_FX_Dscore],FX[Category]="senior"),_xlfn._xlws.FILTER(FX[Name],FX[Category]="senior"),_xlfn.XLOOKUP(E51,_xlfn._xlws.FILTER(FX[zabrze_FX_Dscore],FX[Category]="senior"),_xlfn._xlws.FILTER(FX[Name],FX[Category]="senior"),_xlfn.XLOOKUP(E51,_xlfn._xlws.FILTER(FX[cracow_FX_Dscore],FX[Category]="senior"),_xlfn._xlws.FILTER(FX[Name],FX[Category]="senior"),_xlfn.XLOOKUP(E51,_xlfn._xlws.FILTER(FX[gdansk_FX_Dscore],FX[Category]="senior"),_xlfn._xlws.FILTER(FX[Name],FX[Category]="senior")))))</f>
        <v>SASNAL Filip</v>
      </c>
      <c r="G51" s="2"/>
      <c r="J51" s="6"/>
    </row>
    <row r="52" spans="1:10" ht="27" customHeight="1" x14ac:dyDescent="0.25">
      <c r="A52" s="2" t="s">
        <v>60</v>
      </c>
      <c r="B52" s="2" t="s">
        <v>267</v>
      </c>
      <c r="C52" s="7" cm="1">
        <f t="array" ref="C52">SUM(_xlfn._xlws.FILTER(FX[bydgoszcz_FX_Escore],FX[Category]="senior"),_xlfn._xlws.FILTER(FX[zabrze_FX_Escore],FX[Category]="senior"),_xlfn._xlws.FILTER(FX[cracow_FX_Escore],FX[Category]="senior"),_xlfn._xlws.FILTER(FX[gdansk_FX_Escore],FX[Category]="senior"))/(COUNTIFS(FX[bydgoszcz_FX_Escore],"&gt;0",FX[Category],"senior")+COUNTIFS(FX[zabrze_FX_Escore],"&gt;0",FX[Category],"senior")+COUNTIFS(FX[cracow_FX_Escore],"&gt;0",FX[Category],"senior")+COUNTIFS(FX[gdansk_FX_Escore],"&gt;0",FX[Category],"senior"))</f>
        <v>7.507258064516126</v>
      </c>
      <c r="D52" s="7" cm="1">
        <f t="array" ref="D52">_xlfn.STDEV.S(_xlfn._xlws.FILTER(FX[bydgoszcz_FX_Escore],(FX[Category]="senior")*(FX[bydgoszcz_FX_Escore])&gt;0),_xlfn._xlws.FILTER(FX[zabrze_FX_Escore],(FX[Category]="senior")*(FX[zabrze_FX_Escore])&gt;0),_xlfn._xlws.FILTER(FX[cracow_FX_Escore],(FX[Category]="senior")*(FX[cracow_FX_Escore])&gt;0),_xlfn._xlws.FILTER(FX[gdansk_FX_Escore],(FX[Category]="senior")*(FX[gdansk_FX_Escore])&gt;0))</f>
        <v>0.88228683740522262</v>
      </c>
      <c r="E52" s="7" cm="1">
        <f t="array" ref="E52">MAX(_xlfn._xlws.FILTER(FX[bydgoszcz_FX_Escore],FX[Category]="senior"),_xlfn._xlws.FILTER(FX[zabrze_FX_Escore],FX[Category]="senior"),_xlfn._xlws.FILTER(FX[cracow_FX_Escore],FX[Category]="senior"),_xlfn._xlws.FILTER(FX[gdansk_FX_Escore],FX[Category]="senior"))</f>
        <v>9</v>
      </c>
      <c r="F52" s="2" t="str" cm="1">
        <f t="array" ref="F52">_xlfn.XLOOKUP(E52,_xlfn._xlws.FILTER(FX[bydgoszcz_FX_Escore],FX[Category]="senior"),_xlfn._xlws.FILTER(FX[Name],FX[Category]="senior"),_xlfn.XLOOKUP(E52,_xlfn._xlws.FILTER(FX[zabrze_FX_Escore],FX[Category]="senior"),_xlfn._xlws.FILTER(FX[Name],FX[Category]="senior"),_xlfn.XLOOKUP(E52,_xlfn._xlws.FILTER(FX[cracow_FX_Escore],FX[Category]="senior"),_xlfn._xlws.FILTER(FX[Name],FX[Category]="senior"),_xlfn.XLOOKUP(E52,_xlfn._xlws.FILTER(FX[gdansk_FX_Escore],FX[Category]="senior"),_xlfn._xlws.FILTER(FX[Name],FX[Category]="senior")))))</f>
        <v>BRACKI Borys</v>
      </c>
      <c r="G52" s="2"/>
    </row>
    <row r="53" spans="1:10" ht="27" customHeight="1" x14ac:dyDescent="0.25">
      <c r="A53" s="2" t="s">
        <v>60</v>
      </c>
      <c r="B53" s="2" t="s">
        <v>268</v>
      </c>
      <c r="C53" s="7" cm="1">
        <f t="array" ref="C53">SUM(_xlfn._xlws.FILTER(FX[bydgoszcz_FX_Total_Score],FX[Category]="senior"),_xlfn._xlws.FILTER(FX[zabrze_FX_Total_Score],FX[Category]="senior"),_xlfn._xlws.FILTER(FX[cracow_FX_Total_Score],FX[Category]="senior"),_xlfn._xlws.FILTER(FX[gdansk_FX_Total_Score],FX[Category]="senior"))/(COUNTIFS(FX[bydgoszcz_FX_Total_Score],"&gt;0",FX[Category],"senior")+COUNTIFS(FX[zabrze_FX_Total_Score],"&gt;0",FX[Category],"senior")+COUNTIFS(FX[cracow_FX_Total_Score],"&gt;0",FX[Category],"senior")+COUNTIFS(FX[gdansk_FX_Total_Score],"&gt;0",FX[Category],"senior"))</f>
        <v>11.812096774193545</v>
      </c>
      <c r="D53" s="7" cm="1">
        <f t="array" ref="D53">_xlfn.STDEV.S(_xlfn._xlws.FILTER(FX[bydgoszcz_FX_Total_Score],(FX[Category]="senior")*(FX[bydgoszcz_FX_Total_Score])&gt;0),_xlfn._xlws.FILTER(FX[zabrze_FX_Total_Score],(FX[Category]="senior")*(FX[zabrze_FX_Total_Score])&gt;0),_xlfn._xlws.FILTER(FX[cracow_FX_Total_Score],(FX[Category]="senior")*(FX[cracow_FX_Total_Score])&gt;0),_xlfn._xlws.FILTER(FX[gdansk_FX_Total_Score],(FX[Category]="senior")*(FX[gdansk_FX_Total_Score])&gt;0))</f>
        <v>1.0005607232812159</v>
      </c>
      <c r="E53" s="7" cm="1">
        <f t="array" ref="E53">MAX(_xlfn._xlws.FILTER(FX[bydgoszcz_FX_Total_Score],FX[Category]="senior"),_xlfn._xlws.FILTER(FX[zabrze_FX_Total_Score],FX[Category]="senior"),_xlfn._xlws.FILTER(FX[cracow_FX_Total_Score],FX[Category]="senior"),_xlfn._xlws.FILTER(FX[gdansk_FX_Total_Score],FX[Category]="senior"))</f>
        <v>13.65</v>
      </c>
      <c r="F53" s="2" t="str" cm="1">
        <f t="array" ref="F53">_xlfn.XLOOKUP(E53,_xlfn._xlws.FILTER(FX[bydgoszcz_FX_Total_Score],FX[Category]="senior"),_xlfn._xlws.FILTER(FX[Name],FX[Category]="senior"),_xlfn.XLOOKUP(E53,_xlfn._xlws.FILTER(FX[zabrze_FX_Total_Score],FX[Category]="senior"),_xlfn._xlws.FILTER(FX[Name],FX[Category]="senior"),_xlfn.XLOOKUP(E53,_xlfn._xlws.FILTER(FX[cracow_FX_Total_Score],FX[Category]="senior"),_xlfn._xlws.FILTER(FX[Name],FX[Category]="senior"),_xlfn.XLOOKUP(E53,_xlfn._xlws.FILTER(FX[gdansk_FX_Total_Score],FX[Category]="senior"),_xlfn._xlws.FILTER(FX[Name],FX[Category]="senior")))))</f>
        <v>GAWROŃSKI Sebastian</v>
      </c>
      <c r="G53" s="2"/>
    </row>
    <row r="54" spans="1:10" ht="27" customHeight="1" x14ac:dyDescent="0.25">
      <c r="A54" s="2" t="s">
        <v>60</v>
      </c>
      <c r="B54" s="2" t="s">
        <v>275</v>
      </c>
      <c r="C54" s="4" cm="1">
        <f t="array" ref="C54">SUM(_xlfn._xlws.FILTER(FX[Year_Dscore],(FX[Category]="senior")*(FX[Number_of_competition]&gt;=3))/COUNTIFS(FX[Number_of_competition],"&gt;=3",FX[Category],"senior"))</f>
        <v>13.049999999999999</v>
      </c>
      <c r="D54" s="4" cm="1">
        <f t="array" ref="D54">_xlfn.STDEV.S(_xlfn._xlws.FILTER(FX[Year_Dscore],(FX[Category]="senior")*(FX[Number_of_competition]&gt;=3)))</f>
        <v>1.9085930086656155</v>
      </c>
      <c r="E54" s="4" cm="1">
        <f t="array" ref="E54">MAX(_xlfn._xlws.FILTER(FX[Year_Dscore],FX[Category]="senior"))</f>
        <v>17.399999999999999</v>
      </c>
      <c r="F54" s="2" t="str" cm="1">
        <f t="array" ref="F54">_xlfn.XLOOKUP(FX_Calculation[[#This Row],[Top]],_xlfn._xlws.FILTER(FX[Year_Dscore],FX[Category]="senior"),_xlfn._xlws.FILTER(FX[Name],FX[Category]="senior"))</f>
        <v>SASNAL Filip</v>
      </c>
      <c r="G54" s="2"/>
    </row>
    <row r="55" spans="1:10" ht="27" customHeight="1" x14ac:dyDescent="0.25">
      <c r="A55" s="2" t="s">
        <v>60</v>
      </c>
      <c r="B55" s="2" t="s">
        <v>276</v>
      </c>
      <c r="C55" s="7" cm="1">
        <f t="array" ref="C55">SUM(_xlfn._xlws.FILTER(FX[Year_Escore],(FX[Category]="senior")*(FX[Number_of_competition]&gt;=3))/COUNTIFS(FX[Number_of_competition],"&gt;=3",FX[Category],"senior"))</f>
        <v>23.108333333333334</v>
      </c>
      <c r="D55" s="7" cm="1">
        <f t="array" ref="D55">_xlfn.STDEV.S(_xlfn._xlws.FILTER(FX[Year_Escore],(FX[Category]="senior")*(FX[Number_of_competition]&gt;=3)))</f>
        <v>1.3487086977976945</v>
      </c>
      <c r="E55" s="7" cm="1">
        <f t="array" ref="E55">MAX(_xlfn._xlws.FILTER(FX[Year_Escore],FX[Category]="senior"))</f>
        <v>26.1</v>
      </c>
      <c r="F55" s="2" t="str" cm="1">
        <f t="array" ref="F55">_xlfn.XLOOKUP(FX_Calculation[[#This Row],[Top]],_xlfn._xlws.FILTER(FX[Year_Escore],FX[Category]="senior"),_xlfn._xlws.FILTER(FX[Name],FX[Category]="senior"))</f>
        <v>BRACKI Borys</v>
      </c>
      <c r="G55" s="2"/>
    </row>
    <row r="56" spans="1:10" ht="27" customHeight="1" x14ac:dyDescent="0.25">
      <c r="A56" s="2" t="s">
        <v>60</v>
      </c>
      <c r="B56" s="2" t="s">
        <v>277</v>
      </c>
      <c r="C56" s="7" cm="1">
        <f t="array" ref="C56">SUM(_xlfn._xlws.FILTER(FX[Year_Total_Score],(FX[Category]="senior")*(FX[Number_of_competition]&gt;=3))/COUNTIFS(FX[Number_of_competition],"&gt;=3",FX[Category],"senior"))</f>
        <v>36.087499999999991</v>
      </c>
      <c r="D56" s="7" cm="1">
        <f t="array" ref="D56">_xlfn.STDEV.S(_xlfn._xlws.FILTER(FX[Year_Total_Score],(FX[Category]="senior")*(FX[Number_of_competition]&gt;=3)))</f>
        <v>2.0562681333823276</v>
      </c>
      <c r="E56" s="7" cm="1">
        <f t="array" ref="E56">MAX(_xlfn._xlws.FILTER(FX[Year_Total_Score],FX[Category]="senior"))</f>
        <v>39.450000000000003</v>
      </c>
      <c r="F56" s="2" t="str" cm="1">
        <f t="array" ref="F56">_xlfn.XLOOKUP(FX_Calculation[[#This Row],[Top]],_xlfn._xlws.FILTER(FX[Year_Total_Score],FX[Category]="senior"),_xlfn._xlws.FILTER(FX[Name],FX[Category]="senior"))</f>
        <v>SASNAL Filip</v>
      </c>
      <c r="G56" s="2"/>
    </row>
    <row r="57" spans="1:10" ht="26.25" customHeight="1" x14ac:dyDescent="0.25">
      <c r="A57" s="2" t="s">
        <v>26</v>
      </c>
      <c r="B57" s="2" t="s">
        <v>269</v>
      </c>
      <c r="C57" s="4" cm="1">
        <f t="array" ref="C57">SUM(_xlfn._xlws.FILTER(FX[bydgoszcz_FX_Dscore],FX[Category]="junior"),_xlfn._xlws.FILTER(FX[zabrze_FX_Dscore],FX[Category]="junior"),_xlfn._xlws.FILTER(FX[cracow_FX_Dscore],FX[Category]="junior"),_xlfn._xlws.FILTER(FX[gdansk_FX_Dscore],FX[Category]="junior"))/(COUNTIFS(FX[bydgoszcz_FX_Dscore],"&gt;0",FX[Category],"junior")+COUNTIFS(FX[zabrze_FX_Dscore],"&gt;0",FX[Category],"junior")+COUNTIFS(FX[cracow_FX_Dscore],"&gt;0",FX[Category],"junior")+COUNTIFS(FX[gdansk_FX_Dscore],"&gt;0",FX[Category],"junior"))</f>
        <v>3.5288461538461537</v>
      </c>
      <c r="D57" s="4" cm="1">
        <f t="array" ref="D57">_xlfn.STDEV.S(_xlfn._xlws.FILTER(FX[bydgoszcz_FX_Dscore],(FX[Category]="junior")*(FX[bydgoszcz_FX_Dscore])&gt;0),_xlfn._xlws.FILTER(FX[zabrze_FX_Dscore],(FX[Category]="junior")*(FX[zabrze_FX_Dscore])&gt;0),_xlfn._xlws.FILTER(FX[cracow_FX_Dscore],(FX[Category]="junior")*(FX[cracow_FX_Dscore])&gt;0),_xlfn._xlws.FILTER(FX[gdansk_FX_Dscore],(FX[Category]="junior")*(FX[gdansk_FX_Dscore])&gt;0))</f>
        <v>0.45818762252585366</v>
      </c>
      <c r="E57" s="4" cm="1">
        <f t="array" ref="E57">MAX(_xlfn._xlws.FILTER(FX[bydgoszcz_FX_Dscore],FX[Category]="junior"),_xlfn._xlws.FILTER(FX[zabrze_FX_Dscore],FX[Category]="junior"),_xlfn._xlws.FILTER(FX[cracow_FX_Dscore],FX[Category]="junior"),_xlfn._xlws.FILTER(FX[gdansk_FX_Dscore],FX[Category]="junior"))</f>
        <v>4.4000000000000004</v>
      </c>
      <c r="F57" s="2" t="str" cm="1">
        <f t="array" ref="F57">_xlfn.XLOOKUP(E57,_xlfn._xlws.FILTER(FX[bydgoszcz_FX_Dscore],FX[Category]="junior"),_xlfn._xlws.FILTER(FX[Name],FX[Category]="junior"),_xlfn.XLOOKUP(E57,_xlfn._xlws.FILTER(FX[zabrze_FX_Dscore],FX[Category]="junior"),_xlfn._xlws.FILTER(FX[Name],FX[Category]="junior"),_xlfn.XLOOKUP(E57,_xlfn._xlws.FILTER(FX[cracow_FX_Dscore],FX[Category]="junior"),_xlfn._xlws.FILTER(FX[Name],FX[Category]="junior"),_xlfn.XLOOKUP(E57,_xlfn._xlws.FILTER(FX[gdansk_FX_Dscore],FX[Category]="junior"),_xlfn._xlws.FILTER(FX[Name],FX[Category]="junior")))))</f>
        <v>CZARNECKI Aleksander</v>
      </c>
      <c r="G57" s="2"/>
    </row>
    <row r="58" spans="1:10" ht="26.25" customHeight="1" x14ac:dyDescent="0.25">
      <c r="A58" s="2" t="s">
        <v>26</v>
      </c>
      <c r="B58" s="2" t="s">
        <v>267</v>
      </c>
      <c r="C58" s="7" cm="1">
        <f t="array" ref="C58">SUM(_xlfn._xlws.FILTER(FX[bydgoszcz_FX_Escore],FX[Category]="junior"),_xlfn._xlws.FILTER(FX[zabrze_FX_Escore],FX[Category]="junior"),_xlfn._xlws.FILTER(FX[cracow_FX_Escore],FX[Category]="junior"),_xlfn._xlws.FILTER(FX[gdansk_FX_Escore],FX[Category]="junior"))/(COUNTIFS(FX[bydgoszcz_FX_Escore],"&gt;0",FX[Category],"junior")+COUNTIFS(FX[zabrze_FX_Escore],"&gt;0",FX[Category],"junior")+COUNTIFS(FX[cracow_FX_Escore],"&gt;0",FX[Category],"junior")+COUNTIFS(FX[gdansk_FX_Escore],"&gt;0",FX[Category],"junior"))</f>
        <v>7.8874999999999993</v>
      </c>
      <c r="D58" s="7" cm="1">
        <f t="array" ref="D58">_xlfn.STDEV.S(_xlfn._xlws.FILTER(FX[bydgoszcz_FX_Escore],(FX[Category]="junior")*(FX[bydgoszcz_FX_Escore])&gt;0),_xlfn._xlws.FILTER(FX[zabrze_FX_Escore],(FX[Category]="junior")*(FX[zabrze_FX_Escore])&gt;0),_xlfn._xlws.FILTER(FX[cracow_FX_Escore],(FX[Category]="junior")*(FX[cracow_FX_Escore])&gt;0),_xlfn._xlws.FILTER(FX[gdansk_FX_Escore],(FX[Category]="junior")*(FX[gdansk_FX_Escore])&gt;0))</f>
        <v>0.60891055075727629</v>
      </c>
      <c r="E58" s="7" cm="1">
        <f t="array" ref="E58">MAX(_xlfn._xlws.FILTER(FX[bydgoszcz_FX_Escore],FX[Category]="junior"),_xlfn._xlws.FILTER(FX[zabrze_FX_Escore],FX[Category]="junior"),_xlfn._xlws.FILTER(FX[cracow_FX_Escore],FX[Category]="junior"),_xlfn._xlws.FILTER(FX[gdansk_FX_Escore],FX[Category]="junior"))</f>
        <v>8.9499999999999993</v>
      </c>
      <c r="F58" s="2" t="str" cm="1">
        <f t="array" ref="F58">_xlfn.XLOOKUP(E58,_xlfn._xlws.FILTER(FX[bydgoszcz_FX_Escore],FX[Category]="junior"),_xlfn._xlws.FILTER(FX[Name],FX[Category]="junior"),_xlfn.XLOOKUP(E58,_xlfn._xlws.FILTER(FX[zabrze_FX_Escore],FX[Category]="junior"),_xlfn._xlws.FILTER(FX[Name],FX[Category]="junior"),_xlfn.XLOOKUP(E58,_xlfn._xlws.FILTER(FX[cracow_FX_Escore],FX[Category]="junior"),_xlfn._xlws.FILTER(FX[Name],FX[Category]="junior"),_xlfn.XLOOKUP(E58,_xlfn._xlws.FILTER(FX[gdansk_FX_Escore],FX[Category]="junior"),_xlfn._xlws.FILTER(FX[Name],FX[Category]="junior")))))</f>
        <v>CZARNECKI Aleksander</v>
      </c>
      <c r="G58" s="2"/>
    </row>
    <row r="59" spans="1:10" ht="26.25" customHeight="1" x14ac:dyDescent="0.25">
      <c r="A59" s="2" t="s">
        <v>26</v>
      </c>
      <c r="B59" s="2" t="s">
        <v>268</v>
      </c>
      <c r="C59" s="7" cm="1">
        <f t="array" ref="C59">SUM(_xlfn._xlws.FILTER(FX[bydgoszcz_FX_Total_Score],FX[Category]="junior"),_xlfn._xlws.FILTER(FX[zabrze_FX_Total_Score],FX[Category]="junior"),_xlfn._xlws.FILTER(FX[cracow_FX_Total_Score],FX[Category]="junior"),_xlfn._xlws.FILTER(FX[gdansk_FX_Total_Score],FX[Category]="junior"))/(COUNTIFS(FX[bydgoszcz_FX_Total_Score],"&gt;0",FX[Category],"junior")+COUNTIFS(FX[zabrze_FX_Total_Score],"&gt;0",FX[Category],"junior")+COUNTIFS(FX[cracow_FX_Total_Score],"&gt;0",FX[Category],"junior")+COUNTIFS(FX[gdansk_FX_Total_Score],"&gt;0",FX[Category],"junior"))</f>
        <v>11.416346153846153</v>
      </c>
      <c r="D59" s="7" cm="1">
        <f t="array" ref="D59">_xlfn.STDEV.S(_xlfn._xlws.FILTER(FX[bydgoszcz_FX_Total_Score],(FX[Category]="junior")*(FX[bydgoszcz_FX_Total_Score])&gt;0),_xlfn._xlws.FILTER(FX[zabrze_FX_Total_Score],(FX[Category]="junior")*(FX[zabrze_FX_Total_Score])&gt;0),_xlfn._xlws.FILTER(FX[cracow_FX_Total_Score],(FX[Category]="junior")*(FX[cracow_FX_Total_Score])&gt;0),_xlfn._xlws.FILTER(FX[gdansk_FX_Total_Score],(FX[Category]="junior")*(FX[gdansk_FX_Total_Score])&gt;0))</f>
        <v>0.81015135077427824</v>
      </c>
      <c r="E59" s="7" cm="1">
        <f t="array" ref="E59">MAX(_xlfn._xlws.FILTER(FX[bydgoszcz_FX_Total_Score],FX[Category]="junior"),_xlfn._xlws.FILTER(FX[zabrze_FX_Total_Score],FX[Category]="junior"),_xlfn._xlws.FILTER(FX[cracow_FX_Total_Score],FX[Category]="junior"),_xlfn._xlws.FILTER(FX[gdansk_FX_Total_Score],FX[Category]="junior"))</f>
        <v>12.95</v>
      </c>
      <c r="F59" s="2" t="str" cm="1">
        <f t="array" ref="F59">_xlfn.XLOOKUP(E59,_xlfn._xlws.FILTER(FX[bydgoszcz_FX_Total_Score],FX[Category]="junior"),_xlfn._xlws.FILTER(FX[Name],FX[Category]="junior"),_xlfn.XLOOKUP(E59,_xlfn._xlws.FILTER(FX[zabrze_FX_Total_Score],FX[Category]="junior"),_xlfn._xlws.FILTER(FX[Name],FX[Category]="junior"),_xlfn.XLOOKUP(E59,_xlfn._xlws.FILTER(FX[cracow_FX_Total_Score],FX[Category]="junior"),_xlfn._xlws.FILTER(FX[Name],FX[Category]="junior"),_xlfn.XLOOKUP(E59,_xlfn._xlws.FILTER(FX[gdansk_FX_Total_Score],FX[Category]="junior"),_xlfn._xlws.FILTER(FX[Name],FX[Category]="junior")))))</f>
        <v>CZARNECKI Aleksander</v>
      </c>
    </row>
    <row r="60" spans="1:10" ht="26.25" customHeight="1" x14ac:dyDescent="0.25">
      <c r="A60" s="2" t="s">
        <v>26</v>
      </c>
      <c r="B60" s="2" t="s">
        <v>275</v>
      </c>
      <c r="C60" s="4" cm="1">
        <f t="array" ref="C60">SUM(_xlfn._xlws.FILTER(FX[Year_Dscore],(FX[Category]="junior")*(FX[Number_of_competition]&gt;=3))/COUNTIFS(FX[Number_of_competition],"&gt;=3",FX[Category],"junior"))</f>
        <v>10.880000000000003</v>
      </c>
      <c r="D60" s="4" cm="1">
        <f t="array" ref="D60">_xlfn.STDEV.S(_xlfn._xlws.FILTER(FX[Year_Dscore],(FX[Category]="junior")*(FX[Number_of_competition]&gt;=3)))</f>
        <v>1.2629770825755648</v>
      </c>
      <c r="E60" s="4" cm="1">
        <f t="array" ref="E60">MAX(_xlfn._xlws.FILTER(FX[Year_Dscore],FX[Category]="junior"))</f>
        <v>12.7</v>
      </c>
      <c r="F60" s="2" t="str" cm="1">
        <f t="array" ref="F60">_xlfn.XLOOKUP(FX_Calculation[[#This Row],[Top]],_xlfn._xlws.FILTER(FX[Year_Dscore],FX[Category]="junior"),_xlfn._xlws.FILTER(FX[Name],FX[Category]="junior"))</f>
        <v>CZARNECKI Aleksander</v>
      </c>
    </row>
    <row r="61" spans="1:10" ht="26.25" customHeight="1" x14ac:dyDescent="0.25">
      <c r="A61" s="2" t="s">
        <v>26</v>
      </c>
      <c r="B61" s="2" t="s">
        <v>276</v>
      </c>
      <c r="C61" s="7" cm="1">
        <f t="array" ref="C61">SUM(_xlfn._xlws.FILTER(FX[Year_Escore],(FX[Category]="junior")*(FX[Number_of_competition]&gt;=3))/COUNTIFS(FX[Number_of_competition],"&gt;=3",FX[Category],"junior"))</f>
        <v>24.480000000000004</v>
      </c>
      <c r="D61" s="7" cm="1">
        <f t="array" ref="D61">_xlfn.STDEV.S(_xlfn._xlws.FILTER(FX[Year_Escore],(FX[Category]="junior")*(FX[Number_of_competition]&gt;=3)))</f>
        <v>0.87088715942103689</v>
      </c>
      <c r="E61" s="7" cm="1">
        <f t="array" ref="E61">MAX(_xlfn._xlws.FILTER(FX[Year_Escore],FX[Category]="junior"))</f>
        <v>26.099999999999998</v>
      </c>
      <c r="F61" s="2" t="str" cm="1">
        <f t="array" ref="F61">_xlfn.XLOOKUP(FX_Calculation[[#This Row],[Top]],_xlfn._xlws.FILTER(FX[Year_Escore],FX[Category]="junior"),_xlfn._xlws.FILTER(FX[Name],FX[Category]="junior"))</f>
        <v>LEKHAC Tomasz</v>
      </c>
    </row>
    <row r="62" spans="1:10" ht="26.25" customHeight="1" x14ac:dyDescent="0.25">
      <c r="A62" s="2" t="s">
        <v>26</v>
      </c>
      <c r="B62" s="2" t="s">
        <v>277</v>
      </c>
      <c r="C62" s="7" cm="1">
        <f t="array" ref="C62">SUM(_xlfn._xlws.FILTER(FX[Year_Total_Score],(FX[Category]="junior")*(FX[Number_of_competition]&gt;=3))/COUNTIFS(FX[Number_of_competition],"&gt;=3",FX[Category],"junior"))</f>
        <v>35.25</v>
      </c>
      <c r="D62" s="7" cm="1">
        <f t="array" ref="D62">_xlfn.STDEV.S(_xlfn._xlws.FILTER(FX[Year_Total_Score],(FX[Category]="junior")*(FX[Number_of_competition]&gt;=3)))</f>
        <v>2.0277245046274563</v>
      </c>
      <c r="E62" s="7" cm="1">
        <f t="array" ref="E62">MAX(_xlfn._xlws.FILTER(FX[Year_Total_Score],FX[Category]="junior"))</f>
        <v>38.099999999999994</v>
      </c>
      <c r="F62" s="2" t="str" cm="1">
        <f t="array" ref="F62">_xlfn.XLOOKUP(FX_Calculation[[#This Row],[Top]],_xlfn._xlws.FILTER(FX[Year_Total_Score],FX[Category]="junior"),_xlfn._xlws.FILTER(FX[Name],FX[Category]="junior"))</f>
        <v>LEKHAC Tomasz</v>
      </c>
    </row>
  </sheetData>
  <mergeCells count="2">
    <mergeCell ref="Y2:Y7"/>
    <mergeCell ref="Y8:Y13"/>
  </mergeCells>
  <conditionalFormatting sqref="A2:A47">
    <cfRule type="expression" dxfId="121" priority="1">
      <formula>IF($B2="junior",$T2=MAX(_xlfn._xlws.FILTER($T$2:$T$47,$B$2:$B$47="junior")),$T2=MAX(_xlfn._xlws.FILTER($T$2:$T$47,$B$2:$B$47="senior")))</formula>
    </cfRule>
    <cfRule type="expression" dxfId="120" priority="2">
      <formula>IF($B2="junior",$T2=LARGE(_xlfn._xlws.FILTER($T$2:$T$47,$B$2:$B$47="junior"),2),$T2=LARGE(_xlfn._xlws.FILTER($T$2:$T$47,$B$2:$B$47="senior"),2))</formula>
    </cfRule>
    <cfRule type="expression" dxfId="119" priority="3">
      <formula>IF($B2="junior",$T2=LARGE(_xlfn._xlws.FILTER($T$2:$T$47,$B$2:$B$47="junior"),3),$T2=LARGE(_xlfn._xlws.FILTER($T$2:$T$47,$B$2:$B$47="senior"),3))</formula>
    </cfRule>
    <cfRule type="expression" dxfId="118" priority="4">
      <formula>IF($B2="junior",$R2=MAX(_xlfn._xlws.FILTER($R$2:$R$47,$B$2:$B$47="junior")),$R2=MAX(_xlfn._xlws.FILTER($R$2:$R$47,$B$2:$B$47="senior")))</formula>
    </cfRule>
    <cfRule type="expression" dxfId="117" priority="5">
      <formula>IF($B2="junior",$S2=MAX(_xlfn._xlws.FILTER($S$2:$S$47,$B$2:$B$47="junior")),$S2=MAX(_xlfn._xlws.FILTER($S$2:$S$47,$B$2:$B$47="senior")))</formula>
    </cfRule>
  </conditionalFormatting>
  <conditionalFormatting sqref="F2:F47 I2:I47 L2:L47 O2:O47 U2:U47">
    <cfRule type="expression" dxfId="116" priority="11">
      <formula>IF($B2="junior",F2&gt;=($AA$8+$AB$8),F2&gt;=($AA$2+$AB$2))</formula>
    </cfRule>
  </conditionalFormatting>
  <conditionalFormatting sqref="F2:F47 I2:I47 L2:L47 O2:O47">
    <cfRule type="expression" dxfId="115" priority="39">
      <formula>AND(AND($B2="junior",F2&lt;2.6),F2&gt;0)</formula>
    </cfRule>
    <cfRule type="expression" dxfId="114" priority="41">
      <formula>AND(AND($B2="senior",F2&lt;2.9),F2&gt;0)</formula>
    </cfRule>
  </conditionalFormatting>
  <conditionalFormatting sqref="F2:W47">
    <cfRule type="cellIs" dxfId="113" priority="52" operator="equal">
      <formula>0</formula>
    </cfRule>
  </conditionalFormatting>
  <conditionalFormatting sqref="H2:H47 K2:K47 N2:N47 Q2:Q47 W2:W47">
    <cfRule type="expression" dxfId="112" priority="14">
      <formula>IF($B2="junior",H2&gt;=($AA$10+$AB$10),H2&gt;=($AA$4+$AB$4))</formula>
    </cfRule>
  </conditionalFormatting>
  <conditionalFormatting sqref="H2:H47 K2:K47 N2:N47 Q2:Q47">
    <cfRule type="expression" dxfId="111" priority="9">
      <formula>IF($B2="junior",H2&gt;=$AC$10,H2&gt;=$AC$4)</formula>
    </cfRule>
  </conditionalFormatting>
  <conditionalFormatting sqref="R2:R47">
    <cfRule type="expression" dxfId="110" priority="10">
      <formula>IF($B2="junior",R2&gt;=($AA$11+$AB$11),R2&gt;=($AA$5+$AB$5))</formula>
    </cfRule>
  </conditionalFormatting>
  <conditionalFormatting sqref="S2:S47">
    <cfRule type="expression" dxfId="109" priority="24">
      <formula>IF($B2="junior",S2&gt;=$AA$12+$AB$12,S2&gt;=$AA$6+$AB$6)</formula>
    </cfRule>
  </conditionalFormatting>
  <conditionalFormatting sqref="T2:T47">
    <cfRule type="expression" dxfId="108" priority="8">
      <formula>IF($B2="junior",T2&gt;=$AC$13,T2&gt;=$AC$7)</formula>
    </cfRule>
    <cfRule type="expression" dxfId="107" priority="18">
      <formula>IF($B2="junior",T2&gt;=($AA$13+$AB$13),T2&gt;=($AA$7+$AB$7))</formula>
    </cfRule>
  </conditionalFormatting>
  <conditionalFormatting sqref="V2:V47">
    <cfRule type="expression" dxfId="106" priority="7">
      <formula>IF($B2="junior",V2&gt;=$AA$9+$AB$9,V2&gt;=$AA$3+$AB$3)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4FA210-7223-194C-8078-5CFFCA13D484}">
  <sheetPr codeName="Arkusz7">
    <tabColor theme="5" tint="0.39997558519241921"/>
  </sheetPr>
  <dimension ref="A1:AC59"/>
  <sheetViews>
    <sheetView topLeftCell="E1" zoomScale="75" zoomScaleNormal="75" workbookViewId="0">
      <selection activeCell="Y35" sqref="Y35"/>
    </sheetView>
  </sheetViews>
  <sheetFormatPr defaultColWidth="11" defaultRowHeight="15.75" x14ac:dyDescent="0.25"/>
  <cols>
    <col min="1" max="1" width="23.125" bestFit="1" customWidth="1"/>
    <col min="2" max="3" width="20" style="2" bestFit="1" customWidth="1"/>
    <col min="4" max="4" width="22" customWidth="1"/>
    <col min="5" max="5" width="27.125" style="3" bestFit="1" customWidth="1"/>
    <col min="6" max="6" width="25.125" style="5" bestFit="1" customWidth="1"/>
    <col min="7" max="7" width="24.625" style="8" bestFit="1" customWidth="1"/>
    <col min="8" max="8" width="29.25" style="8" bestFit="1" customWidth="1"/>
    <col min="9" max="9" width="22" style="5" bestFit="1" customWidth="1"/>
    <col min="10" max="10" width="21.625" style="8" bestFit="1" customWidth="1"/>
    <col min="11" max="11" width="8" style="8" customWidth="1"/>
    <col min="12" max="12" width="8" style="5" customWidth="1"/>
    <col min="13" max="14" width="8" style="8" customWidth="1"/>
    <col min="15" max="15" width="8" style="5" customWidth="1"/>
    <col min="16" max="16" width="8" style="8" customWidth="1"/>
    <col min="17" max="17" width="10.375" style="8" customWidth="1"/>
    <col min="18" max="23" width="8" style="3" customWidth="1"/>
    <col min="25" max="25" width="18.5" bestFit="1" customWidth="1"/>
    <col min="26" max="27" width="15.125" bestFit="1" customWidth="1"/>
  </cols>
  <sheetData>
    <row r="1" spans="1:29" s="2" customFormat="1" x14ac:dyDescent="0.25">
      <c r="A1" s="2" t="s">
        <v>1</v>
      </c>
      <c r="B1" s="2" t="s">
        <v>2</v>
      </c>
      <c r="C1" s="2" t="s">
        <v>4</v>
      </c>
      <c r="D1" s="2" t="s">
        <v>5</v>
      </c>
      <c r="E1" s="2" t="s">
        <v>228</v>
      </c>
      <c r="F1" s="2" t="s">
        <v>157</v>
      </c>
      <c r="G1" s="2" t="s">
        <v>158</v>
      </c>
      <c r="H1" s="2" t="s">
        <v>159</v>
      </c>
      <c r="I1" s="2" t="s">
        <v>160</v>
      </c>
      <c r="J1" s="2" t="s">
        <v>161</v>
      </c>
      <c r="K1" s="2" t="s">
        <v>162</v>
      </c>
      <c r="L1" s="2" t="s">
        <v>163</v>
      </c>
      <c r="M1" s="2" t="s">
        <v>164</v>
      </c>
      <c r="N1" s="2" t="s">
        <v>165</v>
      </c>
      <c r="O1" s="2" t="s">
        <v>166</v>
      </c>
      <c r="P1" s="2" t="s">
        <v>167</v>
      </c>
      <c r="Q1" s="2" t="s">
        <v>168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</row>
    <row r="2" spans="1:29" x14ac:dyDescent="0.25">
      <c r="A2" t="s">
        <v>92</v>
      </c>
      <c r="B2" s="2" t="s">
        <v>60</v>
      </c>
      <c r="C2" s="2" t="s">
        <v>93</v>
      </c>
      <c r="D2" t="s">
        <v>39</v>
      </c>
      <c r="E2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2" s="4">
        <v>4</v>
      </c>
      <c r="G2" s="7">
        <v>8.65</v>
      </c>
      <c r="H2" s="7">
        <v>12.65</v>
      </c>
      <c r="I2" s="4">
        <v>3.7</v>
      </c>
      <c r="J2" s="7">
        <v>8.6</v>
      </c>
      <c r="K2" s="7">
        <v>12.3</v>
      </c>
      <c r="L2" s="4">
        <v>3.7</v>
      </c>
      <c r="M2" s="7">
        <v>8.85</v>
      </c>
      <c r="N2" s="7">
        <v>12.55</v>
      </c>
      <c r="O2" s="4">
        <v>0</v>
      </c>
      <c r="P2" s="7">
        <v>0</v>
      </c>
      <c r="Q2" s="7">
        <v>0</v>
      </c>
      <c r="R2" s="4">
        <f>LARGE(CHOOSE({1;2;3;4},F2,I2,L2,O2),1)+LARGE(CHOOSE({1;2;3;4},F2,I2,L2,O2),2)+LARGE(CHOOSE({1;2;3;4},F2,I2,L2,O2),3)</f>
        <v>11.4</v>
      </c>
      <c r="S2" s="7">
        <f>LARGE(CHOOSE({1;2;3;4},G2,J2,M2,P2),1)+LARGE(CHOOSE({1;2;3;4},G2,J2,M2,P2),2)+LARGE(CHOOSE({1;2;3;4},G2,J2,M2,P2),3)</f>
        <v>26.1</v>
      </c>
      <c r="T2" s="7">
        <f>LARGE(CHOOSE({1;2;3;4},H2,K2,N2,Q2),1)+LARGE(CHOOSE({1;2;3;4},H2,K2,N2,Q2),2)+LARGE(CHOOSE({1;2;3;4},H2,K2,N2,Q2),3)</f>
        <v>37.5</v>
      </c>
      <c r="U2" s="4" cm="1">
        <f t="array" ref="U2">IF(PH[[#This Row],[Number_of_Competition]:[Number_of_Competition]]&gt;=3,(LARGE(CHOOSE({1;2;3;4},F2,I2,L2,O2),1)+LARGE(CHOOSE({1;2;3;4},F2,I2,L2,O2),2)+LARGE(CHOOSE({1;2;3;4},F2,I2,L2,O2),3))/3,0)</f>
        <v>3.8000000000000003</v>
      </c>
      <c r="V2" s="7" cm="1">
        <f t="array" ref="V2">IF(PH[[#This Row],[Number_of_Competition]:[Number_of_Competition]]&gt;=3,(LARGE(CHOOSE({1;2;3;4},G2,J2,M2,P2),1)+LARGE(CHOOSE({1;2;3;4},G2,J2,M2,P2),2)+LARGE(CHOOSE({1;2;3;4},G2,J2,M2,P2),3))/3,0)</f>
        <v>8.7000000000000011</v>
      </c>
      <c r="W2" s="7" cm="1">
        <f t="array" ref="W2">IF(PH[[#This Row],[Number_of_Competition]:[Number_of_Competition]]&gt;=3,(LARGE(CHOOSE({1;2;3;4},H2,K2,N2,Q2),1)+LARGE(CHOOSE({1;2;3;4},H2,K2,N2,Q2),2)+LARGE(CHOOSE({1;2;3;4},H2,K2,N2,Q2),3))/3,0)</f>
        <v>12.5</v>
      </c>
      <c r="Y2" s="41" t="s">
        <v>60</v>
      </c>
      <c r="Z2" s="20" t="s">
        <v>269</v>
      </c>
      <c r="AA2" s="21" cm="1">
        <f t="array" ref="AA2">SUM(_xlfn._xlws.FILTER(PH[bydgoszcz_PH_Dscore],PH[Category]="senior"),_xlfn._xlws.FILTER(PH[zabrze_PH_Dscore],PH[Category]="senior"),_xlfn._xlws.FILTER(PH[cracow_PH_Dscore],PH[Category]="senior"),_xlfn._xlws.FILTER(PH[gdansk_PH_Dscore],PH[Category]="senior"))/(COUNTIFS(PH[bydgoszcz_PH_Dscore],"&gt;0",PH[Category],"senior")+COUNTIFS(PH[zabrze_PH_Dscore],"&gt;0",PH[Category],"senior")+COUNTIFS(PH[cracow_PH_Dscore],"&gt;0",PH[Category],"senior")+COUNTIFS(PH[gdansk_PH_Dscore],"&gt;0",PH[Category],"senior"))</f>
        <v>3.6766666666666663</v>
      </c>
      <c r="AB2" s="21" cm="1">
        <f t="array" ref="AB2">_xlfn.STDEV.S(_xlfn._xlws.FILTER(PH[bydgoszcz_PH_Dscore],(PH[Category]="senior")*(PH[bydgoszcz_PH_Dscore])&gt;0),_xlfn._xlws.FILTER(PH[zabrze_PH_Dscore],(PH[Category]="senior")*(PH[zabrze_PH_Dscore])&gt;0),_xlfn._xlws.FILTER(PH[cracow_PH_Dscore],(PH[Category]="senior")*(PH[cracow_PH_Dscore])&gt;0),_xlfn._xlws.FILTER(PH[gdansk_PH_Dscore],(PH[Category]="senior")*(PH[gdansk_PH_Dscore])&gt;0))</f>
        <v>0.66060236165638186</v>
      </c>
      <c r="AC2" s="21" cm="1">
        <f t="array" ref="AC2">MAX(_xlfn._xlws.FILTER(PH[bydgoszcz_PH_Dscore],PH[Category]="senior"),_xlfn._xlws.FILTER(PH[zabrze_PH_Dscore],PH[Category]="senior"),_xlfn._xlws.FILTER(PH[cracow_PH_Dscore],PH[Category]="senior"),_xlfn._xlws.FILTER(PH[gdansk_PH_Dscore],PH[Category]="senior"))</f>
        <v>5.2</v>
      </c>
    </row>
    <row r="3" spans="1:29" x14ac:dyDescent="0.25">
      <c r="A3" t="s">
        <v>59</v>
      </c>
      <c r="B3" s="2" t="s">
        <v>60</v>
      </c>
      <c r="C3" s="2" t="s">
        <v>61</v>
      </c>
      <c r="D3" t="s">
        <v>62</v>
      </c>
      <c r="E3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" s="4">
        <v>0</v>
      </c>
      <c r="G3" s="7">
        <v>0</v>
      </c>
      <c r="H3" s="7">
        <v>0</v>
      </c>
      <c r="I3" s="4">
        <v>4.9000000000000004</v>
      </c>
      <c r="J3" s="7">
        <v>7.4</v>
      </c>
      <c r="K3" s="7">
        <v>12.3</v>
      </c>
      <c r="L3" s="4">
        <v>5.2</v>
      </c>
      <c r="M3" s="7">
        <v>7.7</v>
      </c>
      <c r="N3" s="7">
        <v>12.9</v>
      </c>
      <c r="O3" s="4">
        <v>4.9000000000000004</v>
      </c>
      <c r="P3" s="7">
        <v>6</v>
      </c>
      <c r="Q3" s="7">
        <v>10.9</v>
      </c>
      <c r="R3" s="4">
        <f>LARGE(CHOOSE({1;2;3;4},F3,I3,L3,O3),1)+LARGE(CHOOSE({1;2;3;4},F3,I3,L3,O3),2)+LARGE(CHOOSE({1;2;3;4},F3,I3,L3,O3),3)</f>
        <v>15.000000000000002</v>
      </c>
      <c r="S3" s="7">
        <f>LARGE(CHOOSE({1;2;3;4},G3,J3,M3,P3),1)+LARGE(CHOOSE({1;2;3;4},G3,J3,M3,P3),2)+LARGE(CHOOSE({1;2;3;4},G3,J3,M3,P3),3)</f>
        <v>21.1</v>
      </c>
      <c r="T3" s="7">
        <f>LARGE(CHOOSE({1;2;3;4},H3,K3,N3,Q3),1)+LARGE(CHOOSE({1;2;3;4},H3,K3,N3,Q3),2)+LARGE(CHOOSE({1;2;3;4},H3,K3,N3,Q3),3)</f>
        <v>36.1</v>
      </c>
      <c r="U3" s="4" cm="1">
        <f t="array" ref="U3">IF(PH[[#This Row],[Number_of_Competition]:[Number_of_Competition]]&gt;=3,(LARGE(CHOOSE({1;2;3;4},F3,I3,L3,O3),1)+LARGE(CHOOSE({1;2;3;4},F3,I3,L3,O3),2)+LARGE(CHOOSE({1;2;3;4},F3,I3,L3,O3),3))/3,0)</f>
        <v>5.0000000000000009</v>
      </c>
      <c r="V3" s="7" cm="1">
        <f t="array" ref="V3">IF(PH[[#This Row],[Number_of_Competition]:[Number_of_Competition]]&gt;=3,(LARGE(CHOOSE({1;2;3;4},G3,J3,M3,P3),1)+LARGE(CHOOSE({1;2;3;4},G3,J3,M3,P3),2)+LARGE(CHOOSE({1;2;3;4},G3,J3,M3,P3),3))/3,0)</f>
        <v>7.0333333333333341</v>
      </c>
      <c r="W3" s="7" cm="1">
        <f t="array" ref="W3">IF(PH[[#This Row],[Number_of_Competition]:[Number_of_Competition]]&gt;=3,(LARGE(CHOOSE({1;2;3;4},H3,K3,N3,Q3),1)+LARGE(CHOOSE({1;2;3;4},H3,K3,N3,Q3),2)+LARGE(CHOOSE({1;2;3;4},H3,K3,N3,Q3),3))/3,0)</f>
        <v>12.033333333333333</v>
      </c>
      <c r="Y3" s="42"/>
      <c r="Z3" s="20" t="s">
        <v>267</v>
      </c>
      <c r="AA3" s="22" cm="1">
        <f t="array" ref="AA3">SUM(_xlfn._xlws.FILTER(PH[bydgoszcz_PH_Escore],PH[Category]="senior"),_xlfn._xlws.FILTER(PH[zabrze_PH_Escore],PH[Category]="senior"),_xlfn._xlws.FILTER(PH[cracow_PH_Escore],PH[Category]="senior"),_xlfn._xlws.FILTER(PH[gdansk_PH_Escore],PH[Category]="senior"))/(COUNTIFS(PH[bydgoszcz_PH_Escore],"&gt;0",PH[Category],"senior")+COUNTIFS(PH[zabrze_PH_Escore],"&gt;0",PH[Category],"senior")+COUNTIFS(PH[cracow_PH_Escore],"&gt;0",PH[Category],"senior")+COUNTIFS(PH[gdansk_PH_Escore],"&gt;0",PH[Category],"senior"))</f>
        <v>6.7406779661016945</v>
      </c>
      <c r="AB3" s="22" cm="1">
        <f t="array" ref="AB3">_xlfn.STDEV.S(_xlfn._xlws.FILTER(PH[bydgoszcz_PH_Escore],(PH[Category]="senior")*(PH[bydgoszcz_PH_Escore])&gt;0),_xlfn._xlws.FILTER(PH[zabrze_PH_Escore],(PH[Category]="senior")*(PH[zabrze_PH_Escore])&gt;0),_xlfn._xlws.FILTER(PH[cracow_PH_Escore],(PH[Category]="senior")*(PH[cracow_PH_Escore])&gt;0),_xlfn._xlws.FILTER(PH[gdansk_PH_Escore],(PH[Category]="senior")*(PH[gdansk_PH_Escore])&gt;0))</f>
        <v>1.5524306463567139</v>
      </c>
      <c r="AC3" s="22" cm="1">
        <f t="array" ref="AC3">MAX(_xlfn._xlws.FILTER(PH[bydgoszcz_PH_Escore],PH[Category]="senior"),_xlfn._xlws.FILTER(PH[zabrze_PH_Escore],PH[Category]="senior"),_xlfn._xlws.FILTER(PH[cracow_PH_Escore],PH[Category]="senior"),_xlfn._xlws.FILTER(PH[gdansk_PH_Escore],PH[Category]="senior"))</f>
        <v>8.85</v>
      </c>
    </row>
    <row r="4" spans="1:29" x14ac:dyDescent="0.25">
      <c r="A4" t="s">
        <v>86</v>
      </c>
      <c r="B4" s="2" t="s">
        <v>60</v>
      </c>
      <c r="C4" s="2" t="s">
        <v>87</v>
      </c>
      <c r="D4" t="s">
        <v>72</v>
      </c>
      <c r="E4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4" s="4">
        <v>3.8</v>
      </c>
      <c r="G4" s="7">
        <v>7.1</v>
      </c>
      <c r="H4" s="7">
        <v>10.9</v>
      </c>
      <c r="I4" s="4">
        <v>4</v>
      </c>
      <c r="J4" s="7">
        <v>7.8</v>
      </c>
      <c r="K4" s="7">
        <v>11.8</v>
      </c>
      <c r="L4" s="4">
        <v>4.2</v>
      </c>
      <c r="M4" s="7">
        <v>8</v>
      </c>
      <c r="N4" s="7">
        <v>12.2</v>
      </c>
      <c r="O4" s="4">
        <v>3.8</v>
      </c>
      <c r="P4" s="7">
        <v>7.6</v>
      </c>
      <c r="Q4" s="7">
        <v>11.4</v>
      </c>
      <c r="R4" s="4">
        <f>LARGE(CHOOSE({1;2;3;4},F4,I4,L4,O4),1)+LARGE(CHOOSE({1;2;3;4},F4,I4,L4,O4),2)+LARGE(CHOOSE({1;2;3;4},F4,I4,L4,O4),3)</f>
        <v>12</v>
      </c>
      <c r="S4" s="7">
        <f>LARGE(CHOOSE({1;2;3;4},G4,J4,M4,P4),1)+LARGE(CHOOSE({1;2;3;4},G4,J4,M4,P4),2)+LARGE(CHOOSE({1;2;3;4},G4,J4,M4,P4),3)</f>
        <v>23.4</v>
      </c>
      <c r="T4" s="7">
        <f>LARGE(CHOOSE({1;2;3;4},H4,K4,N4,Q4),1)+LARGE(CHOOSE({1;2;3;4},H4,K4,N4,Q4),2)+LARGE(CHOOSE({1;2;3;4},H4,K4,N4,Q4),3)</f>
        <v>35.4</v>
      </c>
      <c r="U4" s="4" cm="1">
        <f t="array" ref="U4">IF(PH[[#This Row],[Number_of_Competition]:[Number_of_Competition]]&gt;=3,(LARGE(CHOOSE({1;2;3;4},F4,I4,L4,O4),1)+LARGE(CHOOSE({1;2;3;4},F4,I4,L4,O4),2)+LARGE(CHOOSE({1;2;3;4},F4,I4,L4,O4),3))/3,0)</f>
        <v>4</v>
      </c>
      <c r="V4" s="7" cm="1">
        <f t="array" ref="V4">IF(PH[[#This Row],[Number_of_Competition]:[Number_of_Competition]]&gt;=3,(LARGE(CHOOSE({1;2;3;4},G4,J4,M4,P4),1)+LARGE(CHOOSE({1;2;3;4},G4,J4,M4,P4),2)+LARGE(CHOOSE({1;2;3;4},G4,J4,M4,P4),3))/3,0)</f>
        <v>7.8</v>
      </c>
      <c r="W4" s="7" cm="1">
        <f t="array" ref="W4">IF(PH[[#This Row],[Number_of_Competition]:[Number_of_Competition]]&gt;=3,(LARGE(CHOOSE({1;2;3;4},H4,K4,N4,Q4),1)+LARGE(CHOOSE({1;2;3;4},H4,K4,N4,Q4),2)+LARGE(CHOOSE({1;2;3;4},H4,K4,N4,Q4),3))/3,0)</f>
        <v>11.799999999999999</v>
      </c>
      <c r="Y4" s="42"/>
      <c r="Z4" s="20" t="s">
        <v>268</v>
      </c>
      <c r="AA4" s="22" cm="1">
        <f t="array" ref="AA4">SUM(_xlfn._xlws.FILTER(PH[bydgoszcz_PH_Total_Score],PH[Category]="senior"),_xlfn._xlws.FILTER(PH[zabrze_PH_Total_Score],PH[Category]="senior"),_xlfn._xlws.FILTER(PH[cracow_PH_Total_Score],PH[Category]="senior"),_xlfn._xlws.FILTER(PH[gdansk_PH_Total_Score],PH[Category]="senior"))/(COUNTIFS(PH[bydgoszcz_PH_Total_Score],"&gt;0",PH[Category],"senior")+COUNTIFS(PH[zabrze_PH_Total_Score],"&gt;0",PH[Category],"senior")+COUNTIFS(PH[cracow_PH_Total_Score],"&gt;0",PH[Category],"senior")+COUNTIFS(PH[gdansk_PH_Total_Score],"&gt;0",PH[Category],"senior"))</f>
        <v>10.304999999999998</v>
      </c>
      <c r="AB4" s="22" cm="1">
        <f t="array" ref="AB4">_xlfn.STDEV.S(_xlfn._xlws.FILTER(PH[bydgoszcz_PH_Total_Score],(PH[Category]="senior")*(PH[bydgoszcz_PH_Total_Score])&gt;0),_xlfn._xlws.FILTER(PH[zabrze_PH_Total_Score],(PH[Category]="senior")*(PH[zabrze_PH_Total_Score])&gt;0),_xlfn._xlws.FILTER(PH[cracow_PH_Total_Score],(PH[Category]="senior")*(PH[cracow_PH_Total_Score])&gt;0),_xlfn._xlws.FILTER(PH[gdansk_PH_Total_Score],(PH[Category]="senior")*(PH[gdansk_PH_Total_Score])&gt;0))</f>
        <v>2.1695055282916864</v>
      </c>
      <c r="AC4" s="22" cm="1">
        <f t="array" ref="AC4">MAX(_xlfn._xlws.FILTER(PH[bydgoszcz_PH_Total_Score],PH[Category]="senior"),_xlfn._xlws.FILTER(PH[zabrze_PH_Total_Score],PH[Category]="senior"),_xlfn._xlws.FILTER(PH[cracow_PH_Total_Score],PH[Category]="senior"),_xlfn._xlws.FILTER(PH[gdansk_PH_Total_Score],PH[Category]="senior"))</f>
        <v>12.9</v>
      </c>
    </row>
    <row r="5" spans="1:29" x14ac:dyDescent="0.25">
      <c r="A5" t="s">
        <v>68</v>
      </c>
      <c r="B5" s="2" t="s">
        <v>60</v>
      </c>
      <c r="C5" s="2" t="s">
        <v>69</v>
      </c>
      <c r="D5" t="s">
        <v>31</v>
      </c>
      <c r="E5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5" s="4">
        <v>0</v>
      </c>
      <c r="G5" s="7">
        <v>0</v>
      </c>
      <c r="H5" s="7">
        <v>0</v>
      </c>
      <c r="I5" s="4">
        <v>3.8</v>
      </c>
      <c r="J5" s="7">
        <v>7.75</v>
      </c>
      <c r="K5" s="7">
        <v>11.55</v>
      </c>
      <c r="L5" s="4">
        <v>3.8</v>
      </c>
      <c r="M5" s="7">
        <v>8</v>
      </c>
      <c r="N5" s="7">
        <v>11.8</v>
      </c>
      <c r="O5" s="4">
        <v>3.2</v>
      </c>
      <c r="P5" s="7">
        <v>7.4</v>
      </c>
      <c r="Q5" s="7">
        <v>10.6</v>
      </c>
      <c r="R5" s="4">
        <f>LARGE(CHOOSE({1;2;3;4},F5,I5,L5,O5),1)+LARGE(CHOOSE({1;2;3;4},F5,I5,L5,O5),2)+LARGE(CHOOSE({1;2;3;4},F5,I5,L5,O5),3)</f>
        <v>10.8</v>
      </c>
      <c r="S5" s="7">
        <f>LARGE(CHOOSE({1;2;3;4},G5,J5,M5,P5),1)+LARGE(CHOOSE({1;2;3;4},G5,J5,M5,P5),2)+LARGE(CHOOSE({1;2;3;4},G5,J5,M5,P5),3)</f>
        <v>23.15</v>
      </c>
      <c r="T5" s="7">
        <f>LARGE(CHOOSE({1;2;3;4},H5,K5,N5,Q5),1)+LARGE(CHOOSE({1;2;3;4},H5,K5,N5,Q5),2)+LARGE(CHOOSE({1;2;3;4},H5,K5,N5,Q5),3)</f>
        <v>33.950000000000003</v>
      </c>
      <c r="U5" s="4" cm="1">
        <f t="array" ref="U5">IF(PH[[#This Row],[Number_of_Competition]:[Number_of_Competition]]&gt;=3,(LARGE(CHOOSE({1;2;3;4},F5,I5,L5,O5),1)+LARGE(CHOOSE({1;2;3;4},F5,I5,L5,O5),2)+LARGE(CHOOSE({1;2;3;4},F5,I5,L5,O5),3))/3,0)</f>
        <v>3.6</v>
      </c>
      <c r="V5" s="7" cm="1">
        <f t="array" ref="V5">IF(PH[[#This Row],[Number_of_Competition]:[Number_of_Competition]]&gt;=3,(LARGE(CHOOSE({1;2;3;4},G5,J5,M5,P5),1)+LARGE(CHOOSE({1;2;3;4},G5,J5,M5,P5),2)+LARGE(CHOOSE({1;2;3;4},G5,J5,M5,P5),3))/3,0)</f>
        <v>7.7166666666666659</v>
      </c>
      <c r="W5" s="7" cm="1">
        <f t="array" ref="W5">IF(PH[[#This Row],[Number_of_Competition]:[Number_of_Competition]]&gt;=3,(LARGE(CHOOSE({1;2;3;4},H5,K5,N5,Q5),1)+LARGE(CHOOSE({1;2;3;4},H5,K5,N5,Q5),2)+LARGE(CHOOSE({1;2;3;4},H5,K5,N5,Q5),3))/3,0)</f>
        <v>11.316666666666668</v>
      </c>
      <c r="Y5" s="42"/>
      <c r="Z5" s="20" t="s">
        <v>275</v>
      </c>
      <c r="AA5" s="21" cm="1">
        <f t="array" ref="AA5">SUM(_xlfn._xlws.FILTER(PH[Year_Dscore],(PH[Category]="senior")*(PH[Number_of_Competition]&gt;=3))/COUNTIFS(PH[Number_of_Competition],"&gt;=3",PH[Category],"senior"))</f>
        <v>11.370000000000001</v>
      </c>
      <c r="AB5" s="21" cm="1">
        <f t="array" ref="AB5">_xlfn.STDEV.S(_xlfn._xlws.FILTER(PH[Year_Dscore],(PH[Category]="senior")*(PH[Number_of_Competition]&gt;=3)))</f>
        <v>1.8744184283250112</v>
      </c>
      <c r="AC5" s="21" cm="1">
        <f t="array" ref="AC5">MAX(_xlfn._xlws.FILTER(PH[Year_Dscore],PH[Category]="senior"))</f>
        <v>15.000000000000002</v>
      </c>
    </row>
    <row r="6" spans="1:29" x14ac:dyDescent="0.25">
      <c r="A6" t="s">
        <v>63</v>
      </c>
      <c r="B6" s="2" t="s">
        <v>60</v>
      </c>
      <c r="C6" s="2" t="s">
        <v>64</v>
      </c>
      <c r="D6" t="s">
        <v>39</v>
      </c>
      <c r="E6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6" s="4">
        <v>4.4000000000000004</v>
      </c>
      <c r="G6" s="7">
        <v>7.1</v>
      </c>
      <c r="H6" s="7">
        <v>11.5</v>
      </c>
      <c r="I6" s="4">
        <v>4.5999999999999996</v>
      </c>
      <c r="J6" s="7">
        <v>6.4</v>
      </c>
      <c r="K6" s="7">
        <v>11</v>
      </c>
      <c r="L6" s="4">
        <v>4.4000000000000004</v>
      </c>
      <c r="M6" s="7">
        <v>7</v>
      </c>
      <c r="N6" s="7">
        <v>11.4</v>
      </c>
      <c r="O6" s="4">
        <v>4.4000000000000004</v>
      </c>
      <c r="P6" s="7">
        <v>5</v>
      </c>
      <c r="Q6" s="7">
        <v>9.4</v>
      </c>
      <c r="R6" s="4">
        <f>LARGE(CHOOSE({1;2;3;4},F6,I6,L6,O6),1)+LARGE(CHOOSE({1;2;3;4},F6,I6,L6,O6),2)+LARGE(CHOOSE({1;2;3;4},F6,I6,L6,O6),3)</f>
        <v>13.4</v>
      </c>
      <c r="S6" s="7">
        <f>LARGE(CHOOSE({1;2;3;4},G6,J6,M6,P6),1)+LARGE(CHOOSE({1;2;3;4},G6,J6,M6,P6),2)+LARGE(CHOOSE({1;2;3;4},G6,J6,M6,P6),3)</f>
        <v>20.5</v>
      </c>
      <c r="T6" s="7">
        <f>LARGE(CHOOSE({1;2;3;4},H6,K6,N6,Q6),1)+LARGE(CHOOSE({1;2;3;4},H6,K6,N6,Q6),2)+LARGE(CHOOSE({1;2;3;4},H6,K6,N6,Q6),3)</f>
        <v>33.9</v>
      </c>
      <c r="U6" s="4" cm="1">
        <f t="array" ref="U6">IF(PH[[#This Row],[Number_of_Competition]:[Number_of_Competition]]&gt;=3,(LARGE(CHOOSE({1;2;3;4},F6,I6,L6,O6),1)+LARGE(CHOOSE({1;2;3;4},F6,I6,L6,O6),2)+LARGE(CHOOSE({1;2;3;4},F6,I6,L6,O6),3))/3,0)</f>
        <v>4.4666666666666668</v>
      </c>
      <c r="V6" s="7" cm="1">
        <f t="array" ref="V6">IF(PH[[#This Row],[Number_of_Competition]:[Number_of_Competition]]&gt;=3,(LARGE(CHOOSE({1;2;3;4},G6,J6,M6,P6),1)+LARGE(CHOOSE({1;2;3;4},G6,J6,M6,P6),2)+LARGE(CHOOSE({1;2;3;4},G6,J6,M6,P6),3))/3,0)</f>
        <v>6.833333333333333</v>
      </c>
      <c r="W6" s="7" cm="1">
        <f t="array" ref="W6">IF(PH[[#This Row],[Number_of_Competition]:[Number_of_Competition]]&gt;=3,(LARGE(CHOOSE({1;2;3;4},H6,K6,N6,Q6),1)+LARGE(CHOOSE({1;2;3;4},H6,K6,N6,Q6),2)+LARGE(CHOOSE({1;2;3;4},H6,K6,N6,Q6),3))/3,0)</f>
        <v>11.299999999999999</v>
      </c>
      <c r="Y6" s="42"/>
      <c r="Z6" s="20" t="s">
        <v>276</v>
      </c>
      <c r="AA6" s="22" cm="1">
        <f t="array" ref="AA6">SUM(_xlfn._xlws.FILTER(PH[Year_Escore],(PH[Category]="senior")*(PH[Number_of_Competition]&gt;=3))/COUNTIFS(PH[Number_of_Competition],"&gt;=3",PH[Category],"senior"))</f>
        <v>20.955000000000002</v>
      </c>
      <c r="AB6" s="22" cm="1">
        <f t="array" ref="AB6">_xlfn.STDEV.S(_xlfn._xlws.FILTER(PH[Year_Escore],(PH[Category]="senior")*(PH[Number_of_Competition]&gt;=3)))</f>
        <v>3.644588835215536</v>
      </c>
      <c r="AC6" s="22" cm="1">
        <f t="array" ref="AC6">MAX(_xlfn._xlws.FILTER(PH[Year_Escore],PH[Category]="senior"))</f>
        <v>26.1</v>
      </c>
    </row>
    <row r="7" spans="1:29" x14ac:dyDescent="0.25">
      <c r="A7" t="s">
        <v>80</v>
      </c>
      <c r="B7" s="2" t="s">
        <v>60</v>
      </c>
      <c r="C7" s="2" t="s">
        <v>81</v>
      </c>
      <c r="D7" t="s">
        <v>62</v>
      </c>
      <c r="E7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7" s="4">
        <v>3.6</v>
      </c>
      <c r="G7" s="7">
        <v>7.55</v>
      </c>
      <c r="H7" s="7">
        <v>11.15</v>
      </c>
      <c r="I7" s="4">
        <v>4.0999999999999996</v>
      </c>
      <c r="J7" s="7">
        <v>6.7</v>
      </c>
      <c r="K7" s="7">
        <v>10.8</v>
      </c>
      <c r="L7" s="4">
        <v>3.6</v>
      </c>
      <c r="M7" s="7">
        <v>8</v>
      </c>
      <c r="N7" s="7">
        <v>11.6</v>
      </c>
      <c r="O7" s="4">
        <v>4.0999999999999996</v>
      </c>
      <c r="P7" s="7">
        <v>6.7</v>
      </c>
      <c r="Q7" s="7">
        <v>10.8</v>
      </c>
      <c r="R7" s="4">
        <f>LARGE(CHOOSE({1;2;3;4},F7,I7,L7,O7),1)+LARGE(CHOOSE({1;2;3;4},F7,I7,L7,O7),2)+LARGE(CHOOSE({1;2;3;4},F7,I7,L7,O7),3)</f>
        <v>11.799999999999999</v>
      </c>
      <c r="S7" s="7">
        <f>LARGE(CHOOSE({1;2;3;4},G7,J7,M7,P7),1)+LARGE(CHOOSE({1;2;3;4},G7,J7,M7,P7),2)+LARGE(CHOOSE({1;2;3;4},G7,J7,M7,P7),3)</f>
        <v>22.25</v>
      </c>
      <c r="T7" s="7">
        <f>LARGE(CHOOSE({1;2;3;4},H7,K7,N7,Q7),1)+LARGE(CHOOSE({1;2;3;4},H7,K7,N7,Q7),2)+LARGE(CHOOSE({1;2;3;4},H7,K7,N7,Q7),3)</f>
        <v>33.549999999999997</v>
      </c>
      <c r="U7" s="4" cm="1">
        <f t="array" ref="U7">IF(PH[[#This Row],[Number_of_Competition]:[Number_of_Competition]]&gt;=3,(LARGE(CHOOSE({1;2;3;4},F7,I7,L7,O7),1)+LARGE(CHOOSE({1;2;3;4},F7,I7,L7,O7),2)+LARGE(CHOOSE({1;2;3;4},F7,I7,L7,O7),3))/3,0)</f>
        <v>3.9333333333333331</v>
      </c>
      <c r="V7" s="7" cm="1">
        <f t="array" ref="V7">IF(PH[[#This Row],[Number_of_Competition]:[Number_of_Competition]]&gt;=3,(LARGE(CHOOSE({1;2;3;4},G7,J7,M7,P7),1)+LARGE(CHOOSE({1;2;3;4},G7,J7,M7,P7),2)+LARGE(CHOOSE({1;2;3;4},G7,J7,M7,P7),3))/3,0)</f>
        <v>7.416666666666667</v>
      </c>
      <c r="W7" s="7" cm="1">
        <f t="array" ref="W7">IF(PH[[#This Row],[Number_of_Competition]:[Number_of_Competition]]&gt;=3,(LARGE(CHOOSE({1;2;3;4},H7,K7,N7,Q7),1)+LARGE(CHOOSE({1;2;3;4},H7,K7,N7,Q7),2)+LARGE(CHOOSE({1;2;3;4},H7,K7,N7,Q7),3))/3,0)</f>
        <v>11.183333333333332</v>
      </c>
      <c r="Y7" s="43"/>
      <c r="Z7" s="20" t="s">
        <v>277</v>
      </c>
      <c r="AA7" s="22" cm="1">
        <f t="array" ref="AA7">SUM(_xlfn._xlws.FILTER(PH[Year_Total_Score],(PH[Category]="senior")*(PH[Number_of_Competition]&gt;=3))/COUNTIFS(PH[Number_of_Competition],"&gt;=3",PH[Category],"senior"))</f>
        <v>32.185000000000002</v>
      </c>
      <c r="AB7" s="22" cm="1">
        <f t="array" ref="AB7">_xlfn.STDEV.S(_xlfn._xlws.FILTER(PH[Year_Total_Score],(PH[Category]="senior")*(PH[Number_of_Competition]&gt;=3)))</f>
        <v>4.7292852408043027</v>
      </c>
      <c r="AC7" s="22" cm="1">
        <f t="array" ref="AC7">MAX(_xlfn._xlws.FILTER(PH[Year_Total_Score],PH[Category]="senior"))</f>
        <v>37.5</v>
      </c>
    </row>
    <row r="8" spans="1:29" x14ac:dyDescent="0.25">
      <c r="A8" t="s">
        <v>77</v>
      </c>
      <c r="B8" s="2" t="s">
        <v>60</v>
      </c>
      <c r="C8" s="2" t="s">
        <v>78</v>
      </c>
      <c r="D8" t="s">
        <v>79</v>
      </c>
      <c r="E8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8" s="4">
        <v>3.9</v>
      </c>
      <c r="G8" s="7">
        <v>7.8</v>
      </c>
      <c r="H8" s="7">
        <v>11.7</v>
      </c>
      <c r="I8" s="4">
        <v>3.8</v>
      </c>
      <c r="J8" s="7">
        <v>6.2</v>
      </c>
      <c r="K8" s="7">
        <v>10</v>
      </c>
      <c r="L8" s="4">
        <v>3.7</v>
      </c>
      <c r="M8" s="7">
        <v>7</v>
      </c>
      <c r="N8" s="7">
        <v>10.7</v>
      </c>
      <c r="O8" s="4">
        <v>3.1</v>
      </c>
      <c r="P8" s="7">
        <v>7.6</v>
      </c>
      <c r="Q8" s="7">
        <v>10.7</v>
      </c>
      <c r="R8" s="4">
        <f>LARGE(CHOOSE({1;2;3;4},F8,I8,L8,O8),1)+LARGE(CHOOSE({1;2;3;4},F8,I8,L8,O8),2)+LARGE(CHOOSE({1;2;3;4},F8,I8,L8,O8),3)</f>
        <v>11.399999999999999</v>
      </c>
      <c r="S8" s="7">
        <f>LARGE(CHOOSE({1;2;3;4},G8,J8,M8,P8),1)+LARGE(CHOOSE({1;2;3;4},G8,J8,M8,P8),2)+LARGE(CHOOSE({1;2;3;4},G8,J8,M8,P8),3)</f>
        <v>22.4</v>
      </c>
      <c r="T8" s="7">
        <f>LARGE(CHOOSE({1;2;3;4},H8,K8,N8,Q8),1)+LARGE(CHOOSE({1;2;3;4},H8,K8,N8,Q8),2)+LARGE(CHOOSE({1;2;3;4},H8,K8,N8,Q8),3)</f>
        <v>33.099999999999994</v>
      </c>
      <c r="U8" s="4" cm="1">
        <f t="array" ref="U8">IF(PH[[#This Row],[Number_of_Competition]:[Number_of_Competition]]&gt;=3,(LARGE(CHOOSE({1;2;3;4},F8,I8,L8,O8),1)+LARGE(CHOOSE({1;2;3;4},F8,I8,L8,O8),2)+LARGE(CHOOSE({1;2;3;4},F8,I8,L8,O8),3))/3,0)</f>
        <v>3.7999999999999994</v>
      </c>
      <c r="V8" s="7" cm="1">
        <f t="array" ref="V8">IF(PH[[#This Row],[Number_of_Competition]:[Number_of_Competition]]&gt;=3,(LARGE(CHOOSE({1;2;3;4},G8,J8,M8,P8),1)+LARGE(CHOOSE({1;2;3;4},G8,J8,M8,P8),2)+LARGE(CHOOSE({1;2;3;4},G8,J8,M8,P8),3))/3,0)</f>
        <v>7.4666666666666659</v>
      </c>
      <c r="W8" s="7" cm="1">
        <f t="array" ref="W8">IF(PH[[#This Row],[Number_of_Competition]:[Number_of_Competition]]&gt;=3,(LARGE(CHOOSE({1;2;3;4},H8,K8,N8,Q8),1)+LARGE(CHOOSE({1;2;3;4},H8,K8,N8,Q8),2)+LARGE(CHOOSE({1;2;3;4},H8,K8,N8,Q8),3))/3,0)</f>
        <v>11.033333333333331</v>
      </c>
      <c r="Y8" s="41" t="s">
        <v>26</v>
      </c>
      <c r="Z8" s="20" t="s">
        <v>269</v>
      </c>
      <c r="AA8" s="21" cm="1">
        <f t="array" ref="AA8">SUM(_xlfn._xlws.FILTER(PH[bydgoszcz_PH_Dscore],PH[Category]="junior"),_xlfn._xlws.FILTER(PH[zabrze_PH_Dscore],PH[Category]="junior"),_xlfn._xlws.FILTER(PH[cracow_PH_Dscore],PH[Category]="junior"),_xlfn._xlws.FILTER(PH[gdansk_PH_Dscore],PH[Category]="junior"))/(COUNTIFS(PH[bydgoszcz_PH_Dscore],"&gt;0",PH[Category],"junior")+COUNTIFS(PH[zabrze_PH_Dscore],"&gt;0",PH[Category],"junior")+COUNTIFS(PH[cracow_PH_Dscore],"&gt;0",PH[Category],"junior")+COUNTIFS(PH[gdansk_PH_Dscore],"&gt;0",PH[Category],"junior"))</f>
        <v>2.9377358490566037</v>
      </c>
      <c r="AB8" s="21" cm="1">
        <f t="array" ref="AB8">_xlfn.STDEV.S(_xlfn._xlws.FILTER(PH[bydgoszcz_PH_Dscore],(PH[Category]="junior")*(PH[bydgoszcz_PH_Dscore])&gt;0),_xlfn._xlws.FILTER(PH[zabrze_PH_Dscore],(PH[Category]="junior")*(PH[zabrze_PH_Dscore])&gt;0),_xlfn._xlws.FILTER(PH[cracow_PH_Dscore],(PH[Category]="junior")*(PH[cracow_PH_Dscore])&gt;0),_xlfn._xlws.FILTER(PH[gdansk_PH_Dscore],(PH[Category]="junior")*(PH[gdansk_PH_Dscore])&gt;0))</f>
        <v>0.77191729705831846</v>
      </c>
      <c r="AC8" s="21" cm="1">
        <f t="array" ref="AC8">MAX(_xlfn._xlws.FILTER(PH[bydgoszcz_PH_Dscore],PH[Category]="junior"),_xlfn._xlws.FILTER(PH[zabrze_PH_Dscore],PH[Category]="junior"),_xlfn._xlws.FILTER(PH[cracow_PH_Dscore],PH[Category]="junior"),_xlfn._xlws.FILTER(PH[gdansk_PH_Dscore],PH[Category]="junior"))</f>
        <v>4.4000000000000004</v>
      </c>
    </row>
    <row r="9" spans="1:29" x14ac:dyDescent="0.25">
      <c r="A9" t="s">
        <v>73</v>
      </c>
      <c r="B9" s="2" t="s">
        <v>60</v>
      </c>
      <c r="C9" s="2" t="s">
        <v>74</v>
      </c>
      <c r="D9" t="s">
        <v>62</v>
      </c>
      <c r="E9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9" s="4">
        <v>3</v>
      </c>
      <c r="G9" s="7">
        <v>6.3</v>
      </c>
      <c r="H9" s="7">
        <v>9.3000000000000007</v>
      </c>
      <c r="I9" s="4">
        <v>3</v>
      </c>
      <c r="J9" s="7">
        <v>7.5</v>
      </c>
      <c r="K9" s="7">
        <v>10.5</v>
      </c>
      <c r="L9" s="4">
        <v>3.1</v>
      </c>
      <c r="M9" s="7">
        <v>3.05</v>
      </c>
      <c r="N9" s="7">
        <v>6.15</v>
      </c>
      <c r="O9" s="4">
        <v>2.9</v>
      </c>
      <c r="P9" s="7">
        <v>7.1</v>
      </c>
      <c r="Q9" s="7">
        <v>10</v>
      </c>
      <c r="R9" s="4">
        <f>LARGE(CHOOSE({1;2;3;4},F9,I9,L9,O9),1)+LARGE(CHOOSE({1;2;3;4},F9,I9,L9,O9),2)+LARGE(CHOOSE({1;2;3;4},F9,I9,L9,O9),3)</f>
        <v>9.1</v>
      </c>
      <c r="S9" s="7">
        <f>LARGE(CHOOSE({1;2;3;4},G9,J9,M9,P9),1)+LARGE(CHOOSE({1;2;3;4},G9,J9,M9,P9),2)+LARGE(CHOOSE({1;2;3;4},G9,J9,M9,P9),3)</f>
        <v>20.9</v>
      </c>
      <c r="T9" s="7">
        <f>LARGE(CHOOSE({1;2;3;4},H9,K9,N9,Q9),1)+LARGE(CHOOSE({1;2;3;4},H9,K9,N9,Q9),2)+LARGE(CHOOSE({1;2;3;4},H9,K9,N9,Q9),3)</f>
        <v>29.8</v>
      </c>
      <c r="U9" s="4" cm="1">
        <f t="array" ref="U9">IF(PH[[#This Row],[Number_of_Competition]:[Number_of_Competition]]&gt;=3,(LARGE(CHOOSE({1;2;3;4},F9,I9,L9,O9),1)+LARGE(CHOOSE({1;2;3;4},F9,I9,L9,O9),2)+LARGE(CHOOSE({1;2;3;4},F9,I9,L9,O9),3))/3,0)</f>
        <v>3.0333333333333332</v>
      </c>
      <c r="V9" s="7" cm="1">
        <f t="array" ref="V9">IF(PH[[#This Row],[Number_of_Competition]:[Number_of_Competition]]&gt;=3,(LARGE(CHOOSE({1;2;3;4},G9,J9,M9,P9),1)+LARGE(CHOOSE({1;2;3;4},G9,J9,M9,P9),2)+LARGE(CHOOSE({1;2;3;4},G9,J9,M9,P9),3))/3,0)</f>
        <v>6.9666666666666659</v>
      </c>
      <c r="W9" s="7" cm="1">
        <f t="array" ref="W9">IF(PH[[#This Row],[Number_of_Competition]:[Number_of_Competition]]&gt;=3,(LARGE(CHOOSE({1;2;3;4},H9,K9,N9,Q9),1)+LARGE(CHOOSE({1;2;3;4},H9,K9,N9,Q9),2)+LARGE(CHOOSE({1;2;3;4},H9,K9,N9,Q9),3))/3,0)</f>
        <v>9.9333333333333336</v>
      </c>
      <c r="Y9" s="42"/>
      <c r="Z9" s="20" t="s">
        <v>267</v>
      </c>
      <c r="AA9" s="22" cm="1">
        <f t="array" ref="AA9">SUM(_xlfn._xlws.FILTER(PH[bydgoszcz_PH_Escore],PH[Category]="junior"),_xlfn._xlws.FILTER(PH[zabrze_PH_Escore],PH[Category]="junior"),_xlfn._xlws.FILTER(PH[cracow_PH_Escore],PH[Category]="junior"),_xlfn._xlws.FILTER(PH[gdansk_PH_Escore],PH[Category]="junior"))/(COUNTIFS(PH[bydgoszcz_PH_Escore],"&gt;0",PH[Category],"junior")+COUNTIFS(PH[zabrze_PH_Escore],"&gt;0",PH[Category],"junior")+COUNTIFS(PH[cracow_PH_Escore],"&gt;0",PH[Category],"junior")+COUNTIFS(PH[gdansk_PH_Escore],"&gt;0",PH[Category],"junior"))</f>
        <v>6.8330000000000011</v>
      </c>
      <c r="AB9" s="22" cm="1">
        <f t="array" ref="AB9">_xlfn.STDEV.S(_xlfn._xlws.FILTER(PH[bydgoszcz_PH_Escore],(PH[Category]="junior")*(PH[bydgoszcz_PH_Escore])&gt;0),_xlfn._xlws.FILTER(PH[zabrze_PH_Escore],(PH[Category]="junior")*(PH[zabrze_PH_Escore])&gt;0),_xlfn._xlws.FILTER(PH[cracow_PH_Escore],(PH[Category]="junior")*(PH[cracow_PH_Escore])&gt;0),_xlfn._xlws.FILTER(PH[gdansk_PH_Escore],(PH[Category]="junior")*(PH[gdansk_PH_Escore])&gt;0))</f>
        <v>1.646133689117927</v>
      </c>
      <c r="AC9" s="22" cm="1">
        <f t="array" ref="AC9">MAX(_xlfn._xlws.FILTER(PH[bydgoszcz_PH_Escore],PH[Category]="junior"),_xlfn._xlws.FILTER(PH[zabrze_PH_Escore],PH[Category]="junior"),_xlfn._xlws.FILTER(PH[cracow_PH_Escore],PH[Category]="junior"),_xlfn._xlws.FILTER(PH[gdansk_PH_Escore],PH[Category]="junior"))</f>
        <v>8.9499999999999993</v>
      </c>
    </row>
    <row r="10" spans="1:29" x14ac:dyDescent="0.25">
      <c r="A10" t="s">
        <v>84</v>
      </c>
      <c r="B10" s="2" t="s">
        <v>60</v>
      </c>
      <c r="C10" s="2" t="s">
        <v>85</v>
      </c>
      <c r="D10" t="s">
        <v>39</v>
      </c>
      <c r="E10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10" s="4">
        <v>3.2</v>
      </c>
      <c r="G10" s="7">
        <v>6.1</v>
      </c>
      <c r="H10" s="7">
        <v>9.3000000000000007</v>
      </c>
      <c r="I10" s="4">
        <v>3.2</v>
      </c>
      <c r="J10" s="7">
        <v>4.75</v>
      </c>
      <c r="K10" s="7">
        <v>7.95</v>
      </c>
      <c r="L10" s="4">
        <v>3.2</v>
      </c>
      <c r="M10" s="7">
        <v>4.5999999999999996</v>
      </c>
      <c r="N10" s="7">
        <v>7.8</v>
      </c>
      <c r="O10" s="4">
        <v>3.5</v>
      </c>
      <c r="P10" s="7">
        <v>5.5</v>
      </c>
      <c r="Q10" s="7">
        <v>9</v>
      </c>
      <c r="R10" s="4">
        <f>LARGE(CHOOSE({1;2;3;4},F10,I10,L10,O10),1)+LARGE(CHOOSE({1;2;3;4},F10,I10,L10,O10),2)+LARGE(CHOOSE({1;2;3;4},F10,I10,L10,O10),3)</f>
        <v>9.9</v>
      </c>
      <c r="S10" s="7">
        <f>LARGE(CHOOSE({1;2;3;4},G10,J10,M10,P10),1)+LARGE(CHOOSE({1;2;3;4},G10,J10,M10,P10),2)+LARGE(CHOOSE({1;2;3;4},G10,J10,M10,P10),3)</f>
        <v>16.350000000000001</v>
      </c>
      <c r="T10" s="7">
        <f>LARGE(CHOOSE({1;2;3;4},H10,K10,N10,Q10),1)+LARGE(CHOOSE({1;2;3;4},H10,K10,N10,Q10),2)+LARGE(CHOOSE({1;2;3;4},H10,K10,N10,Q10),3)</f>
        <v>26.25</v>
      </c>
      <c r="U10" s="4" cm="1">
        <f t="array" ref="U10">IF(PH[[#This Row],[Number_of_Competition]:[Number_of_Competition]]&gt;=3,(LARGE(CHOOSE({1;2;3;4},F10,I10,L10,O10),1)+LARGE(CHOOSE({1;2;3;4},F10,I10,L10,O10),2)+LARGE(CHOOSE({1;2;3;4},F10,I10,L10,O10),3))/3,0)</f>
        <v>3.3000000000000003</v>
      </c>
      <c r="V10" s="7" cm="1">
        <f t="array" ref="V10">IF(PH[[#This Row],[Number_of_Competition]:[Number_of_Competition]]&gt;=3,(LARGE(CHOOSE({1;2;3;4},G10,J10,M10,P10),1)+LARGE(CHOOSE({1;2;3;4},G10,J10,M10,P10),2)+LARGE(CHOOSE({1;2;3;4},G10,J10,M10,P10),3))/3,0)</f>
        <v>5.45</v>
      </c>
      <c r="W10" s="7" cm="1">
        <f t="array" ref="W10">IF(PH[[#This Row],[Number_of_Competition]:[Number_of_Competition]]&gt;=3,(LARGE(CHOOSE({1;2;3;4},H10,K10,N10,Q10),1)+LARGE(CHOOSE({1;2;3;4},H10,K10,N10,Q10),2)+LARGE(CHOOSE({1;2;3;4},H10,K10,N10,Q10),3))/3,0)</f>
        <v>8.75</v>
      </c>
      <c r="Y10" s="42"/>
      <c r="Z10" s="20" t="s">
        <v>268</v>
      </c>
      <c r="AA10" s="22" cm="1">
        <f t="array" ref="AA10">SUM(_xlfn._xlws.FILTER(PH[bydgoszcz_PH_Total_Score],PH[Category]="junior"),_xlfn._xlws.FILTER(PH[zabrze_PH_Total_Score],PH[Category]="junior"),_xlfn._xlws.FILTER(PH[cracow_PH_Total_Score],PH[Category]="junior"),_xlfn._xlws.FILTER(PH[gdansk_PH_Total_Score],PH[Category]="junior"))/(COUNTIFS(PH[bydgoszcz_PH_Total_Score],"&gt;0",PH[Category],"junior")+COUNTIFS(PH[zabrze_PH_Total_Score],"&gt;0",PH[Category],"junior")+COUNTIFS(PH[cracow_PH_Total_Score],"&gt;0",PH[Category],"junior")+COUNTIFS(PH[gdansk_PH_Total_Score],"&gt;0",PH[Category],"junior"))</f>
        <v>9.3839622641509433</v>
      </c>
      <c r="AB10" s="22" cm="1">
        <f t="array" ref="AB10">_xlfn.STDEV.S(_xlfn._xlws.FILTER(PH[bydgoszcz_PH_Total_Score],(PH[Category]="junior")*(PH[bydgoszcz_PH_Total_Score])&gt;0),_xlfn._xlws.FILTER(PH[zabrze_PH_Total_Score],(PH[Category]="junior")*(PH[zabrze_PH_Total_Score])&gt;0),_xlfn._xlws.FILTER(PH[cracow_PH_Total_Score],(PH[Category]="junior")*(PH[cracow_PH_Total_Score])&gt;0),_xlfn._xlws.FILTER(PH[gdansk_PH_Total_Score],(PH[Category]="junior")*(PH[gdansk_PH_Total_Score])&gt;0))</f>
        <v>2.8721101460174343</v>
      </c>
      <c r="AC10" s="22" cm="1">
        <f t="array" ref="AC10">MAX(_xlfn._xlws.FILTER(PH[bydgoszcz_PH_Total_Score],PH[Category]="junior"),_xlfn._xlws.FILTER(PH[zabrze_PH_Total_Score],PH[Category]="junior"),_xlfn._xlws.FILTER(PH[cracow_PH_Total_Score],PH[Category]="junior"),_xlfn._xlws.FILTER(PH[gdansk_PH_Total_Score],PH[Category]="junior"))</f>
        <v>12.75</v>
      </c>
    </row>
    <row r="11" spans="1:29" x14ac:dyDescent="0.25">
      <c r="A11" t="s">
        <v>75</v>
      </c>
      <c r="B11" s="2" t="s">
        <v>60</v>
      </c>
      <c r="C11" s="2" t="s">
        <v>76</v>
      </c>
      <c r="D11" t="s">
        <v>28</v>
      </c>
      <c r="E11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1" s="4">
        <v>0</v>
      </c>
      <c r="G11" s="7">
        <v>0</v>
      </c>
      <c r="H11" s="7">
        <v>0</v>
      </c>
      <c r="I11" s="4">
        <v>4.2</v>
      </c>
      <c r="J11" s="7">
        <v>8.25</v>
      </c>
      <c r="K11" s="7">
        <v>12.45</v>
      </c>
      <c r="L11" s="4">
        <v>4.2</v>
      </c>
      <c r="M11" s="7">
        <v>8.5</v>
      </c>
      <c r="N11" s="7">
        <v>12.7</v>
      </c>
      <c r="O11" s="4">
        <v>0</v>
      </c>
      <c r="P11" s="7">
        <v>0</v>
      </c>
      <c r="Q11" s="7">
        <v>0</v>
      </c>
      <c r="R11" s="4">
        <f>LARGE(CHOOSE({1;2;3;4},F11,I11,L11,O11),1)+LARGE(CHOOSE({1;2;3;4},F11,I11,L11,O11),2)+LARGE(CHOOSE({1;2;3;4},F11,I11,L11,O11),3)</f>
        <v>8.4</v>
      </c>
      <c r="S11" s="7">
        <f>LARGE(CHOOSE({1;2;3;4},G11,J11,M11,P11),1)+LARGE(CHOOSE({1;2;3;4},G11,J11,M11,P11),2)+LARGE(CHOOSE({1;2;3;4},G11,J11,M11,P11),3)</f>
        <v>16.75</v>
      </c>
      <c r="T11" s="7">
        <f>LARGE(CHOOSE({1;2;3;4},H11,K11,N11,Q11),1)+LARGE(CHOOSE({1;2;3;4},H11,K11,N11,Q11),2)+LARGE(CHOOSE({1;2;3;4},H11,K11,N11,Q11),3)</f>
        <v>25.15</v>
      </c>
      <c r="U11" s="4" cm="1">
        <f t="array" ref="U11">IF(PH[[#This Row],[Number_of_Competition]:[Number_of_Competition]]&gt;=3,(LARGE(CHOOSE({1;2;3;4},F11,I11,L11,O11),1)+LARGE(CHOOSE({1;2;3;4},F11,I11,L11,O11),2)+LARGE(CHOOSE({1;2;3;4},F11,I11,L11,O11),3))/3,0)</f>
        <v>0</v>
      </c>
      <c r="V11" s="7" cm="1">
        <f t="array" ref="V11">IF(PH[[#This Row],[Number_of_Competition]:[Number_of_Competition]]&gt;=3,(LARGE(CHOOSE({1;2;3;4},G11,J11,M11,P11),1)+LARGE(CHOOSE({1;2;3;4},G11,J11,M11,P11),2)+LARGE(CHOOSE({1;2;3;4},G11,J11,M11,P11),3))/3,0)</f>
        <v>0</v>
      </c>
      <c r="W11" s="7" cm="1">
        <f t="array" ref="W11">IF(PH[[#This Row],[Number_of_Competition]:[Number_of_Competition]]&gt;=3,(LARGE(CHOOSE({1;2;3;4},H11,K11,N11,Q11),1)+LARGE(CHOOSE({1;2;3;4},H11,K11,N11,Q11),2)+LARGE(CHOOSE({1;2;3;4},H11,K11,N11,Q11),3))/3,0)</f>
        <v>0</v>
      </c>
      <c r="Y11" s="42"/>
      <c r="Z11" s="20" t="s">
        <v>275</v>
      </c>
      <c r="AA11" s="21" cm="1">
        <f t="array" ref="AA11">SUM(_xlfn._xlws.FILTER(PH[Year_Dscore],(PH[Category]="junior")*(PH[Number_of_Competition]&gt;=3))/COUNTIFS(PH[Number_of_Competition],"&gt;=3",PH[Category],"junior"))</f>
        <v>9.3333333333333339</v>
      </c>
      <c r="AB11" s="21" cm="1">
        <f t="array" ref="AB11">_xlfn.STDEV.S(_xlfn._xlws.FILTER(PH[Year_Dscore],(PH[Category]="junior")*(PH[Number_of_Competition]&gt;=3)))</f>
        <v>2.0388648059569077</v>
      </c>
      <c r="AC11" s="21" cm="1">
        <f t="array" ref="AC11">MAX(_xlfn._xlws.FILTER(PH[Year_Dscore],PH[Category]="junior"))</f>
        <v>12.6</v>
      </c>
    </row>
    <row r="12" spans="1:29" x14ac:dyDescent="0.25">
      <c r="A12" t="s">
        <v>127</v>
      </c>
      <c r="B12" s="2" t="s">
        <v>60</v>
      </c>
      <c r="C12" s="2" t="s">
        <v>128</v>
      </c>
      <c r="D12" t="s">
        <v>72</v>
      </c>
      <c r="E12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2" s="4">
        <v>4.2</v>
      </c>
      <c r="G12" s="7">
        <v>8</v>
      </c>
      <c r="H12" s="7">
        <v>12.2</v>
      </c>
      <c r="I12" s="4">
        <v>0</v>
      </c>
      <c r="J12" s="7">
        <v>0</v>
      </c>
      <c r="K12" s="7">
        <v>0</v>
      </c>
      <c r="L12" s="4">
        <v>4.4000000000000004</v>
      </c>
      <c r="M12" s="7">
        <v>7.2</v>
      </c>
      <c r="N12" s="7">
        <v>11.6</v>
      </c>
      <c r="O12" s="4">
        <v>0</v>
      </c>
      <c r="P12" s="7">
        <v>0</v>
      </c>
      <c r="Q12" s="7">
        <v>0</v>
      </c>
      <c r="R12" s="4">
        <f>LARGE(CHOOSE({1;2;3;4},F12,I12,L12,O12),1)+LARGE(CHOOSE({1;2;3;4},F12,I12,L12,O12),2)+LARGE(CHOOSE({1;2;3;4},F12,I12,L12,O12),3)</f>
        <v>8.6000000000000014</v>
      </c>
      <c r="S12" s="7">
        <f>LARGE(CHOOSE({1;2;3;4},G12,J12,M12,P12),1)+LARGE(CHOOSE({1;2;3;4},G12,J12,M12,P12),2)+LARGE(CHOOSE({1;2;3;4},G12,J12,M12,P12),3)</f>
        <v>15.2</v>
      </c>
      <c r="T12" s="7">
        <f>LARGE(CHOOSE({1;2;3;4},H12,K12,N12,Q12),1)+LARGE(CHOOSE({1;2;3;4},H12,K12,N12,Q12),2)+LARGE(CHOOSE({1;2;3;4},H12,K12,N12,Q12),3)</f>
        <v>23.799999999999997</v>
      </c>
      <c r="U12" s="4" cm="1">
        <f t="array" ref="U12">IF(PH[[#This Row],[Number_of_Competition]:[Number_of_Competition]]&gt;=3,(LARGE(CHOOSE({1;2;3;4},F12,I12,L12,O12),1)+LARGE(CHOOSE({1;2;3;4},F12,I12,L12,O12),2)+LARGE(CHOOSE({1;2;3;4},F12,I12,L12,O12),3))/3,0)</f>
        <v>0</v>
      </c>
      <c r="V12" s="7" cm="1">
        <f t="array" ref="V12">IF(PH[[#This Row],[Number_of_Competition]:[Number_of_Competition]]&gt;=3,(LARGE(CHOOSE({1;2;3;4},G12,J12,M12,P12),1)+LARGE(CHOOSE({1;2;3;4},G12,J12,M12,P12),2)+LARGE(CHOOSE({1;2;3;4},G12,J12,M12,P12),3))/3,0)</f>
        <v>0</v>
      </c>
      <c r="W12" s="7" cm="1">
        <f t="array" ref="W12">IF(PH[[#This Row],[Number_of_Competition]:[Number_of_Competition]]&gt;=3,(LARGE(CHOOSE({1;2;3;4},H12,K12,N12,Q12),1)+LARGE(CHOOSE({1;2;3;4},H12,K12,N12,Q12),2)+LARGE(CHOOSE({1;2;3;4},H12,K12,N12,Q12),3))/3,0)</f>
        <v>0</v>
      </c>
      <c r="Y12" s="42"/>
      <c r="Z12" s="20" t="s">
        <v>276</v>
      </c>
      <c r="AA12" s="22" cm="1">
        <f t="array" ref="AA12">SUM(_xlfn._xlws.FILTER(PH[Year_Escore],(PH[Category]="junior")*(PH[Number_of_Competition]&gt;=3))/COUNTIFS(PH[Number_of_Competition],"&gt;=3",PH[Category],"junior"))</f>
        <v>21.391666666666669</v>
      </c>
      <c r="AB12" s="22" cm="1">
        <f t="array" ref="AB12">_xlfn.STDEV.S(_xlfn._xlws.FILTER(PH[Year_Escore],(PH[Category]="junior")*(PH[Number_of_Competition]&gt;=3)))</f>
        <v>3.92282558955409</v>
      </c>
      <c r="AC12" s="22" cm="1">
        <f t="array" ref="AC12">MAX(_xlfn._xlws.FILTER(PH[Year_Escore],PH[Category]="junior"))</f>
        <v>26.650000000000002</v>
      </c>
    </row>
    <row r="13" spans="1:29" x14ac:dyDescent="0.25">
      <c r="A13" t="s">
        <v>96</v>
      </c>
      <c r="B13" s="2" t="s">
        <v>60</v>
      </c>
      <c r="C13" s="2" t="s">
        <v>97</v>
      </c>
      <c r="D13" t="s">
        <v>62</v>
      </c>
      <c r="E13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3" s="4">
        <v>0</v>
      </c>
      <c r="G13" s="7">
        <v>0</v>
      </c>
      <c r="H13" s="7">
        <v>0</v>
      </c>
      <c r="I13" s="4">
        <v>4.5</v>
      </c>
      <c r="J13" s="7">
        <v>7.3</v>
      </c>
      <c r="K13" s="7">
        <v>11.8</v>
      </c>
      <c r="L13" s="4">
        <v>4.7</v>
      </c>
      <c r="M13" s="7">
        <v>6.8</v>
      </c>
      <c r="N13" s="7">
        <v>11.5</v>
      </c>
      <c r="O13" s="4">
        <v>0</v>
      </c>
      <c r="P13" s="7">
        <v>0</v>
      </c>
      <c r="Q13" s="7">
        <v>0</v>
      </c>
      <c r="R13" s="4">
        <f>LARGE(CHOOSE({1;2;3;4},F13,I13,L13,O13),1)+LARGE(CHOOSE({1;2;3;4},F13,I13,L13,O13),2)+LARGE(CHOOSE({1;2;3;4},F13,I13,L13,O13),3)</f>
        <v>9.1999999999999993</v>
      </c>
      <c r="S13" s="7">
        <f>LARGE(CHOOSE({1;2;3;4},G13,J13,M13,P13),1)+LARGE(CHOOSE({1;2;3;4},G13,J13,M13,P13),2)+LARGE(CHOOSE({1;2;3;4},G13,J13,M13,P13),3)</f>
        <v>14.1</v>
      </c>
      <c r="T13" s="7">
        <f>LARGE(CHOOSE({1;2;3;4},H13,K13,N13,Q13),1)+LARGE(CHOOSE({1;2;3;4},H13,K13,N13,Q13),2)+LARGE(CHOOSE({1;2;3;4},H13,K13,N13,Q13),3)</f>
        <v>23.3</v>
      </c>
      <c r="U13" s="4" cm="1">
        <f t="array" ref="U13">IF(PH[[#This Row],[Number_of_Competition]:[Number_of_Competition]]&gt;=3,(LARGE(CHOOSE({1;2;3;4},F13,I13,L13,O13),1)+LARGE(CHOOSE({1;2;3;4},F13,I13,L13,O13),2)+LARGE(CHOOSE({1;2;3;4},F13,I13,L13,O13),3))/3,0)</f>
        <v>0</v>
      </c>
      <c r="V13" s="7" cm="1">
        <f t="array" ref="V13">IF(PH[[#This Row],[Number_of_Competition]:[Number_of_Competition]]&gt;=3,(LARGE(CHOOSE({1;2;3;4},G13,J13,M13,P13),1)+LARGE(CHOOSE({1;2;3;4},G13,J13,M13,P13),2)+LARGE(CHOOSE({1;2;3;4},G13,J13,M13,P13),3))/3,0)</f>
        <v>0</v>
      </c>
      <c r="W13" s="7" cm="1">
        <f t="array" ref="W13">IF(PH[[#This Row],[Number_of_Competition]:[Number_of_Competition]]&gt;=3,(LARGE(CHOOSE({1;2;3;4},H13,K13,N13,Q13),1)+LARGE(CHOOSE({1;2;3;4},H13,K13,N13,Q13),2)+LARGE(CHOOSE({1;2;3;4},H13,K13,N13,Q13),3))/3,0)</f>
        <v>0</v>
      </c>
      <c r="Y13" s="43"/>
      <c r="Z13" s="20" t="s">
        <v>277</v>
      </c>
      <c r="AA13" s="22" cm="1">
        <f t="array" ref="AA13">SUM(_xlfn._xlws.FILTER(PH[Year_Total_Score],(PH[Category]="junior")*(PH[Number_of_Competition]&gt;=3))/COUNTIFS(PH[Number_of_Competition],"&gt;=3",PH[Category],"junior"))</f>
        <v>30.616666666666664</v>
      </c>
      <c r="AB13" s="22" cm="1">
        <f t="array" ref="AB13">_xlfn.STDEV.S(_xlfn._xlws.FILTER(PH[Year_Total_Score],(PH[Category]="junior")*(PH[Number_of_Competition]&gt;=3)))</f>
        <v>5.5501160239032918</v>
      </c>
      <c r="AC13" s="22" cm="1">
        <f t="array" ref="AC13">MAX(_xlfn._xlws.FILTER(PH[Year_Total_Score],PH[Category]="junior"))</f>
        <v>37.950000000000003</v>
      </c>
    </row>
    <row r="14" spans="1:29" x14ac:dyDescent="0.25">
      <c r="A14" t="s">
        <v>116</v>
      </c>
      <c r="B14" s="2" t="s">
        <v>60</v>
      </c>
      <c r="C14" s="2" t="s">
        <v>117</v>
      </c>
      <c r="D14" t="s">
        <v>62</v>
      </c>
      <c r="E14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4" s="4">
        <v>0</v>
      </c>
      <c r="G14" s="7">
        <v>0</v>
      </c>
      <c r="H14" s="7">
        <v>0</v>
      </c>
      <c r="I14" s="4">
        <v>0</v>
      </c>
      <c r="J14" s="7">
        <v>0</v>
      </c>
      <c r="K14" s="7">
        <v>0</v>
      </c>
      <c r="L14" s="4">
        <v>4.2</v>
      </c>
      <c r="M14" s="7">
        <v>6.5</v>
      </c>
      <c r="N14" s="7">
        <v>10.7</v>
      </c>
      <c r="O14" s="4">
        <v>4.0999999999999996</v>
      </c>
      <c r="P14" s="7">
        <v>7.9</v>
      </c>
      <c r="Q14" s="7">
        <v>12</v>
      </c>
      <c r="R14" s="4">
        <f>LARGE(CHOOSE({1;2;3;4},F14,I14,L14,O14),1)+LARGE(CHOOSE({1;2;3;4},F14,I14,L14,O14),2)+LARGE(CHOOSE({1;2;3;4},F14,I14,L14,O14),3)</f>
        <v>8.3000000000000007</v>
      </c>
      <c r="S14" s="7">
        <f>LARGE(CHOOSE({1;2;3;4},G14,J14,M14,P14),1)+LARGE(CHOOSE({1;2;3;4},G14,J14,M14,P14),2)+LARGE(CHOOSE({1;2;3;4},G14,J14,M14,P14),3)</f>
        <v>14.4</v>
      </c>
      <c r="T14" s="7">
        <f>LARGE(CHOOSE({1;2;3;4},H14,K14,N14,Q14),1)+LARGE(CHOOSE({1;2;3;4},H14,K14,N14,Q14),2)+LARGE(CHOOSE({1;2;3;4},H14,K14,N14,Q14),3)</f>
        <v>22.7</v>
      </c>
      <c r="U14" s="4" cm="1">
        <f t="array" ref="U14">IF(PH[[#This Row],[Number_of_Competition]:[Number_of_Competition]]&gt;=3,(LARGE(CHOOSE({1;2;3;4},F14,I14,L14,O14),1)+LARGE(CHOOSE({1;2;3;4},F14,I14,L14,O14),2)+LARGE(CHOOSE({1;2;3;4},F14,I14,L14,O14),3))/3,0)</f>
        <v>0</v>
      </c>
      <c r="V14" s="7" cm="1">
        <f t="array" ref="V14">IF(PH[[#This Row],[Number_of_Competition]:[Number_of_Competition]]&gt;=3,(LARGE(CHOOSE({1;2;3;4},G14,J14,M14,P14),1)+LARGE(CHOOSE({1;2;3;4},G14,J14,M14,P14),2)+LARGE(CHOOSE({1;2;3;4},G14,J14,M14,P14),3))/3,0)</f>
        <v>0</v>
      </c>
      <c r="W14" s="7" cm="1">
        <f t="array" ref="W14">IF(PH[[#This Row],[Number_of_Competition]:[Number_of_Competition]]&gt;=3,(LARGE(CHOOSE({1;2;3;4},H14,K14,N14,Q14),1)+LARGE(CHOOSE({1;2;3;4},H14,K14,N14,Q14),2)+LARGE(CHOOSE({1;2;3;4},H14,K14,N14,Q14),3))/3,0)</f>
        <v>0</v>
      </c>
    </row>
    <row r="15" spans="1:29" x14ac:dyDescent="0.25">
      <c r="A15" t="s">
        <v>65</v>
      </c>
      <c r="B15" s="2" t="s">
        <v>60</v>
      </c>
      <c r="C15" s="2" t="s">
        <v>66</v>
      </c>
      <c r="D15" t="s">
        <v>67</v>
      </c>
      <c r="E15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5" s="4">
        <v>0</v>
      </c>
      <c r="G15" s="7">
        <v>0</v>
      </c>
      <c r="H15" s="7">
        <v>0</v>
      </c>
      <c r="I15" s="4">
        <v>3</v>
      </c>
      <c r="J15" s="7">
        <v>8.4</v>
      </c>
      <c r="K15" s="7">
        <v>11.4</v>
      </c>
      <c r="L15" s="4">
        <v>0</v>
      </c>
      <c r="M15" s="7">
        <v>0</v>
      </c>
      <c r="N15" s="7">
        <v>0</v>
      </c>
      <c r="O15" s="4">
        <v>3.2</v>
      </c>
      <c r="P15" s="7">
        <v>7.8</v>
      </c>
      <c r="Q15" s="7">
        <v>11</v>
      </c>
      <c r="R15" s="4">
        <f>LARGE(CHOOSE({1;2;3;4},F15,I15,L15,O15),1)+LARGE(CHOOSE({1;2;3;4},F15,I15,L15,O15),2)+LARGE(CHOOSE({1;2;3;4},F15,I15,L15,O15),3)</f>
        <v>6.2</v>
      </c>
      <c r="S15" s="7">
        <f>LARGE(CHOOSE({1;2;3;4},G15,J15,M15,P15),1)+LARGE(CHOOSE({1;2;3;4},G15,J15,M15,P15),2)+LARGE(CHOOSE({1;2;3;4},G15,J15,M15,P15),3)</f>
        <v>16.2</v>
      </c>
      <c r="T15" s="7">
        <f>LARGE(CHOOSE({1;2;3;4},H15,K15,N15,Q15),1)+LARGE(CHOOSE({1;2;3;4},H15,K15,N15,Q15),2)+LARGE(CHOOSE({1;2;3;4},H15,K15,N15,Q15),3)</f>
        <v>22.4</v>
      </c>
      <c r="U15" s="4" cm="1">
        <f t="array" ref="U15">IF(PH[[#This Row],[Number_of_Competition]:[Number_of_Competition]]&gt;=3,(LARGE(CHOOSE({1;2;3;4},F15,I15,L15,O15),1)+LARGE(CHOOSE({1;2;3;4},F15,I15,L15,O15),2)+LARGE(CHOOSE({1;2;3;4},F15,I15,L15,O15),3))/3,0)</f>
        <v>0</v>
      </c>
      <c r="V15" s="7" cm="1">
        <f t="array" ref="V15">IF(PH[[#This Row],[Number_of_Competition]:[Number_of_Competition]]&gt;=3,(LARGE(CHOOSE({1;2;3;4},G15,J15,M15,P15),1)+LARGE(CHOOSE({1;2;3;4},G15,J15,M15,P15),2)+LARGE(CHOOSE({1;2;3;4},G15,J15,M15,P15),3))/3,0)</f>
        <v>0</v>
      </c>
      <c r="W15" s="7" cm="1">
        <f t="array" ref="W15">IF(PH[[#This Row],[Number_of_Competition]:[Number_of_Competition]]&gt;=3,(LARGE(CHOOSE({1;2;3;4},H15,K15,N15,Q15),1)+LARGE(CHOOSE({1;2;3;4},H15,K15,N15,Q15),2)+LARGE(CHOOSE({1;2;3;4},H15,K15,N15,Q15),3))/3,0)</f>
        <v>0</v>
      </c>
      <c r="Y15" s="28" t="s">
        <v>296</v>
      </c>
    </row>
    <row r="16" spans="1:29" x14ac:dyDescent="0.25">
      <c r="A16" t="s">
        <v>90</v>
      </c>
      <c r="B16" s="2" t="s">
        <v>60</v>
      </c>
      <c r="C16" s="2" t="s">
        <v>91</v>
      </c>
      <c r="D16" t="s">
        <v>36</v>
      </c>
      <c r="E16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16" s="4">
        <v>0</v>
      </c>
      <c r="G16" s="7">
        <v>0</v>
      </c>
      <c r="H16" s="7">
        <v>0</v>
      </c>
      <c r="I16" s="4">
        <v>2.6</v>
      </c>
      <c r="J16" s="7">
        <v>0</v>
      </c>
      <c r="K16" s="7">
        <v>2.6</v>
      </c>
      <c r="L16" s="4">
        <v>2.9</v>
      </c>
      <c r="M16" s="7">
        <v>5</v>
      </c>
      <c r="N16" s="7">
        <v>7.9</v>
      </c>
      <c r="O16" s="4">
        <v>3.4</v>
      </c>
      <c r="P16" s="7">
        <v>8.4</v>
      </c>
      <c r="Q16" s="7">
        <v>11.8</v>
      </c>
      <c r="R16" s="4">
        <f>LARGE(CHOOSE({1;2;3;4},F16,I16,L16,O16),1)+LARGE(CHOOSE({1;2;3;4},F16,I16,L16,O16),2)+LARGE(CHOOSE({1;2;3;4},F16,I16,L16,O16),3)</f>
        <v>8.9</v>
      </c>
      <c r="S16" s="7">
        <f>LARGE(CHOOSE({1;2;3;4},G16,J16,M16,P16),1)+LARGE(CHOOSE({1;2;3;4},G16,J16,M16,P16),2)+LARGE(CHOOSE({1;2;3;4},G16,J16,M16,P16),3)</f>
        <v>13.4</v>
      </c>
      <c r="T16" s="7">
        <f>LARGE(CHOOSE({1;2;3;4},H16,K16,N16,Q16),1)+LARGE(CHOOSE({1;2;3;4},H16,K16,N16,Q16),2)+LARGE(CHOOSE({1;2;3;4},H16,K16,N16,Q16),3)</f>
        <v>22.300000000000004</v>
      </c>
      <c r="U16" s="4" cm="1">
        <f t="array" ref="U16">IF(PH[[#This Row],[Number_of_Competition]:[Number_of_Competition]]&gt;=3,(LARGE(CHOOSE({1;2;3;4},F16,I16,L16,O16),1)+LARGE(CHOOSE({1;2;3;4},F16,I16,L16,O16),2)+LARGE(CHOOSE({1;2;3;4},F16,I16,L16,O16),3))/3,0)</f>
        <v>2.9666666666666668</v>
      </c>
      <c r="V16" s="7" cm="1">
        <f t="array" ref="V16">IF(PH[[#This Row],[Number_of_Competition]:[Number_of_Competition]]&gt;=3,(LARGE(CHOOSE({1;2;3;4},G16,J16,M16,P16),1)+LARGE(CHOOSE({1;2;3;4},G16,J16,M16,P16),2)+LARGE(CHOOSE({1;2;3;4},G16,J16,M16,P16),3))/3,0)</f>
        <v>4.4666666666666668</v>
      </c>
      <c r="W16" s="7" cm="1">
        <f t="array" ref="W16">IF(PH[[#This Row],[Number_of_Competition]:[Number_of_Competition]]&gt;=3,(LARGE(CHOOSE({1;2;3;4},H16,K16,N16,Q16),1)+LARGE(CHOOSE({1;2;3;4},H16,K16,N16,Q16),2)+LARGE(CHOOSE({1;2;3;4},H16,K16,N16,Q16),3))/3,0)</f>
        <v>7.4333333333333345</v>
      </c>
      <c r="Y16" s="29" t="s">
        <v>297</v>
      </c>
    </row>
    <row r="17" spans="1:25" x14ac:dyDescent="0.25">
      <c r="A17" t="s">
        <v>70</v>
      </c>
      <c r="B17" s="2" t="s">
        <v>60</v>
      </c>
      <c r="C17" s="2" t="s">
        <v>71</v>
      </c>
      <c r="D17" t="s">
        <v>72</v>
      </c>
      <c r="E17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7" s="4">
        <v>0</v>
      </c>
      <c r="G17" s="7">
        <v>0</v>
      </c>
      <c r="H17" s="7">
        <v>0</v>
      </c>
      <c r="I17" s="4">
        <v>3.3</v>
      </c>
      <c r="J17" s="7">
        <v>6</v>
      </c>
      <c r="K17" s="7">
        <v>9.3000000000000007</v>
      </c>
      <c r="L17" s="4">
        <v>3.6</v>
      </c>
      <c r="M17" s="7">
        <v>6.7</v>
      </c>
      <c r="N17" s="7">
        <v>10.3</v>
      </c>
      <c r="O17" s="4">
        <v>0</v>
      </c>
      <c r="P17" s="7">
        <v>0</v>
      </c>
      <c r="Q17" s="7">
        <v>0</v>
      </c>
      <c r="R17" s="4">
        <f>LARGE(CHOOSE({1;2;3;4},F17,I17,L17,O17),1)+LARGE(CHOOSE({1;2;3;4},F17,I17,L17,O17),2)+LARGE(CHOOSE({1;2;3;4},F17,I17,L17,O17),3)</f>
        <v>6.9</v>
      </c>
      <c r="S17" s="7">
        <f>LARGE(CHOOSE({1;2;3;4},G17,J17,M17,P17),1)+LARGE(CHOOSE({1;2;3;4},G17,J17,M17,P17),2)+LARGE(CHOOSE({1;2;3;4},G17,J17,M17,P17),3)</f>
        <v>12.7</v>
      </c>
      <c r="T17" s="7">
        <f>LARGE(CHOOSE({1;2;3;4},H17,K17,N17,Q17),1)+LARGE(CHOOSE({1;2;3;4},H17,K17,N17,Q17),2)+LARGE(CHOOSE({1;2;3;4},H17,K17,N17,Q17),3)</f>
        <v>19.600000000000001</v>
      </c>
      <c r="U17" s="4" cm="1">
        <f t="array" ref="U17">IF(PH[[#This Row],[Number_of_Competition]:[Number_of_Competition]]&gt;=3,(LARGE(CHOOSE({1;2;3;4},F17,I17,L17,O17),1)+LARGE(CHOOSE({1;2;3;4},F17,I17,L17,O17),2)+LARGE(CHOOSE({1;2;3;4},F17,I17,L17,O17),3))/3,0)</f>
        <v>0</v>
      </c>
      <c r="V17" s="7" cm="1">
        <f t="array" ref="V17">IF(PH[[#This Row],[Number_of_Competition]:[Number_of_Competition]]&gt;=3,(LARGE(CHOOSE({1;2;3;4},G17,J17,M17,P17),1)+LARGE(CHOOSE({1;2;3;4},G17,J17,M17,P17),2)+LARGE(CHOOSE({1;2;3;4},G17,J17,M17,P17),3))/3,0)</f>
        <v>0</v>
      </c>
      <c r="W17" s="7" cm="1">
        <f t="array" ref="W17">IF(PH[[#This Row],[Number_of_Competition]:[Number_of_Competition]]&gt;=3,(LARGE(CHOOSE({1;2;3;4},H17,K17,N17,Q17),1)+LARGE(CHOOSE({1;2;3;4},H17,K17,N17,Q17),2)+LARGE(CHOOSE({1;2;3;4},H17,K17,N17,Q17),3))/3,0)</f>
        <v>0</v>
      </c>
      <c r="Y17" s="30" t="s">
        <v>298</v>
      </c>
    </row>
    <row r="18" spans="1:25" x14ac:dyDescent="0.25">
      <c r="A18" t="s">
        <v>82</v>
      </c>
      <c r="B18" s="2" t="s">
        <v>60</v>
      </c>
      <c r="C18" s="2" t="s">
        <v>83</v>
      </c>
      <c r="D18" t="s">
        <v>36</v>
      </c>
      <c r="E18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8" s="4">
        <v>0</v>
      </c>
      <c r="G18" s="7">
        <v>0</v>
      </c>
      <c r="H18" s="7">
        <v>0</v>
      </c>
      <c r="I18" s="4">
        <v>3.4</v>
      </c>
      <c r="J18" s="7">
        <v>5.5</v>
      </c>
      <c r="K18" s="7">
        <v>8.9</v>
      </c>
      <c r="L18" s="4">
        <v>0</v>
      </c>
      <c r="M18" s="7">
        <v>0</v>
      </c>
      <c r="N18" s="7">
        <v>0</v>
      </c>
      <c r="O18" s="4">
        <v>3.4</v>
      </c>
      <c r="P18" s="7">
        <v>6.4</v>
      </c>
      <c r="Q18" s="7">
        <v>9.8000000000000007</v>
      </c>
      <c r="R18" s="4">
        <f>LARGE(CHOOSE({1;2;3;4},F18,I18,L18,O18),1)+LARGE(CHOOSE({1;2;3;4},F18,I18,L18,O18),2)+LARGE(CHOOSE({1;2;3;4},F18,I18,L18,O18),3)</f>
        <v>6.8</v>
      </c>
      <c r="S18" s="7">
        <f>LARGE(CHOOSE({1;2;3;4},G18,J18,M18,P18),1)+LARGE(CHOOSE({1;2;3;4},G18,J18,M18,P18),2)+LARGE(CHOOSE({1;2;3;4},G18,J18,M18,P18),3)</f>
        <v>11.9</v>
      </c>
      <c r="T18" s="7">
        <f>LARGE(CHOOSE({1;2;3;4},H18,K18,N18,Q18),1)+LARGE(CHOOSE({1;2;3;4},H18,K18,N18,Q18),2)+LARGE(CHOOSE({1;2;3;4},H18,K18,N18,Q18),3)</f>
        <v>18.700000000000003</v>
      </c>
      <c r="U18" s="4" cm="1">
        <f t="array" ref="U18">IF(PH[[#This Row],[Number_of_Competition]:[Number_of_Competition]]&gt;=3,(LARGE(CHOOSE({1;2;3;4},F18,I18,L18,O18),1)+LARGE(CHOOSE({1;2;3;4},F18,I18,L18,O18),2)+LARGE(CHOOSE({1;2;3;4},F18,I18,L18,O18),3))/3,0)</f>
        <v>0</v>
      </c>
      <c r="V18" s="7" cm="1">
        <f t="array" ref="V18">IF(PH[[#This Row],[Number_of_Competition]:[Number_of_Competition]]&gt;=3,(LARGE(CHOOSE({1;2;3;4},G18,J18,M18,P18),1)+LARGE(CHOOSE({1;2;3;4},G18,J18,M18,P18),2)+LARGE(CHOOSE({1;2;3;4},G18,J18,M18,P18),3))/3,0)</f>
        <v>0</v>
      </c>
      <c r="W18" s="7" cm="1">
        <f t="array" ref="W18">IF(PH[[#This Row],[Number_of_Competition]:[Number_of_Competition]]&gt;=3,(LARGE(CHOOSE({1;2;3;4},H18,K18,N18,Q18),1)+LARGE(CHOOSE({1;2;3;4},H18,K18,N18,Q18),2)+LARGE(CHOOSE({1;2;3;4},H18,K18,N18,Q18),3))/3,0)</f>
        <v>0</v>
      </c>
      <c r="Y18" s="31" t="s">
        <v>300</v>
      </c>
    </row>
    <row r="19" spans="1:25" x14ac:dyDescent="0.25">
      <c r="A19" t="s">
        <v>110</v>
      </c>
      <c r="B19" s="2" t="s">
        <v>60</v>
      </c>
      <c r="C19" s="2" t="s">
        <v>111</v>
      </c>
      <c r="D19" t="s">
        <v>36</v>
      </c>
      <c r="E19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19" s="4">
        <v>0</v>
      </c>
      <c r="G19" s="7">
        <v>0</v>
      </c>
      <c r="H19" s="7">
        <v>0</v>
      </c>
      <c r="I19" s="4">
        <v>3.1</v>
      </c>
      <c r="J19" s="7">
        <v>6</v>
      </c>
      <c r="K19" s="7">
        <v>9.1</v>
      </c>
      <c r="L19" s="4">
        <v>3.5</v>
      </c>
      <c r="M19" s="7">
        <v>5.6</v>
      </c>
      <c r="N19" s="7">
        <v>9.1</v>
      </c>
      <c r="O19" s="4">
        <v>0</v>
      </c>
      <c r="P19" s="7">
        <v>0</v>
      </c>
      <c r="Q19" s="7">
        <v>0</v>
      </c>
      <c r="R19" s="4">
        <f>LARGE(CHOOSE({1;2;3;4},F19,I19,L19,O19),1)+LARGE(CHOOSE({1;2;3;4},F19,I19,L19,O19),2)+LARGE(CHOOSE({1;2;3;4},F19,I19,L19,O19),3)</f>
        <v>6.6</v>
      </c>
      <c r="S19" s="7">
        <f>LARGE(CHOOSE({1;2;3;4},G19,J19,M19,P19),1)+LARGE(CHOOSE({1;2;3;4},G19,J19,M19,P19),2)+LARGE(CHOOSE({1;2;3;4},G19,J19,M19,P19),3)</f>
        <v>11.6</v>
      </c>
      <c r="T19" s="7">
        <f>LARGE(CHOOSE({1;2;3;4},H19,K19,N19,Q19),1)+LARGE(CHOOSE({1;2;3;4},H19,K19,N19,Q19),2)+LARGE(CHOOSE({1;2;3;4},H19,K19,N19,Q19),3)</f>
        <v>18.2</v>
      </c>
      <c r="U19" s="4" cm="1">
        <f t="array" ref="U19">IF(PH[[#This Row],[Number_of_Competition]:[Number_of_Competition]]&gt;=3,(LARGE(CHOOSE({1;2;3;4},F19,I19,L19,O19),1)+LARGE(CHOOSE({1;2;3;4},F19,I19,L19,O19),2)+LARGE(CHOOSE({1;2;3;4},F19,I19,L19,O19),3))/3,0)</f>
        <v>0</v>
      </c>
      <c r="V19" s="7" cm="1">
        <f t="array" ref="V19">IF(PH[[#This Row],[Number_of_Competition]:[Number_of_Competition]]&gt;=3,(LARGE(CHOOSE({1;2;3;4},G19,J19,M19,P19),1)+LARGE(CHOOSE({1;2;3;4},G19,J19,M19,P19),2)+LARGE(CHOOSE({1;2;3;4},G19,J19,M19,P19),3))/3,0)</f>
        <v>0</v>
      </c>
      <c r="W19" s="7" cm="1">
        <f t="array" ref="W19">IF(PH[[#This Row],[Number_of_Competition]:[Number_of_Competition]]&gt;=3,(LARGE(CHOOSE({1;2;3;4},H19,K19,N19,Q19),1)+LARGE(CHOOSE({1;2;3;4},H19,K19,N19,Q19),2)+LARGE(CHOOSE({1;2;3;4},H19,K19,N19,Q19),3))/3,0)</f>
        <v>0</v>
      </c>
      <c r="Y19" s="32" t="s">
        <v>299</v>
      </c>
    </row>
    <row r="20" spans="1:25" x14ac:dyDescent="0.25">
      <c r="A20" t="s">
        <v>88</v>
      </c>
      <c r="B20" s="2" t="s">
        <v>60</v>
      </c>
      <c r="C20" s="2" t="s">
        <v>89</v>
      </c>
      <c r="D20" t="s">
        <v>36</v>
      </c>
      <c r="E20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20" s="4">
        <v>0</v>
      </c>
      <c r="G20" s="7">
        <v>0</v>
      </c>
      <c r="H20" s="7">
        <v>0</v>
      </c>
      <c r="I20" s="4">
        <v>2.7</v>
      </c>
      <c r="J20" s="7">
        <v>7</v>
      </c>
      <c r="K20" s="7">
        <v>9.6999999999999993</v>
      </c>
      <c r="L20" s="4">
        <v>0</v>
      </c>
      <c r="M20" s="7">
        <v>0</v>
      </c>
      <c r="N20" s="7">
        <v>0</v>
      </c>
      <c r="O20" s="4">
        <v>2.4</v>
      </c>
      <c r="P20" s="7">
        <v>5.8</v>
      </c>
      <c r="Q20" s="7">
        <v>8.1999999999999993</v>
      </c>
      <c r="R20" s="4">
        <f>LARGE(CHOOSE({1;2;3;4},F20,I20,L20,O20),1)+LARGE(CHOOSE({1;2;3;4},F20,I20,L20,O20),2)+LARGE(CHOOSE({1;2;3;4},F20,I20,L20,O20),3)</f>
        <v>5.0999999999999996</v>
      </c>
      <c r="S20" s="7">
        <f>LARGE(CHOOSE({1;2;3;4},G20,J20,M20,P20),1)+LARGE(CHOOSE({1;2;3;4},G20,J20,M20,P20),2)+LARGE(CHOOSE({1;2;3;4},G20,J20,M20,P20),3)</f>
        <v>12.8</v>
      </c>
      <c r="T20" s="7">
        <f>LARGE(CHOOSE({1;2;3;4},H20,K20,N20,Q20),1)+LARGE(CHOOSE({1;2;3;4},H20,K20,N20,Q20),2)+LARGE(CHOOSE({1;2;3;4},H20,K20,N20,Q20),3)</f>
        <v>17.899999999999999</v>
      </c>
      <c r="U20" s="4" cm="1">
        <f t="array" ref="U20">IF(PH[[#This Row],[Number_of_Competition]:[Number_of_Competition]]&gt;=3,(LARGE(CHOOSE({1;2;3;4},F20,I20,L20,O20),1)+LARGE(CHOOSE({1;2;3;4},F20,I20,L20,O20),2)+LARGE(CHOOSE({1;2;3;4},F20,I20,L20,O20),3))/3,0)</f>
        <v>0</v>
      </c>
      <c r="V20" s="7" cm="1">
        <f t="array" ref="V20">IF(PH[[#This Row],[Number_of_Competition]:[Number_of_Competition]]&gt;=3,(LARGE(CHOOSE({1;2;3;4},G20,J20,M20,P20),1)+LARGE(CHOOSE({1;2;3;4},G20,J20,M20,P20),2)+LARGE(CHOOSE({1;2;3;4},G20,J20,M20,P20),3))/3,0)</f>
        <v>0</v>
      </c>
      <c r="W20" s="7" cm="1">
        <f t="array" ref="W20">IF(PH[[#This Row],[Number_of_Competition]:[Number_of_Competition]]&gt;=3,(LARGE(CHOOSE({1;2;3;4},H20,K20,N20,Q20),1)+LARGE(CHOOSE({1;2;3;4},H20,K20,N20,Q20),2)+LARGE(CHOOSE({1;2;3;4},H20,K20,N20,Q20),3))/3,0)</f>
        <v>0</v>
      </c>
      <c r="Y20" s="33" t="s">
        <v>252</v>
      </c>
    </row>
    <row r="21" spans="1:25" x14ac:dyDescent="0.25">
      <c r="A21" t="s">
        <v>98</v>
      </c>
      <c r="B21" s="2" t="s">
        <v>60</v>
      </c>
      <c r="C21" s="2" t="s">
        <v>99</v>
      </c>
      <c r="D21" t="s">
        <v>72</v>
      </c>
      <c r="E21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21" s="4">
        <v>0</v>
      </c>
      <c r="G21" s="7">
        <v>0</v>
      </c>
      <c r="H21" s="7">
        <v>0</v>
      </c>
      <c r="I21" s="4">
        <v>3.4</v>
      </c>
      <c r="J21" s="7">
        <v>7</v>
      </c>
      <c r="K21" s="7">
        <v>10.4</v>
      </c>
      <c r="L21" s="4">
        <v>3.3</v>
      </c>
      <c r="M21" s="7">
        <v>4.1500000000000004</v>
      </c>
      <c r="N21" s="7">
        <v>7.45</v>
      </c>
      <c r="O21" s="4">
        <v>0</v>
      </c>
      <c r="P21" s="7">
        <v>0</v>
      </c>
      <c r="Q21" s="7">
        <v>0</v>
      </c>
      <c r="R21" s="4">
        <f>LARGE(CHOOSE({1;2;3;4},F21,I21,L21,O21),1)+LARGE(CHOOSE({1;2;3;4},F21,I21,L21,O21),2)+LARGE(CHOOSE({1;2;3;4},F21,I21,L21,O21),3)</f>
        <v>6.6999999999999993</v>
      </c>
      <c r="S21" s="7">
        <f>LARGE(CHOOSE({1;2;3;4},G21,J21,M21,P21),1)+LARGE(CHOOSE({1;2;3;4},G21,J21,M21,P21),2)+LARGE(CHOOSE({1;2;3;4},G21,J21,M21,P21),3)</f>
        <v>11.15</v>
      </c>
      <c r="T21" s="7">
        <f>LARGE(CHOOSE({1;2;3;4},H21,K21,N21,Q21),1)+LARGE(CHOOSE({1;2;3;4},H21,K21,N21,Q21),2)+LARGE(CHOOSE({1;2;3;4},H21,K21,N21,Q21),3)</f>
        <v>17.850000000000001</v>
      </c>
      <c r="U21" s="4" cm="1">
        <f t="array" ref="U21">IF(PH[[#This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IF(PH[[#This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IF(PH[[#This Row],[Number_of_Competition]:[Number_of_Competition]]&gt;=3,(LARGE(CHOOSE({1;2;3;4},H21,K21,N21,Q21),1)+LARGE(CHOOSE({1;2;3;4},H21,K21,N21,Q21),2)+LARGE(CHOOSE({1;2;3;4},H21,K21,N21,Q21),3))/3,0)</f>
        <v>0</v>
      </c>
      <c r="Y21" s="34" t="s">
        <v>301</v>
      </c>
    </row>
    <row r="22" spans="1:25" x14ac:dyDescent="0.25">
      <c r="A22" t="s">
        <v>118</v>
      </c>
      <c r="B22" s="2" t="s">
        <v>60</v>
      </c>
      <c r="C22" s="2" t="s">
        <v>119</v>
      </c>
      <c r="D22" t="s">
        <v>31</v>
      </c>
      <c r="E22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2" s="4">
        <v>0</v>
      </c>
      <c r="G22" s="7">
        <v>0</v>
      </c>
      <c r="H22" s="7">
        <v>0</v>
      </c>
      <c r="I22" s="4">
        <v>0</v>
      </c>
      <c r="J22" s="7">
        <v>0</v>
      </c>
      <c r="K22" s="7">
        <v>0</v>
      </c>
      <c r="L22" s="4">
        <v>4.5999999999999996</v>
      </c>
      <c r="M22" s="7">
        <v>7.7</v>
      </c>
      <c r="N22" s="7">
        <v>12.3</v>
      </c>
      <c r="O22" s="4">
        <v>0</v>
      </c>
      <c r="P22" s="7">
        <v>0</v>
      </c>
      <c r="Q22" s="7">
        <v>0</v>
      </c>
      <c r="R22" s="4">
        <f>LARGE(CHOOSE({1;2;3;4},F22,I22,L22,O22),1)+LARGE(CHOOSE({1;2;3;4},F22,I22,L22,O22),2)+LARGE(CHOOSE({1;2;3;4},F22,I22,L22,O22),3)</f>
        <v>4.5999999999999996</v>
      </c>
      <c r="S22" s="7">
        <f>LARGE(CHOOSE({1;2;3;4},G22,J22,M22,P22),1)+LARGE(CHOOSE({1;2;3;4},G22,J22,M22,P22),2)+LARGE(CHOOSE({1;2;3;4},G22,J22,M22,P22),3)</f>
        <v>7.7</v>
      </c>
      <c r="T22" s="7">
        <f>LARGE(CHOOSE({1;2;3;4},H22,K22,N22,Q22),1)+LARGE(CHOOSE({1;2;3;4},H22,K22,N22,Q22),2)+LARGE(CHOOSE({1;2;3;4},H22,K22,N22,Q22),3)</f>
        <v>12.3</v>
      </c>
      <c r="U22" s="4" cm="1">
        <f t="array" ref="U22">IF(PH[[#This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IF(PH[[#This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IF(PH[[#This Row],[Number_of_Competition]:[Number_of_Competition]]&gt;=3,(LARGE(CHOOSE({1;2;3;4},H22,K22,N22,Q22),1)+LARGE(CHOOSE({1;2;3;4},H22,K22,N22,Q22),2)+LARGE(CHOOSE({1;2;3;4},H22,K22,N22,Q22),3))/3,0)</f>
        <v>0</v>
      </c>
      <c r="Y22" s="37" t="s">
        <v>304</v>
      </c>
    </row>
    <row r="23" spans="1:25" x14ac:dyDescent="0.25">
      <c r="A23" t="s">
        <v>142</v>
      </c>
      <c r="B23" s="2" t="s">
        <v>60</v>
      </c>
      <c r="C23" s="2" t="s">
        <v>143</v>
      </c>
      <c r="D23" t="s">
        <v>62</v>
      </c>
      <c r="E23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3" s="4">
        <v>3.8</v>
      </c>
      <c r="G23" s="7">
        <v>7.9</v>
      </c>
      <c r="H23" s="7">
        <v>11.7</v>
      </c>
      <c r="I23" s="4">
        <v>0</v>
      </c>
      <c r="J23" s="7">
        <v>0</v>
      </c>
      <c r="K23" s="7">
        <v>0</v>
      </c>
      <c r="L23" s="4">
        <v>0</v>
      </c>
      <c r="M23" s="7">
        <v>0</v>
      </c>
      <c r="N23" s="7">
        <v>0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3.8</v>
      </c>
      <c r="S23" s="7">
        <f>LARGE(CHOOSE({1;2;3;4},G23,J23,M23,P23),1)+LARGE(CHOOSE({1;2;3;4},G23,J23,M23,P23),2)+LARGE(CHOOSE({1;2;3;4},G23,J23,M23,P23),3)</f>
        <v>7.9</v>
      </c>
      <c r="T23" s="7">
        <f>LARGE(CHOOSE({1;2;3;4},H23,K23,N23,Q23),1)+LARGE(CHOOSE({1;2;3;4},H23,K23,N23,Q23),2)+LARGE(CHOOSE({1;2;3;4},H23,K23,N23,Q23),3)</f>
        <v>11.7</v>
      </c>
      <c r="U23" s="4" cm="1">
        <f t="array" ref="U23">IF(PH[[#This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IF(PH[[#This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IF(PH[[#This Row],[Number_of_Competition]:[Number_of_Competition]]&gt;=3,(LARGE(CHOOSE({1;2;3;4},H23,K23,N23,Q23),1)+LARGE(CHOOSE({1;2;3;4},H23,K23,N23,Q23),2)+LARGE(CHOOSE({1;2;3;4},H23,K23,N23,Q23),3))/3,0)</f>
        <v>0</v>
      </c>
      <c r="Y23" s="35" t="s">
        <v>302</v>
      </c>
    </row>
    <row r="24" spans="1:25" x14ac:dyDescent="0.25">
      <c r="A24" t="s">
        <v>106</v>
      </c>
      <c r="B24" s="2" t="s">
        <v>60</v>
      </c>
      <c r="C24" s="2" t="s">
        <v>107</v>
      </c>
      <c r="D24" t="s">
        <v>31</v>
      </c>
      <c r="E24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4" s="4">
        <v>2.2999999999999998</v>
      </c>
      <c r="G24" s="7">
        <v>2</v>
      </c>
      <c r="H24" s="7">
        <v>4.3</v>
      </c>
      <c r="I24" s="4">
        <v>0</v>
      </c>
      <c r="J24" s="7">
        <v>0</v>
      </c>
      <c r="K24" s="7">
        <v>0</v>
      </c>
      <c r="L24" s="4">
        <v>0</v>
      </c>
      <c r="M24" s="7">
        <v>0</v>
      </c>
      <c r="N24" s="7">
        <v>0</v>
      </c>
      <c r="O24" s="4">
        <v>0</v>
      </c>
      <c r="P24" s="7">
        <v>0</v>
      </c>
      <c r="Q24" s="7">
        <v>0</v>
      </c>
      <c r="R24" s="4">
        <f>LARGE(CHOOSE({1;2;3;4},F24,I24,L24,O24),1)+LARGE(CHOOSE({1;2;3;4},F24,I24,L24,O24),2)+LARGE(CHOOSE({1;2;3;4},F24,I24,L24,O24),3)</f>
        <v>2.2999999999999998</v>
      </c>
      <c r="S24" s="7">
        <f>LARGE(CHOOSE({1;2;3;4},G24,J24,M24,P24),1)+LARGE(CHOOSE({1;2;3;4},G24,J24,M24,P24),2)+LARGE(CHOOSE({1;2;3;4},G24,J24,M24,P24),3)</f>
        <v>2</v>
      </c>
      <c r="T24" s="7">
        <f>LARGE(CHOOSE({1;2;3;4},H24,K24,N24,Q24),1)+LARGE(CHOOSE({1;2;3;4},H24,K24,N24,Q24),2)+LARGE(CHOOSE({1;2;3;4},H24,K24,N24,Q24),3)</f>
        <v>4.3</v>
      </c>
      <c r="U24" s="4" cm="1">
        <f t="array" ref="U24">IF(PH[[#This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IF(PH[[#This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IF(PH[[#This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</row>
    <row r="25" spans="1:25" x14ac:dyDescent="0.25">
      <c r="A25" t="s">
        <v>100</v>
      </c>
      <c r="B25" s="2" t="s">
        <v>60</v>
      </c>
      <c r="C25" s="2" t="s">
        <v>101</v>
      </c>
      <c r="D25" t="s">
        <v>31</v>
      </c>
      <c r="E25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25" s="4">
        <v>2.4</v>
      </c>
      <c r="G25" s="7">
        <v>1.1000000000000001</v>
      </c>
      <c r="H25" s="7">
        <v>3.5</v>
      </c>
      <c r="I25" s="4">
        <v>0</v>
      </c>
      <c r="J25" s="7">
        <v>0</v>
      </c>
      <c r="K25" s="7">
        <v>0</v>
      </c>
      <c r="L25" s="4">
        <v>0</v>
      </c>
      <c r="M25" s="7">
        <v>0</v>
      </c>
      <c r="N25" s="7">
        <v>0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2.4</v>
      </c>
      <c r="S25" s="7">
        <f>LARGE(CHOOSE({1;2;3;4},G25,J25,M25,P25),1)+LARGE(CHOOSE({1;2;3;4},G25,J25,M25,P25),2)+LARGE(CHOOSE({1;2;3;4},G25,J25,M25,P25),3)</f>
        <v>1.1000000000000001</v>
      </c>
      <c r="T25" s="7">
        <f>LARGE(CHOOSE({1;2;3;4},H25,K25,N25,Q25),1)+LARGE(CHOOSE({1;2;3;4},H25,K25,N25,Q25),2)+LARGE(CHOOSE({1;2;3;4},H25,K25,N25,Q25),3)</f>
        <v>3.5</v>
      </c>
      <c r="U25" s="4" cm="1">
        <f t="array" ref="U25">IF(PH[[#This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IF(PH[[#This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IF(PH[[#This Row],[Number_of_Competition]:[Number_of_Competition]]&gt;=3,(LARGE(CHOOSE({1;2;3;4},H25,K25,N25,Q25),1)+LARGE(CHOOSE({1;2;3;4},H25,K25,N25,Q25),2)+LARGE(CHOOSE({1;2;3;4},H25,K25,N25,Q25),3))/3,0)</f>
        <v>0</v>
      </c>
    </row>
    <row r="26" spans="1:25" x14ac:dyDescent="0.25">
      <c r="A26" t="s">
        <v>25</v>
      </c>
      <c r="B26" s="2" t="s">
        <v>26</v>
      </c>
      <c r="C26" s="2" t="s">
        <v>27</v>
      </c>
      <c r="D26" t="s">
        <v>28</v>
      </c>
      <c r="E26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6" s="4">
        <v>3.8</v>
      </c>
      <c r="G26" s="7">
        <v>8.9499999999999993</v>
      </c>
      <c r="H26" s="7">
        <v>12.75</v>
      </c>
      <c r="I26" s="4">
        <v>3.8</v>
      </c>
      <c r="J26" s="7">
        <v>8.9</v>
      </c>
      <c r="K26" s="7">
        <v>12.7</v>
      </c>
      <c r="L26" s="4">
        <v>3.8</v>
      </c>
      <c r="M26" s="7">
        <v>8.5500000000000007</v>
      </c>
      <c r="N26" s="7">
        <v>12.35</v>
      </c>
      <c r="O26" s="4">
        <v>3.7</v>
      </c>
      <c r="P26" s="7">
        <v>8.8000000000000007</v>
      </c>
      <c r="Q26" s="7">
        <v>12.5</v>
      </c>
      <c r="R26" s="4">
        <f>LARGE(CHOOSE({1;2;3;4},F26,I26,L26,O26),1)+LARGE(CHOOSE({1;2;3;4},F26,I26,L26,O26),2)+LARGE(CHOOSE({1;2;3;4},F26,I26,L26,O26),3)</f>
        <v>11.399999999999999</v>
      </c>
      <c r="S26" s="7">
        <f>LARGE(CHOOSE({1;2;3;4},G26,J26,M26,P26),1)+LARGE(CHOOSE({1;2;3;4},G26,J26,M26,P26),2)+LARGE(CHOOSE({1;2;3;4},G26,J26,M26,P26),3)</f>
        <v>26.650000000000002</v>
      </c>
      <c r="T26" s="7">
        <f>LARGE(CHOOSE({1;2;3;4},H26,K26,N26,Q26),1)+LARGE(CHOOSE({1;2;3;4},H26,K26,N26,Q26),2)+LARGE(CHOOSE({1;2;3;4},H26,K26,N26,Q26),3)</f>
        <v>37.950000000000003</v>
      </c>
      <c r="U26" s="4" cm="1">
        <f t="array" ref="U26">IF(PH[[#This Row],[Number_of_Competition]:[Number_of_Competition]]&gt;=3,(LARGE(CHOOSE({1;2;3;4},F26,I26,L26,O26),1)+LARGE(CHOOSE({1;2;3;4},F26,I26,L26,O26),2)+LARGE(CHOOSE({1;2;3;4},F26,I26,L26,O26),3))/3,0)</f>
        <v>3.7999999999999994</v>
      </c>
      <c r="V26" s="7" cm="1">
        <f t="array" ref="V26">IF(PH[[#This Row],[Number_of_Competition]:[Number_of_Competition]]&gt;=3,(LARGE(CHOOSE({1;2;3;4},G26,J26,M26,P26),1)+LARGE(CHOOSE({1;2;3;4},G26,J26,M26,P26),2)+LARGE(CHOOSE({1;2;3;4},G26,J26,M26,P26),3))/3,0)</f>
        <v>8.8833333333333346</v>
      </c>
      <c r="W26" s="7" cm="1">
        <f t="array" ref="W26">IF(PH[[#This Row],[Number_of_Competition]:[Number_of_Competition]]&gt;=3,(LARGE(CHOOSE({1;2;3;4},H26,K26,N26,Q26),1)+LARGE(CHOOSE({1;2;3;4},H26,K26,N26,Q26),2)+LARGE(CHOOSE({1;2;3;4},H26,K26,N26,Q26),3))/3,0)</f>
        <v>12.65</v>
      </c>
    </row>
    <row r="27" spans="1:25" x14ac:dyDescent="0.25">
      <c r="A27" t="s">
        <v>37</v>
      </c>
      <c r="B27" s="2" t="s">
        <v>26</v>
      </c>
      <c r="C27" s="2" t="s">
        <v>38</v>
      </c>
      <c r="D27" t="s">
        <v>39</v>
      </c>
      <c r="E27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7" s="4">
        <v>4.4000000000000004</v>
      </c>
      <c r="G27" s="7">
        <v>7.85</v>
      </c>
      <c r="H27" s="7">
        <v>12.25</v>
      </c>
      <c r="I27" s="4">
        <v>4.3</v>
      </c>
      <c r="J27" s="7">
        <v>7.9</v>
      </c>
      <c r="K27" s="7">
        <v>12.2</v>
      </c>
      <c r="L27" s="4">
        <v>3.6</v>
      </c>
      <c r="M27" s="7">
        <v>7.45</v>
      </c>
      <c r="N27" s="7">
        <v>11.05</v>
      </c>
      <c r="O27" s="4">
        <v>3.9</v>
      </c>
      <c r="P27" s="7">
        <v>8.1999999999999993</v>
      </c>
      <c r="Q27" s="7">
        <v>12.1</v>
      </c>
      <c r="R27" s="4">
        <f>LARGE(CHOOSE({1;2;3;4},F27,I27,L27,O27),1)+LARGE(CHOOSE({1;2;3;4},F27,I27,L27,O27),2)+LARGE(CHOOSE({1;2;3;4},F27,I27,L27,O27),3)</f>
        <v>12.6</v>
      </c>
      <c r="S27" s="7">
        <f>LARGE(CHOOSE({1;2;3;4},G27,J27,M27,P27),1)+LARGE(CHOOSE({1;2;3;4},G27,J27,M27,P27),2)+LARGE(CHOOSE({1;2;3;4},G27,J27,M27,P27),3)</f>
        <v>23.950000000000003</v>
      </c>
      <c r="T27" s="7">
        <f>LARGE(CHOOSE({1;2;3;4},H27,K27,N27,Q27),1)+LARGE(CHOOSE({1;2;3;4},H27,K27,N27,Q27),2)+LARGE(CHOOSE({1;2;3;4},H27,K27,N27,Q27),3)</f>
        <v>36.549999999999997</v>
      </c>
      <c r="U27" s="4" cm="1">
        <f t="array" ref="U27">IF(PH[[#This Row],[Number_of_Competition]:[Number_of_Competition]]&gt;=3,(LARGE(CHOOSE({1;2;3;4},F27,I27,L27,O27),1)+LARGE(CHOOSE({1;2;3;4},F27,I27,L27,O27),2)+LARGE(CHOOSE({1;2;3;4},F27,I27,L27,O27),3))/3,0)</f>
        <v>4.2</v>
      </c>
      <c r="V27" s="7" cm="1">
        <f t="array" ref="V27">IF(PH[[#This Row],[Number_of_Competition]:[Number_of_Competition]]&gt;=3,(LARGE(CHOOSE({1;2;3;4},G27,J27,M27,P27),1)+LARGE(CHOOSE({1;2;3;4},G27,J27,M27,P27),2)+LARGE(CHOOSE({1;2;3;4},G27,J27,M27,P27),3))/3,0)</f>
        <v>7.9833333333333343</v>
      </c>
      <c r="W27" s="7" cm="1">
        <f t="array" ref="W27">IF(PH[[#This Row],[Number_of_Competition]:[Number_of_Competition]]&gt;=3,(LARGE(CHOOSE({1;2;3;4},H27,K27,N27,Q27),1)+LARGE(CHOOSE({1;2;3;4},H27,K27,N27,Q27),2)+LARGE(CHOOSE({1;2;3;4},H27,K27,N27,Q27),3))/3,0)</f>
        <v>12.183333333333332</v>
      </c>
    </row>
    <row r="28" spans="1:25" x14ac:dyDescent="0.25">
      <c r="A28" t="s">
        <v>34</v>
      </c>
      <c r="B28" s="2" t="s">
        <v>26</v>
      </c>
      <c r="C28" s="2" t="s">
        <v>35</v>
      </c>
      <c r="D28" t="s">
        <v>36</v>
      </c>
      <c r="E28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8" s="4">
        <v>4.4000000000000004</v>
      </c>
      <c r="G28" s="7">
        <v>7</v>
      </c>
      <c r="H28" s="7">
        <v>11.4</v>
      </c>
      <c r="I28" s="4">
        <v>3.9</v>
      </c>
      <c r="J28" s="7">
        <v>7</v>
      </c>
      <c r="K28" s="7">
        <v>10.9</v>
      </c>
      <c r="L28" s="4">
        <v>3.6</v>
      </c>
      <c r="M28" s="7">
        <v>8.4</v>
      </c>
      <c r="N28" s="7">
        <v>12</v>
      </c>
      <c r="O28" s="4">
        <v>3.6</v>
      </c>
      <c r="P28" s="7">
        <v>8.3000000000000007</v>
      </c>
      <c r="Q28" s="7">
        <v>11.9</v>
      </c>
      <c r="R28" s="4">
        <f>LARGE(CHOOSE({1;2;3;4},F28,I28,L28,O28),1)+LARGE(CHOOSE({1;2;3;4},F28,I28,L28,O28),2)+LARGE(CHOOSE({1;2;3;4},F28,I28,L28,O28),3)</f>
        <v>11.9</v>
      </c>
      <c r="S28" s="7">
        <f>LARGE(CHOOSE({1;2;3;4},G28,J28,M28,P28),1)+LARGE(CHOOSE({1;2;3;4},G28,J28,M28,P28),2)+LARGE(CHOOSE({1;2;3;4},G28,J28,M28,P28),3)</f>
        <v>23.700000000000003</v>
      </c>
      <c r="T28" s="7">
        <f>LARGE(CHOOSE({1;2;3;4},H28,K28,N28,Q28),1)+LARGE(CHOOSE({1;2;3;4},H28,K28,N28,Q28),2)+LARGE(CHOOSE({1;2;3;4},H28,K28,N28,Q28),3)</f>
        <v>35.299999999999997</v>
      </c>
      <c r="U28" s="4" cm="1">
        <f t="array" ref="U28">IF(PH[[#This Row],[Number_of_Competition]:[Number_of_Competition]]&gt;=3,(LARGE(CHOOSE({1;2;3;4},F28,I28,L28,O28),1)+LARGE(CHOOSE({1;2;3;4},F28,I28,L28,O28),2)+LARGE(CHOOSE({1;2;3;4},F28,I28,L28,O28),3))/3,0)</f>
        <v>3.9666666666666668</v>
      </c>
      <c r="V28" s="7" cm="1">
        <f t="array" ref="V28">IF(PH[[#This Row],[Number_of_Competition]:[Number_of_Competition]]&gt;=3,(LARGE(CHOOSE({1;2;3;4},G28,J28,M28,P28),1)+LARGE(CHOOSE({1;2;3;4},G28,J28,M28,P28),2)+LARGE(CHOOSE({1;2;3;4},G28,J28,M28,P28),3))/3,0)</f>
        <v>7.9000000000000012</v>
      </c>
      <c r="W28" s="7" cm="1">
        <f t="array" ref="W28">IF(PH[[#This Row],[Number_of_Competition]:[Number_of_Competition]]&gt;=3,(LARGE(CHOOSE({1;2;3;4},H28,K28,N28,Q28),1)+LARGE(CHOOSE({1;2;3;4},H28,K28,N28,Q28),2)+LARGE(CHOOSE({1;2;3;4},H28,K28,N28,Q28),3))/3,0)</f>
        <v>11.766666666666666</v>
      </c>
    </row>
    <row r="29" spans="1:25" x14ac:dyDescent="0.25">
      <c r="A29" t="s">
        <v>32</v>
      </c>
      <c r="B29" s="2" t="s">
        <v>26</v>
      </c>
      <c r="C29" s="2" t="s">
        <v>33</v>
      </c>
      <c r="D29" t="s">
        <v>31</v>
      </c>
      <c r="E29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29" s="4">
        <v>3.6</v>
      </c>
      <c r="G29" s="7">
        <v>7</v>
      </c>
      <c r="H29" s="7">
        <v>10.6</v>
      </c>
      <c r="I29" s="4">
        <v>3.6</v>
      </c>
      <c r="J29" s="7">
        <v>6.2</v>
      </c>
      <c r="K29" s="7">
        <v>9.8000000000000007</v>
      </c>
      <c r="L29" s="4">
        <v>3.4</v>
      </c>
      <c r="M29" s="7">
        <v>7.95</v>
      </c>
      <c r="N29" s="7">
        <v>11.35</v>
      </c>
      <c r="O29" s="4">
        <v>3.6</v>
      </c>
      <c r="P29" s="7">
        <v>8.3000000000000007</v>
      </c>
      <c r="Q29" s="7">
        <v>11.9</v>
      </c>
      <c r="R29" s="4">
        <f>LARGE(CHOOSE({1;2;3;4},F29,I29,L29,O29),1)+LARGE(CHOOSE({1;2;3;4},F29,I29,L29,O29),2)+LARGE(CHOOSE({1;2;3;4},F29,I29,L29,O29),3)</f>
        <v>10.8</v>
      </c>
      <c r="S29" s="7">
        <f>LARGE(CHOOSE({1;2;3;4},G29,J29,M29,P29),1)+LARGE(CHOOSE({1;2;3;4},G29,J29,M29,P29),2)+LARGE(CHOOSE({1;2;3;4},G29,J29,M29,P29),3)</f>
        <v>23.25</v>
      </c>
      <c r="T29" s="7">
        <f>LARGE(CHOOSE({1;2;3;4},H29,K29,N29,Q29),1)+LARGE(CHOOSE({1;2;3;4},H29,K29,N29,Q29),2)+LARGE(CHOOSE({1;2;3;4},H29,K29,N29,Q29),3)</f>
        <v>33.85</v>
      </c>
      <c r="U29" s="4" cm="1">
        <f t="array" ref="U29">IF(PH[[#This Row],[Number_of_Competition]:[Number_of_Competition]]&gt;=3,(LARGE(CHOOSE({1;2;3;4},F29,I29,L29,O29),1)+LARGE(CHOOSE({1;2;3;4},F29,I29,L29,O29),2)+LARGE(CHOOSE({1;2;3;4},F29,I29,L29,O29),3))/3,0)</f>
        <v>3.6</v>
      </c>
      <c r="V29" s="7" cm="1">
        <f t="array" ref="V29">IF(PH[[#This Row],[Number_of_Competition]:[Number_of_Competition]]&gt;=3,(LARGE(CHOOSE({1;2;3;4},G29,J29,M29,P29),1)+LARGE(CHOOSE({1;2;3;4},G29,J29,M29,P29),2)+LARGE(CHOOSE({1;2;3;4},G29,J29,M29,P29),3))/3,0)</f>
        <v>7.75</v>
      </c>
      <c r="W29" s="7" cm="1">
        <f t="array" ref="W29">IF(PH[[#This Row],[Number_of_Competition]:[Number_of_Competition]]&gt;=3,(LARGE(CHOOSE({1;2;3;4},H29,K29,N29,Q29),1)+LARGE(CHOOSE({1;2;3;4},H29,K29,N29,Q29),2)+LARGE(CHOOSE({1;2;3;4},H29,K29,N29,Q29),3))/3,0)</f>
        <v>11.283333333333333</v>
      </c>
    </row>
    <row r="30" spans="1:25" x14ac:dyDescent="0.25">
      <c r="A30" t="s">
        <v>44</v>
      </c>
      <c r="B30" s="2" t="s">
        <v>26</v>
      </c>
      <c r="C30" s="2" t="s">
        <v>45</v>
      </c>
      <c r="D30" t="s">
        <v>39</v>
      </c>
      <c r="E30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0" s="4">
        <v>3</v>
      </c>
      <c r="G30" s="7">
        <v>8.6</v>
      </c>
      <c r="H30" s="7">
        <v>11.6</v>
      </c>
      <c r="I30" s="4">
        <v>3</v>
      </c>
      <c r="J30" s="7">
        <v>7.2</v>
      </c>
      <c r="K30" s="7">
        <v>10.199999999999999</v>
      </c>
      <c r="L30" s="4">
        <v>3</v>
      </c>
      <c r="M30" s="7">
        <v>5.75</v>
      </c>
      <c r="N30" s="7">
        <v>8.75</v>
      </c>
      <c r="O30" s="4">
        <v>2.8</v>
      </c>
      <c r="P30" s="7">
        <v>8.5</v>
      </c>
      <c r="Q30" s="7">
        <v>11.3</v>
      </c>
      <c r="R30" s="4">
        <f>LARGE(CHOOSE({1;2;3;4},F30,I30,L30,O30),1)+LARGE(CHOOSE({1;2;3;4},F30,I30,L30,O30),2)+LARGE(CHOOSE({1;2;3;4},F30,I30,L30,O30),3)</f>
        <v>9</v>
      </c>
      <c r="S30" s="7">
        <f>LARGE(CHOOSE({1;2;3;4},G30,J30,M30,P30),1)+LARGE(CHOOSE({1;2;3;4},G30,J30,M30,P30),2)+LARGE(CHOOSE({1;2;3;4},G30,J30,M30,P30),3)</f>
        <v>24.3</v>
      </c>
      <c r="T30" s="7">
        <f>LARGE(CHOOSE({1;2;3;4},H30,K30,N30,Q30),1)+LARGE(CHOOSE({1;2;3;4},H30,K30,N30,Q30),2)+LARGE(CHOOSE({1;2;3;4},H30,K30,N30,Q30),3)</f>
        <v>33.099999999999994</v>
      </c>
      <c r="U30" s="4" cm="1">
        <f t="array" ref="U30">IF(PH[[#This Row],[Number_of_Competition]:[Number_of_Competition]]&gt;=3,(LARGE(CHOOSE({1;2;3;4},F30,I30,L30,O30),1)+LARGE(CHOOSE({1;2;3;4},F30,I30,L30,O30),2)+LARGE(CHOOSE({1;2;3;4},F30,I30,L30,O30),3))/3,0)</f>
        <v>3</v>
      </c>
      <c r="V30" s="7" cm="1">
        <f t="array" ref="V30">IF(PH[[#This Row],[Number_of_Competition]:[Number_of_Competition]]&gt;=3,(LARGE(CHOOSE({1;2;3;4},G30,J30,M30,P30),1)+LARGE(CHOOSE({1;2;3;4},G30,J30,M30,P30),2)+LARGE(CHOOSE({1;2;3;4},G30,J30,M30,P30),3))/3,0)</f>
        <v>8.1</v>
      </c>
      <c r="W30" s="7" cm="1">
        <f t="array" ref="W30">IF(PH[[#This Row],[Number_of_Competition]:[Number_of_Competition]]&gt;=3,(LARGE(CHOOSE({1;2;3;4},H30,K30,N30,Q30),1)+LARGE(CHOOSE({1;2;3;4},H30,K30,N30,Q30),2)+LARGE(CHOOSE({1;2;3;4},H30,K30,N30,Q30),3))/3,0)</f>
        <v>11.033333333333331</v>
      </c>
    </row>
    <row r="31" spans="1:25" x14ac:dyDescent="0.25">
      <c r="A31" t="s">
        <v>40</v>
      </c>
      <c r="B31" s="2" t="s">
        <v>26</v>
      </c>
      <c r="C31" s="2" t="s">
        <v>41</v>
      </c>
      <c r="D31" t="s">
        <v>39</v>
      </c>
      <c r="E31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1" s="4">
        <v>0</v>
      </c>
      <c r="G31" s="7">
        <v>0</v>
      </c>
      <c r="H31" s="7">
        <v>0</v>
      </c>
      <c r="I31" s="4">
        <v>2.9</v>
      </c>
      <c r="J31" s="7">
        <v>7.2</v>
      </c>
      <c r="K31" s="7">
        <v>10.1</v>
      </c>
      <c r="L31" s="4">
        <v>2.9</v>
      </c>
      <c r="M31" s="7">
        <v>8.15</v>
      </c>
      <c r="N31" s="7">
        <v>11.05</v>
      </c>
      <c r="O31" s="4">
        <v>2.9</v>
      </c>
      <c r="P31" s="7">
        <v>8.1</v>
      </c>
      <c r="Q31" s="7">
        <v>11</v>
      </c>
      <c r="R31" s="4">
        <f>LARGE(CHOOSE({1;2;3;4},F31,I31,L31,O31),1)+LARGE(CHOOSE({1;2;3;4},F31,I31,L31,O31),2)+LARGE(CHOOSE({1;2;3;4},F31,I31,L31,O31),3)</f>
        <v>8.6999999999999993</v>
      </c>
      <c r="S31" s="7">
        <f>LARGE(CHOOSE({1;2;3;4},G31,J31,M31,P31),1)+LARGE(CHOOSE({1;2;3;4},G31,J31,M31,P31),2)+LARGE(CHOOSE({1;2;3;4},G31,J31,M31,P31),3)</f>
        <v>23.45</v>
      </c>
      <c r="T31" s="7">
        <f>LARGE(CHOOSE({1;2;3;4},H31,K31,N31,Q31),1)+LARGE(CHOOSE({1;2;3;4},H31,K31,N31,Q31),2)+LARGE(CHOOSE({1;2;3;4},H31,K31,N31,Q31),3)</f>
        <v>32.15</v>
      </c>
      <c r="U31" s="4" cm="1">
        <f t="array" ref="U31">IF(PH[[#This Row],[Number_of_Competition]:[Number_of_Competition]]&gt;=3,(LARGE(CHOOSE({1;2;3;4},F31,I31,L31,O31),1)+LARGE(CHOOSE({1;2;3;4},F31,I31,L31,O31),2)+LARGE(CHOOSE({1;2;3;4},F31,I31,L31,O31),3))/3,0)</f>
        <v>2.9</v>
      </c>
      <c r="V31" s="7" cm="1">
        <f t="array" ref="V31">IF(PH[[#This Row],[Number_of_Competition]:[Number_of_Competition]]&gt;=3,(LARGE(CHOOSE({1;2;3;4},G31,J31,M31,P31),1)+LARGE(CHOOSE({1;2;3;4},G31,J31,M31,P31),2)+LARGE(CHOOSE({1;2;3;4},G31,J31,M31,P31),3))/3,0)</f>
        <v>7.8166666666666664</v>
      </c>
      <c r="W31" s="7" cm="1">
        <f t="array" ref="W31">IF(PH[[#This Row],[Number_of_Competition]:[Number_of_Competition]]&gt;=3,(LARGE(CHOOSE({1;2;3;4},H31,K31,N31,Q31),1)+LARGE(CHOOSE({1;2;3;4},H31,K31,N31,Q31),2)+LARGE(CHOOSE({1;2;3;4},H31,K31,N31,Q31),3))/3,0)</f>
        <v>10.716666666666667</v>
      </c>
    </row>
    <row r="32" spans="1:25" x14ac:dyDescent="0.25">
      <c r="A32" t="s">
        <v>29</v>
      </c>
      <c r="B32" s="2" t="s">
        <v>26</v>
      </c>
      <c r="C32" s="2" t="s">
        <v>30</v>
      </c>
      <c r="D32" t="s">
        <v>31</v>
      </c>
      <c r="E32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2" s="4">
        <v>3.3</v>
      </c>
      <c r="G32" s="7">
        <v>6.65</v>
      </c>
      <c r="H32" s="7">
        <v>9.9499999999999993</v>
      </c>
      <c r="I32" s="4">
        <v>3.6</v>
      </c>
      <c r="J32" s="7">
        <v>8.35</v>
      </c>
      <c r="K32" s="7">
        <v>11.95</v>
      </c>
      <c r="L32" s="4">
        <v>0</v>
      </c>
      <c r="M32" s="7">
        <v>0</v>
      </c>
      <c r="N32" s="7">
        <v>0</v>
      </c>
      <c r="O32" s="4">
        <v>3.6</v>
      </c>
      <c r="P32" s="7">
        <v>6.3</v>
      </c>
      <c r="Q32" s="7">
        <v>9.9</v>
      </c>
      <c r="R32" s="4">
        <f>LARGE(CHOOSE({1;2;3;4},F32,I32,L32,O32),1)+LARGE(CHOOSE({1;2;3;4},F32,I32,L32,O32),2)+LARGE(CHOOSE({1;2;3;4},F32,I32,L32,O32),3)</f>
        <v>10.5</v>
      </c>
      <c r="S32" s="7">
        <f>LARGE(CHOOSE({1;2;3;4},G32,J32,M32,P32),1)+LARGE(CHOOSE({1;2;3;4},G32,J32,M32,P32),2)+LARGE(CHOOSE({1;2;3;4},G32,J32,M32,P32),3)</f>
        <v>21.3</v>
      </c>
      <c r="T32" s="7">
        <f>LARGE(CHOOSE({1;2;3;4},H32,K32,N32,Q32),1)+LARGE(CHOOSE({1;2;3;4},H32,K32,N32,Q32),2)+LARGE(CHOOSE({1;2;3;4},H32,K32,N32,Q32),3)</f>
        <v>31.799999999999997</v>
      </c>
      <c r="U32" s="4" cm="1">
        <f t="array" ref="U32">IF(PH[[#This Row],[Number_of_Competition]:[Number_of_Competition]]&gt;=3,(LARGE(CHOOSE({1;2;3;4},F32,I32,L32,O32),1)+LARGE(CHOOSE({1;2;3;4},F32,I32,L32,O32),2)+LARGE(CHOOSE({1;2;3;4},F32,I32,L32,O32),3))/3,0)</f>
        <v>3.5</v>
      </c>
      <c r="V32" s="7" cm="1">
        <f t="array" ref="V32">IF(PH[[#This Row],[Number_of_Competition]:[Number_of_Competition]]&gt;=3,(LARGE(CHOOSE({1;2;3;4},G32,J32,M32,P32),1)+LARGE(CHOOSE({1;2;3;4},G32,J32,M32,P32),2)+LARGE(CHOOSE({1;2;3;4},G32,J32,M32,P32),3))/3,0)</f>
        <v>7.1000000000000005</v>
      </c>
      <c r="W32" s="7" cm="1">
        <f t="array" ref="W32">IF(PH[[#This Row],[Number_of_Competition]:[Number_of_Competition]]&gt;=3,(LARGE(CHOOSE({1;2;3;4},H32,K32,N32,Q32),1)+LARGE(CHOOSE({1;2;3;4},H32,K32,N32,Q32),2)+LARGE(CHOOSE({1;2;3;4},H32,K32,N32,Q32),3))/3,0)</f>
        <v>10.6</v>
      </c>
    </row>
    <row r="33" spans="1:23" x14ac:dyDescent="0.25">
      <c r="A33" t="s">
        <v>42</v>
      </c>
      <c r="B33" s="2" t="s">
        <v>26</v>
      </c>
      <c r="C33" s="2" t="s">
        <v>43</v>
      </c>
      <c r="D33" t="s">
        <v>36</v>
      </c>
      <c r="E33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3" s="4">
        <v>2.6</v>
      </c>
      <c r="G33" s="7">
        <v>7.7</v>
      </c>
      <c r="H33" s="7">
        <v>10.3</v>
      </c>
      <c r="I33" s="4">
        <v>2.6</v>
      </c>
      <c r="J33" s="7">
        <v>8.5500000000000007</v>
      </c>
      <c r="K33" s="7">
        <v>11.15</v>
      </c>
      <c r="L33" s="4">
        <v>2.6</v>
      </c>
      <c r="M33" s="7">
        <v>7.65</v>
      </c>
      <c r="N33" s="7">
        <v>10.25</v>
      </c>
      <c r="O33" s="4">
        <v>2.6</v>
      </c>
      <c r="P33" s="7">
        <v>7.2</v>
      </c>
      <c r="Q33" s="7">
        <v>9.8000000000000007</v>
      </c>
      <c r="R33" s="4">
        <f>LARGE(CHOOSE({1;2;3;4},F33,I33,L33,O33),1)+LARGE(CHOOSE({1;2;3;4},F33,I33,L33,O33),2)+LARGE(CHOOSE({1;2;3;4},F33,I33,L33,O33),3)</f>
        <v>7.8000000000000007</v>
      </c>
      <c r="S33" s="7">
        <f>LARGE(CHOOSE({1;2;3;4},G33,J33,M33,P33),1)+LARGE(CHOOSE({1;2;3;4},G33,J33,M33,P33),2)+LARGE(CHOOSE({1;2;3;4},G33,J33,M33,P33),3)</f>
        <v>23.9</v>
      </c>
      <c r="T33" s="7">
        <f>LARGE(CHOOSE({1;2;3;4},H33,K33,N33,Q33),1)+LARGE(CHOOSE({1;2;3;4},H33,K33,N33,Q33),2)+LARGE(CHOOSE({1;2;3;4},H33,K33,N33,Q33),3)</f>
        <v>31.700000000000003</v>
      </c>
      <c r="U33" s="4" cm="1">
        <f t="array" ref="U33">IF(PH[[#This Row],[Number_of_Competition]:[Number_of_Competition]]&gt;=3,(LARGE(CHOOSE({1;2;3;4},F33,I33,L33,O33),1)+LARGE(CHOOSE({1;2;3;4},F33,I33,L33,O33),2)+LARGE(CHOOSE({1;2;3;4},F33,I33,L33,O33),3))/3,0)</f>
        <v>2.6</v>
      </c>
      <c r="V33" s="7" cm="1">
        <f t="array" ref="V33">IF(PH[[#This Row],[Number_of_Competition]:[Number_of_Competition]]&gt;=3,(LARGE(CHOOSE({1;2;3;4},G33,J33,M33,P33),1)+LARGE(CHOOSE({1;2;3;4},G33,J33,M33,P33),2)+LARGE(CHOOSE({1;2;3;4},G33,J33,M33,P33),3))/3,0)</f>
        <v>7.9666666666666659</v>
      </c>
      <c r="W33" s="7" cm="1">
        <f t="array" ref="W33">IF(PH[[#This Row],[Number_of_Competition]:[Number_of_Competition]]&gt;=3,(LARGE(CHOOSE({1;2;3;4},H33,K33,N33,Q33),1)+LARGE(CHOOSE({1;2;3;4},H33,K33,N33,Q33),2)+LARGE(CHOOSE({1;2;3;4},H33,K33,N33,Q33),3))/3,0)</f>
        <v>10.566666666666668</v>
      </c>
    </row>
    <row r="34" spans="1:23" x14ac:dyDescent="0.25">
      <c r="A34" t="s">
        <v>114</v>
      </c>
      <c r="B34" s="2" t="s">
        <v>26</v>
      </c>
      <c r="C34" s="2" t="s">
        <v>115</v>
      </c>
      <c r="D34" t="s">
        <v>36</v>
      </c>
      <c r="E34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4" s="4">
        <v>2.6</v>
      </c>
      <c r="G34" s="7">
        <v>4.9000000000000004</v>
      </c>
      <c r="H34" s="7">
        <v>7.5</v>
      </c>
      <c r="I34" s="4">
        <v>0</v>
      </c>
      <c r="J34" s="7">
        <v>0</v>
      </c>
      <c r="K34" s="7">
        <v>0</v>
      </c>
      <c r="L34" s="4">
        <v>2.6</v>
      </c>
      <c r="M34" s="7">
        <v>7.65</v>
      </c>
      <c r="N34" s="7">
        <v>10.25</v>
      </c>
      <c r="O34" s="4">
        <v>2.6</v>
      </c>
      <c r="P34" s="7">
        <v>6.5</v>
      </c>
      <c r="Q34" s="7">
        <v>9.1</v>
      </c>
      <c r="R34" s="4">
        <f>LARGE(CHOOSE({1;2;3;4},F34,I34,L34,O34),1)+LARGE(CHOOSE({1;2;3;4},F34,I34,L34,O34),2)+LARGE(CHOOSE({1;2;3;4},F34,I34,L34,O34),3)</f>
        <v>7.8000000000000007</v>
      </c>
      <c r="S34" s="7">
        <f>LARGE(CHOOSE({1;2;3;4},G34,J34,M34,P34),1)+LARGE(CHOOSE({1;2;3;4},G34,J34,M34,P34),2)+LARGE(CHOOSE({1;2;3;4},G34,J34,M34,P34),3)</f>
        <v>19.05</v>
      </c>
      <c r="T34" s="7">
        <f>LARGE(CHOOSE({1;2;3;4},H34,K34,N34,Q34),1)+LARGE(CHOOSE({1;2;3;4},H34,K34,N34,Q34),2)+LARGE(CHOOSE({1;2;3;4},H34,K34,N34,Q34),3)</f>
        <v>26.85</v>
      </c>
      <c r="U34" s="4" cm="1">
        <f t="array" ref="U34">IF(PH[[#This Row],[Number_of_Competition]:[Number_of_Competition]]&gt;=3,(LARGE(CHOOSE({1;2;3;4},F34,I34,L34,O34),1)+LARGE(CHOOSE({1;2;3;4},F34,I34,L34,O34),2)+LARGE(CHOOSE({1;2;3;4},F34,I34,L34,O34),3))/3,0)</f>
        <v>2.6</v>
      </c>
      <c r="V34" s="7" cm="1">
        <f t="array" ref="V34">IF(PH[[#This Row],[Number_of_Competition]:[Number_of_Competition]]&gt;=3,(LARGE(CHOOSE({1;2;3;4},G34,J34,M34,P34),1)+LARGE(CHOOSE({1;2;3;4},G34,J34,M34,P34),2)+LARGE(CHOOSE({1;2;3;4},G34,J34,M34,P34),3))/3,0)</f>
        <v>6.3500000000000005</v>
      </c>
      <c r="W34" s="7" cm="1">
        <f t="array" ref="W34">IF(PH[[#This Row],[Number_of_Competition]:[Number_of_Competition]]&gt;=3,(LARGE(CHOOSE({1;2;3;4},H34,K34,N34,Q34),1)+LARGE(CHOOSE({1;2;3;4},H34,K34,N34,Q34),2)+LARGE(CHOOSE({1;2;3;4},H34,K34,N34,Q34),3))/3,0)</f>
        <v>8.9500000000000011</v>
      </c>
    </row>
    <row r="35" spans="1:23" x14ac:dyDescent="0.25">
      <c r="A35" t="s">
        <v>52</v>
      </c>
      <c r="B35" s="2" t="s">
        <v>26</v>
      </c>
      <c r="C35" s="2" t="s">
        <v>53</v>
      </c>
      <c r="D35" t="s">
        <v>36</v>
      </c>
      <c r="E35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5" s="4">
        <v>2.1</v>
      </c>
      <c r="G35" s="7">
        <v>4.5</v>
      </c>
      <c r="H35" s="7">
        <v>6.6</v>
      </c>
      <c r="I35" s="4">
        <v>2.2000000000000002</v>
      </c>
      <c r="J35" s="7">
        <v>6.5</v>
      </c>
      <c r="K35" s="7">
        <v>8.6999999999999993</v>
      </c>
      <c r="L35" s="4">
        <v>2.2000000000000002</v>
      </c>
      <c r="M35" s="7">
        <v>6.2</v>
      </c>
      <c r="N35" s="7">
        <v>8.4</v>
      </c>
      <c r="O35" s="4">
        <v>2</v>
      </c>
      <c r="P35" s="7">
        <v>3.5</v>
      </c>
      <c r="Q35" s="7">
        <v>5.5</v>
      </c>
      <c r="R35" s="4">
        <f>LARGE(CHOOSE({1;2;3;4},F35,I35,L35,O35),1)+LARGE(CHOOSE({1;2;3;4},F35,I35,L35,O35),2)+LARGE(CHOOSE({1;2;3;4},F35,I35,L35,O35),3)</f>
        <v>6.5</v>
      </c>
      <c r="S35" s="7">
        <f>LARGE(CHOOSE({1;2;3;4},G35,J35,M35,P35),1)+LARGE(CHOOSE({1;2;3;4},G35,J35,M35,P35),2)+LARGE(CHOOSE({1;2;3;4},G35,J35,M35,P35),3)</f>
        <v>17.2</v>
      </c>
      <c r="T35" s="7">
        <f>LARGE(CHOOSE({1;2;3;4},H35,K35,N35,Q35),1)+LARGE(CHOOSE({1;2;3;4},H35,K35,N35,Q35),2)+LARGE(CHOOSE({1;2;3;4},H35,K35,N35,Q35),3)</f>
        <v>23.700000000000003</v>
      </c>
      <c r="U35" s="4" cm="1">
        <f t="array" ref="U35">IF(PH[[#This Row],[Number_of_Competition]:[Number_of_Competition]]&gt;=3,(LARGE(CHOOSE({1;2;3;4},F35,I35,L35,O35),1)+LARGE(CHOOSE({1;2;3;4},F35,I35,L35,O35),2)+LARGE(CHOOSE({1;2;3;4},F35,I35,L35,O35),3))/3,0)</f>
        <v>2.1666666666666665</v>
      </c>
      <c r="V35" s="7" cm="1">
        <f t="array" ref="V35">IF(PH[[#This Row],[Number_of_Competition]:[Number_of_Competition]]&gt;=3,(LARGE(CHOOSE({1;2;3;4},G35,J35,M35,P35),1)+LARGE(CHOOSE({1;2;3;4},G35,J35,M35,P35),2)+LARGE(CHOOSE({1;2;3;4},G35,J35,M35,P35),3))/3,0)</f>
        <v>5.7333333333333334</v>
      </c>
      <c r="W35" s="7" cm="1">
        <f t="array" ref="W35">IF(PH[[#This Row],[Number_of_Competition]:[Number_of_Competition]]&gt;=3,(LARGE(CHOOSE({1;2;3;4},H35,K35,N35,Q35),1)+LARGE(CHOOSE({1;2;3;4},H35,K35,N35,Q35),2)+LARGE(CHOOSE({1;2;3;4},H35,K35,N35,Q35),3))/3,0)</f>
        <v>7.9000000000000012</v>
      </c>
    </row>
    <row r="36" spans="1:23" x14ac:dyDescent="0.25">
      <c r="A36" t="s">
        <v>48</v>
      </c>
      <c r="B36" s="2" t="s">
        <v>26</v>
      </c>
      <c r="C36" s="2" t="s">
        <v>49</v>
      </c>
      <c r="D36" t="s">
        <v>36</v>
      </c>
      <c r="E36" s="9">
        <f>COUNTIF(PH[[#This Row],[bydgoszcz_PH_Total_Score]],"&gt;0")+COUNTIF(PH[[#This Row],[zabrze_PH_Total_Score]],"&gt;0")+COUNTIF(PH[[#This Row],[cracow_PH_Total_Score]],"&gt;0")+COUNTIF(PH[[#This Row],[gdansk_PH_Total_Score]],"&gt;0")</f>
        <v>4</v>
      </c>
      <c r="F36" s="4">
        <v>2.8</v>
      </c>
      <c r="G36" s="7">
        <v>4</v>
      </c>
      <c r="H36" s="7">
        <v>6.8</v>
      </c>
      <c r="I36" s="4">
        <v>2.7</v>
      </c>
      <c r="J36" s="7">
        <v>1.95</v>
      </c>
      <c r="K36" s="7">
        <v>4.6500000000000004</v>
      </c>
      <c r="L36" s="4">
        <v>2.2000000000000002</v>
      </c>
      <c r="M36" s="7">
        <v>4.95</v>
      </c>
      <c r="N36" s="7">
        <v>7.15</v>
      </c>
      <c r="O36" s="4">
        <v>2.6</v>
      </c>
      <c r="P36" s="7">
        <v>7</v>
      </c>
      <c r="Q36" s="7">
        <v>9.6</v>
      </c>
      <c r="R36" s="4">
        <f>LARGE(CHOOSE({1;2;3;4},F36,I36,L36,O36),1)+LARGE(CHOOSE({1;2;3;4},F36,I36,L36,O36),2)+LARGE(CHOOSE({1;2;3;4},F36,I36,L36,O36),3)</f>
        <v>8.1</v>
      </c>
      <c r="S36" s="7">
        <f>LARGE(CHOOSE({1;2;3;4},G36,J36,M36,P36),1)+LARGE(CHOOSE({1;2;3;4},G36,J36,M36,P36),2)+LARGE(CHOOSE({1;2;3;4},G36,J36,M36,P36),3)</f>
        <v>15.95</v>
      </c>
      <c r="T36" s="7">
        <f>LARGE(CHOOSE({1;2;3;4},H36,K36,N36,Q36),1)+LARGE(CHOOSE({1;2;3;4},H36,K36,N36,Q36),2)+LARGE(CHOOSE({1;2;3;4},H36,K36,N36,Q36),3)</f>
        <v>23.55</v>
      </c>
      <c r="U36" s="4" cm="1">
        <f t="array" ref="U36">IF(PH[[#This Row],[Number_of_Competition]:[Number_of_Competition]]&gt;=3,(LARGE(CHOOSE({1;2;3;4},F36,I36,L36,O36),1)+LARGE(CHOOSE({1;2;3;4},F36,I36,L36,O36),2)+LARGE(CHOOSE({1;2;3;4},F36,I36,L36,O36),3))/3,0)</f>
        <v>2.6999999999999997</v>
      </c>
      <c r="V36" s="7" cm="1">
        <f t="array" ref="V36">IF(PH[[#This Row],[Number_of_Competition]:[Number_of_Competition]]&gt;=3,(LARGE(CHOOSE({1;2;3;4},G36,J36,M36,P36),1)+LARGE(CHOOSE({1;2;3;4},G36,J36,M36,P36),2)+LARGE(CHOOSE({1;2;3;4},G36,J36,M36,P36),3))/3,0)</f>
        <v>5.3166666666666664</v>
      </c>
      <c r="W36" s="7" cm="1">
        <f t="array" ref="W36">IF(PH[[#This Row],[Number_of_Competition]:[Number_of_Competition]]&gt;=3,(LARGE(CHOOSE({1;2;3;4},H36,K36,N36,Q36),1)+LARGE(CHOOSE({1;2;3;4},H36,K36,N36,Q36),2)+LARGE(CHOOSE({1;2;3;4},H36,K36,N36,Q36),3))/3,0)</f>
        <v>7.8500000000000005</v>
      </c>
    </row>
    <row r="37" spans="1:23" x14ac:dyDescent="0.25">
      <c r="A37" t="s">
        <v>46</v>
      </c>
      <c r="B37" s="2" t="s">
        <v>26</v>
      </c>
      <c r="C37" s="2" t="s">
        <v>47</v>
      </c>
      <c r="D37" t="s">
        <v>36</v>
      </c>
      <c r="E37" s="9">
        <f>COUNTIF(PH[[#This Row],[bydgoszcz_PH_Total_Score]],"&gt;0")+COUNTIF(PH[[#This Row],[zabrze_PH_Total_Score]],"&gt;0")+COUNTIF(PH[[#This Row],[cracow_PH_Total_Score]],"&gt;0")+COUNTIF(PH[[#This Row],[gdansk_PH_Total_Score]],"&gt;0")</f>
        <v>3</v>
      </c>
      <c r="F37" s="4">
        <v>0</v>
      </c>
      <c r="G37" s="7">
        <v>0</v>
      </c>
      <c r="H37" s="7">
        <v>0</v>
      </c>
      <c r="I37" s="4">
        <v>2.2000000000000002</v>
      </c>
      <c r="J37" s="7">
        <v>5.75</v>
      </c>
      <c r="K37" s="7">
        <v>7.95</v>
      </c>
      <c r="L37" s="4">
        <v>2.2000000000000002</v>
      </c>
      <c r="M37" s="7">
        <v>2.75</v>
      </c>
      <c r="N37" s="7">
        <v>4.95</v>
      </c>
      <c r="O37" s="4">
        <v>2.5</v>
      </c>
      <c r="P37" s="7">
        <v>5.5</v>
      </c>
      <c r="Q37" s="7">
        <v>8</v>
      </c>
      <c r="R37" s="4">
        <f>LARGE(CHOOSE({1;2;3;4},F37,I37,L37,O37),1)+LARGE(CHOOSE({1;2;3;4},F37,I37,L37,O37),2)+LARGE(CHOOSE({1;2;3;4},F37,I37,L37,O37),3)</f>
        <v>6.9</v>
      </c>
      <c r="S37" s="7">
        <f>LARGE(CHOOSE({1;2;3;4},G37,J37,M37,P37),1)+LARGE(CHOOSE({1;2;3;4},G37,J37,M37,P37),2)+LARGE(CHOOSE({1;2;3;4},G37,J37,M37,P37),3)</f>
        <v>14</v>
      </c>
      <c r="T37" s="7">
        <f>LARGE(CHOOSE({1;2;3;4},H37,K37,N37,Q37),1)+LARGE(CHOOSE({1;2;3;4},H37,K37,N37,Q37),2)+LARGE(CHOOSE({1;2;3;4},H37,K37,N37,Q37),3)</f>
        <v>20.9</v>
      </c>
      <c r="U37" s="4" cm="1">
        <f t="array" ref="U37">IF(PH[[#This Row],[Number_of_Competition]:[Number_of_Competition]]&gt;=3,(LARGE(CHOOSE({1;2;3;4},F37,I37,L37,O37),1)+LARGE(CHOOSE({1;2;3;4},F37,I37,L37,O37),2)+LARGE(CHOOSE({1;2;3;4},F37,I37,L37,O37),3))/3,0)</f>
        <v>2.3000000000000003</v>
      </c>
      <c r="V37" s="7" cm="1">
        <f t="array" ref="V37">IF(PH[[#This Row],[Number_of_Competition]:[Number_of_Competition]]&gt;=3,(LARGE(CHOOSE({1;2;3;4},G37,J37,M37,P37),1)+LARGE(CHOOSE({1;2;3;4},G37,J37,M37,P37),2)+LARGE(CHOOSE({1;2;3;4},G37,J37,M37,P37),3))/3,0)</f>
        <v>4.666666666666667</v>
      </c>
      <c r="W37" s="7" cm="1">
        <f t="array" ref="W37">IF(PH[[#This Row],[Number_of_Competition]:[Number_of_Competition]]&gt;=3,(LARGE(CHOOSE({1;2;3;4},H37,K37,N37,Q37),1)+LARGE(CHOOSE({1;2;3;4},H37,K37,N37,Q37),2)+LARGE(CHOOSE({1;2;3;4},H37,K37,N37,Q37),3))/3,0)</f>
        <v>6.9666666666666659</v>
      </c>
    </row>
    <row r="38" spans="1:23" x14ac:dyDescent="0.25">
      <c r="A38" t="s">
        <v>112</v>
      </c>
      <c r="B38" s="2" t="s">
        <v>26</v>
      </c>
      <c r="C38" s="2" t="s">
        <v>113</v>
      </c>
      <c r="D38" t="s">
        <v>31</v>
      </c>
      <c r="E38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38" s="4">
        <v>3.1</v>
      </c>
      <c r="G38" s="7">
        <v>7.65</v>
      </c>
      <c r="H38" s="7">
        <v>10.75</v>
      </c>
      <c r="I38" s="4">
        <v>0</v>
      </c>
      <c r="J38" s="7">
        <v>0</v>
      </c>
      <c r="K38" s="7">
        <v>0</v>
      </c>
      <c r="L38" s="4">
        <v>0</v>
      </c>
      <c r="M38" s="7">
        <v>0</v>
      </c>
      <c r="N38" s="7">
        <v>0</v>
      </c>
      <c r="O38" s="4">
        <v>2.7</v>
      </c>
      <c r="P38" s="7">
        <v>6</v>
      </c>
      <c r="Q38" s="7">
        <v>8.6999999999999993</v>
      </c>
      <c r="R38" s="4">
        <f>LARGE(CHOOSE({1;2;3;4},F38,I38,L38,O38),1)+LARGE(CHOOSE({1;2;3;4},F38,I38,L38,O38),2)+LARGE(CHOOSE({1;2;3;4},F38,I38,L38,O38),3)</f>
        <v>5.8000000000000007</v>
      </c>
      <c r="S38" s="7">
        <f>LARGE(CHOOSE({1;2;3;4},G38,J38,M38,P38),1)+LARGE(CHOOSE({1;2;3;4},G38,J38,M38,P38),2)+LARGE(CHOOSE({1;2;3;4},G38,J38,M38,P38),3)</f>
        <v>13.65</v>
      </c>
      <c r="T38" s="7">
        <f>LARGE(CHOOSE({1;2;3;4},H38,K38,N38,Q38),1)+LARGE(CHOOSE({1;2;3;4},H38,K38,N38,Q38),2)+LARGE(CHOOSE({1;2;3;4},H38,K38,N38,Q38),3)</f>
        <v>19.45</v>
      </c>
      <c r="U38" s="4" cm="1">
        <f t="array" ref="U38">IF(PH[[#This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IF(PH[[#This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IF(PH[[#This Row],[Number_of_Competition]:[Number_of_Competition]]&gt;=3,(LARGE(CHOOSE({1;2;3;4},H38,K38,N38,Q38),1)+LARGE(CHOOSE({1;2;3;4},H38,K38,N38,Q38),2)+LARGE(CHOOSE({1;2;3;4},H38,K38,N38,Q38),3))/3,0)</f>
        <v>0</v>
      </c>
    </row>
    <row r="39" spans="1:23" x14ac:dyDescent="0.25">
      <c r="A39" t="s">
        <v>120</v>
      </c>
      <c r="B39" s="2" t="s">
        <v>26</v>
      </c>
      <c r="C39" s="2" t="s">
        <v>121</v>
      </c>
      <c r="D39" t="s">
        <v>39</v>
      </c>
      <c r="E39" s="9">
        <f>COUNTIF(PH[[#This Row],[bydgoszcz_PH_Total_Score]],"&gt;0")+COUNTIF(PH[[#This Row],[zabrze_PH_Total_Score]],"&gt;0")+COUNTIF(PH[[#This Row],[cracow_PH_Total_Score]],"&gt;0")+COUNTIF(PH[[#This Row],[gdansk_PH_Total_Score]],"&gt;0")</f>
        <v>2</v>
      </c>
      <c r="F39" s="4">
        <v>2.6</v>
      </c>
      <c r="G39" s="7">
        <v>4.4000000000000004</v>
      </c>
      <c r="H39" s="7">
        <v>7</v>
      </c>
      <c r="I39" s="4">
        <v>0</v>
      </c>
      <c r="J39" s="7">
        <v>0</v>
      </c>
      <c r="K39" s="7">
        <v>0</v>
      </c>
      <c r="L39" s="4">
        <v>2.4</v>
      </c>
      <c r="M39" s="7">
        <v>5.7</v>
      </c>
      <c r="N39" s="7">
        <v>8.1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5</v>
      </c>
      <c r="S39" s="7">
        <f>LARGE(CHOOSE({1;2;3;4},G39,J39,M39,P39),1)+LARGE(CHOOSE({1;2;3;4},G39,J39,M39,P39),2)+LARGE(CHOOSE({1;2;3;4},G39,J39,M39,P39),3)</f>
        <v>10.100000000000001</v>
      </c>
      <c r="T39" s="7">
        <f>LARGE(CHOOSE({1;2;3;4},H39,K39,N39,Q39),1)+LARGE(CHOOSE({1;2;3;4},H39,K39,N39,Q39),2)+LARGE(CHOOSE({1;2;3;4},H39,K39,N39,Q39),3)</f>
        <v>15.1</v>
      </c>
      <c r="U39" s="4" cm="1">
        <f t="array" ref="U39">IF(PH[[#This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IF(PH[[#This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IF(PH[[#This Row],[Number_of_Competition]:[Number_of_Competition]]&gt;=3,(LARGE(CHOOSE({1;2;3;4},H39,K39,N39,Q39),1)+LARGE(CHOOSE({1;2;3;4},H39,K39,N39,Q39),2)+LARGE(CHOOSE({1;2;3;4},H39,K39,N39,Q39),3))/3,0)</f>
        <v>0</v>
      </c>
    </row>
    <row r="40" spans="1:23" x14ac:dyDescent="0.25">
      <c r="A40" t="s">
        <v>132</v>
      </c>
      <c r="B40" s="2" t="s">
        <v>26</v>
      </c>
      <c r="C40" s="2" t="s">
        <v>133</v>
      </c>
      <c r="D40" t="s">
        <v>39</v>
      </c>
      <c r="E40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0" s="4">
        <v>3</v>
      </c>
      <c r="G40" s="7">
        <v>7.6</v>
      </c>
      <c r="H40" s="7">
        <v>10.6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3</v>
      </c>
      <c r="S40" s="7">
        <f>LARGE(CHOOSE({1;2;3;4},G40,J40,M40,P40),1)+LARGE(CHOOSE({1;2;3;4},G40,J40,M40,P40),2)+LARGE(CHOOSE({1;2;3;4},G40,J40,M40,P40),3)</f>
        <v>7.6</v>
      </c>
      <c r="T40" s="7">
        <f>LARGE(CHOOSE({1;2;3;4},H40,K40,N40,Q40),1)+LARGE(CHOOSE({1;2;3;4},H40,K40,N40,Q40),2)+LARGE(CHOOSE({1;2;3;4},H40,K40,N40,Q40),3)</f>
        <v>10.6</v>
      </c>
      <c r="U40" s="4" cm="1">
        <f t="array" ref="U40">IF(PH[[#This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IF(PH[[#This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IF(PH[[#This Row],[Number_of_Competition]:[Number_of_Competition]]&gt;=3,(LARGE(CHOOSE({1;2;3;4},H40,K40,N40,Q40),1)+LARGE(CHOOSE({1;2;3;4},H40,K40,N40,Q40),2)+LARGE(CHOOSE({1;2;3;4},H40,K40,N40,Q40),3))/3,0)</f>
        <v>0</v>
      </c>
    </row>
    <row r="41" spans="1:23" x14ac:dyDescent="0.25">
      <c r="A41" t="s">
        <v>57</v>
      </c>
      <c r="B41" s="2" t="s">
        <v>26</v>
      </c>
      <c r="C41" s="2" t="s">
        <v>58</v>
      </c>
      <c r="D41" t="s">
        <v>36</v>
      </c>
      <c r="E41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1" s="4">
        <v>2.6</v>
      </c>
      <c r="G41" s="7">
        <v>6</v>
      </c>
      <c r="H41" s="7">
        <v>8.6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2.6</v>
      </c>
      <c r="S41" s="7">
        <f>LARGE(CHOOSE({1;2;3;4},G41,J41,M41,P41),1)+LARGE(CHOOSE({1;2;3;4},G41,J41,M41,P41),2)+LARGE(CHOOSE({1;2;3;4},G41,J41,M41,P41),3)</f>
        <v>6</v>
      </c>
      <c r="T41" s="7">
        <f>LARGE(CHOOSE({1;2;3;4},H41,K41,N41,Q41),1)+LARGE(CHOOSE({1;2;3;4},H41,K41,N41,Q41),2)+LARGE(CHOOSE({1;2;3;4},H41,K41,N41,Q41),3)</f>
        <v>8.6</v>
      </c>
      <c r="U41" s="4" cm="1">
        <f t="array" ref="U41">IF(PH[[#This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IF(PH[[#This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IF(PH[[#This Row],[Number_of_Competition]:[Number_of_Competition]]&gt;=3,(LARGE(CHOOSE({1;2;3;4},H41,K41,N41,Q41),1)+LARGE(CHOOSE({1;2;3;4},H41,K41,N41,Q41),2)+LARGE(CHOOSE({1;2;3;4},H41,K41,N41,Q41),3))/3,0)</f>
        <v>0</v>
      </c>
    </row>
    <row r="42" spans="1:23" x14ac:dyDescent="0.25">
      <c r="A42" t="s">
        <v>139</v>
      </c>
      <c r="B42" s="2" t="s">
        <v>26</v>
      </c>
      <c r="C42" s="2" t="s">
        <v>140</v>
      </c>
      <c r="D42" t="s">
        <v>124</v>
      </c>
      <c r="E42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2" s="4">
        <v>1.5</v>
      </c>
      <c r="G42" s="7">
        <v>0</v>
      </c>
      <c r="H42" s="7">
        <v>1.5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1.5</v>
      </c>
      <c r="S42" s="7">
        <f>LARGE(CHOOSE({1;2;3;4},G42,J42,M42,P42),1)+LARGE(CHOOSE({1;2;3;4},G42,J42,M42,P42),2)+LARGE(CHOOSE({1;2;3;4},G42,J42,M42,P42),3)</f>
        <v>0</v>
      </c>
      <c r="T42" s="7">
        <f>LARGE(CHOOSE({1;2;3;4},H42,K42,N42,Q42),1)+LARGE(CHOOSE({1;2;3;4},H42,K42,N42,Q42),2)+LARGE(CHOOSE({1;2;3;4},H42,K42,N42,Q42),3)</f>
        <v>1.5</v>
      </c>
      <c r="U42" s="4" cm="1">
        <f t="array" ref="U42">IF(PH[[#This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IF(PH[[#This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IF(PH[[#This Row],[Number_of_Competition]:[Number_of_Competition]]&gt;=3,(LARGE(CHOOSE({1;2;3;4},H42,K42,N42,Q42),1)+LARGE(CHOOSE({1;2;3;4},H42,K42,N42,Q42),2)+LARGE(CHOOSE({1;2;3;4},H42,K42,N42,Q42),3))/3,0)</f>
        <v>0</v>
      </c>
    </row>
    <row r="43" spans="1:23" x14ac:dyDescent="0.25">
      <c r="A43" t="s">
        <v>135</v>
      </c>
      <c r="B43" s="2" t="s">
        <v>26</v>
      </c>
      <c r="C43" s="2" t="s">
        <v>136</v>
      </c>
      <c r="D43" t="s">
        <v>124</v>
      </c>
      <c r="E43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3" s="4">
        <v>1.3</v>
      </c>
      <c r="G43" s="7">
        <v>0</v>
      </c>
      <c r="H43" s="7">
        <v>1.3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1.3</v>
      </c>
      <c r="S43" s="7">
        <f>LARGE(CHOOSE({1;2;3;4},G43,J43,M43,P43),1)+LARGE(CHOOSE({1;2;3;4},G43,J43,M43,P43),2)+LARGE(CHOOSE({1;2;3;4},G43,J43,M43,P43),3)</f>
        <v>0</v>
      </c>
      <c r="T43" s="7">
        <f>LARGE(CHOOSE({1;2;3;4},H43,K43,N43,Q43),1)+LARGE(CHOOSE({1;2;3;4},H43,K43,N43,Q43),2)+LARGE(CHOOSE({1;2;3;4},H43,K43,N43,Q43),3)</f>
        <v>1.3</v>
      </c>
      <c r="U43" s="4" cm="1">
        <f t="array" ref="U43">IF(PH[[#This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IF(PH[[#This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IF(PH[[#This Row],[Number_of_Competition]:[Number_of_Competition]]&gt;=3,(LARGE(CHOOSE({1;2;3;4},H43,K43,N43,Q43),1)+LARGE(CHOOSE({1;2;3;4},H43,K43,N43,Q43),2)+LARGE(CHOOSE({1;2;3;4},H43,K43,N43,Q43),3))/3,0)</f>
        <v>0</v>
      </c>
    </row>
    <row r="44" spans="1:23" x14ac:dyDescent="0.25">
      <c r="A44" t="s">
        <v>137</v>
      </c>
      <c r="B44" s="2" t="s">
        <v>26</v>
      </c>
      <c r="C44" s="2" t="s">
        <v>138</v>
      </c>
      <c r="D44" t="s">
        <v>124</v>
      </c>
      <c r="E44" s="9">
        <f>COUNTIF(PH[[#This Row],[bydgoszcz_PH_Total_Score]],"&gt;0")+COUNTIF(PH[[#This Row],[zabrze_PH_Total_Score]],"&gt;0")+COUNTIF(PH[[#This Row],[cracow_PH_Total_Score]],"&gt;0")+COUNTIF(PH[[#This Row],[gdansk_PH_Total_Score]],"&gt;0")</f>
        <v>1</v>
      </c>
      <c r="F44" s="4">
        <v>0.6</v>
      </c>
      <c r="G44" s="7">
        <v>0</v>
      </c>
      <c r="H44" s="7">
        <v>0.6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0.6</v>
      </c>
      <c r="S44" s="7">
        <f>LARGE(CHOOSE({1;2;3;4},G44,J44,M44,P44),1)+LARGE(CHOOSE({1;2;3;4},G44,J44,M44,P44),2)+LARGE(CHOOSE({1;2;3;4},G44,J44,M44,P44),3)</f>
        <v>0</v>
      </c>
      <c r="T44" s="7">
        <f>LARGE(CHOOSE({1;2;3;4},H44,K44,N44,Q44),1)+LARGE(CHOOSE({1;2;3;4},H44,K44,N44,Q44),2)+LARGE(CHOOSE({1;2;3;4},H44,K44,N44,Q44),3)</f>
        <v>0.6</v>
      </c>
      <c r="U44" s="4" cm="1">
        <f t="array" ref="U44">IF(PH[[#This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IF(PH[[#This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IF(PH[[#This Row],[Number_of_Competition]:[Number_of_Competition]]&gt;=3,(LARGE(CHOOSE({1;2;3;4},H44,K44,N44,Q44),1)+LARGE(CHOOSE({1;2;3;4},H44,K44,N44,Q44),2)+LARGE(CHOOSE({1;2;3;4},H44,K44,N44,Q44),3))/3,0)</f>
        <v>0</v>
      </c>
    </row>
    <row r="45" spans="1:23" x14ac:dyDescent="0.25">
      <c r="F45" s="4"/>
      <c r="G45" s="7"/>
      <c r="H45" s="7"/>
      <c r="I45" s="4"/>
      <c r="J45" s="7"/>
      <c r="K45" s="7"/>
      <c r="L45" s="4"/>
      <c r="M45" s="7"/>
      <c r="N45" s="7"/>
      <c r="O45" s="4"/>
      <c r="P45" s="7"/>
      <c r="Q45" s="7"/>
      <c r="R45" s="4"/>
      <c r="S45" s="7"/>
    </row>
    <row r="47" spans="1:23" x14ac:dyDescent="0.25">
      <c r="A47" s="16" t="s">
        <v>2</v>
      </c>
      <c r="B47" s="16" t="s">
        <v>266</v>
      </c>
      <c r="C47" s="16" t="s">
        <v>271</v>
      </c>
      <c r="D47" s="17" t="s">
        <v>272</v>
      </c>
      <c r="E47" s="17" t="s">
        <v>270</v>
      </c>
      <c r="F47" s="18" t="s">
        <v>253</v>
      </c>
    </row>
    <row r="48" spans="1:23" ht="34.5" customHeight="1" x14ac:dyDescent="0.25">
      <c r="A48" s="2" t="s">
        <v>60</v>
      </c>
      <c r="B48" s="2" t="s">
        <v>269</v>
      </c>
      <c r="C48" s="4" cm="1">
        <f t="array" ref="C48">SUM(_xlfn._xlws.FILTER(PH[bydgoszcz_PH_Dscore],PH[Category]="senior"),_xlfn._xlws.FILTER(PH[zabrze_PH_Dscore],PH[Category]="senior"),_xlfn._xlws.FILTER(PH[cracow_PH_Dscore],PH[Category]="senior"),_xlfn._xlws.FILTER(PH[gdansk_PH_Dscore],PH[Category]="senior"))/(COUNTIFS(PH[bydgoszcz_PH_Dscore],"&gt;0",PH[Category],"senior")+COUNTIFS(PH[zabrze_PH_Dscore],"&gt;0",PH[Category],"senior")+COUNTIFS(PH[cracow_PH_Dscore],"&gt;0",PH[Category],"senior")+COUNTIFS(PH[gdansk_PH_Dscore],"&gt;0",PH[Category],"senior"))</f>
        <v>3.6766666666666663</v>
      </c>
      <c r="D48" s="4" cm="1">
        <f t="array" ref="D48">_xlfn.STDEV.S(_xlfn._xlws.FILTER(PH[bydgoszcz_PH_Dscore],(PH[Category]="senior")*(PH[bydgoszcz_PH_Dscore])&gt;0),_xlfn._xlws.FILTER(PH[zabrze_PH_Dscore],(PH[Category]="senior")*(PH[zabrze_PH_Dscore])&gt;0),_xlfn._xlws.FILTER(PH[cracow_PH_Dscore],(PH[Category]="senior")*(PH[cracow_PH_Dscore])&gt;0),_xlfn._xlws.FILTER(PH[gdansk_PH_Dscore],(PH[Category]="senior")*(PH[gdansk_PH_Dscore])&gt;0))</f>
        <v>0.66060236165638186</v>
      </c>
      <c r="E48" s="4" cm="1">
        <f t="array" ref="E48">MAX(_xlfn._xlws.FILTER(PH[bydgoszcz_PH_Dscore],PH[Category]="senior"),_xlfn._xlws.FILTER(PH[zabrze_PH_Dscore],PH[Category]="senior"),_xlfn._xlws.FILTER(PH[cracow_PH_Dscore],PH[Category]="senior"),_xlfn._xlws.FILTER(PH[gdansk_PH_Dscore],PH[Category]="senior"))</f>
        <v>5.2</v>
      </c>
      <c r="F48" s="2" t="str" cm="1">
        <f t="array" ref="F48">_xlfn.XLOOKUP(E48,_xlfn._xlws.FILTER(PH[bydgoszcz_PH_Dscore],PH[Category]="senior"),_xlfn._xlws.FILTER(PH[Name],PH[Category]="senior"),_xlfn.XLOOKUP(E48,_xlfn._xlws.FILTER(PH[zabrze_PH_Dscore],PH[Category]="senior"),_xlfn._xlws.FILTER(PH[Name],PH[Category]="senior"),_xlfn.XLOOKUP(E48,_xlfn._xlws.FILTER(PH[cracow_PH_Dscore],PH[Category]="senior"),_xlfn._xlws.FILTER(PH[Name],PH[Category]="senior"),_xlfn.XLOOKUP(E48,_xlfn._xlws.FILTER(PH[gdansk_PH_Dscore],PH[Category]="senior"),_xlfn._xlws.FILTER(PH[Name],PH[Category]="senior")))))</f>
        <v>GARNCZAREK Kacper</v>
      </c>
    </row>
    <row r="49" spans="1:6" ht="34.5" customHeight="1" x14ac:dyDescent="0.25">
      <c r="A49" s="2" t="s">
        <v>60</v>
      </c>
      <c r="B49" s="2" t="s">
        <v>267</v>
      </c>
      <c r="C49" s="7" cm="1">
        <f t="array" ref="C49">SUM(_xlfn._xlws.FILTER(PH[bydgoszcz_PH_Escore],PH[Category]="senior"),_xlfn._xlws.FILTER(PH[zabrze_PH_Escore],PH[Category]="senior"),_xlfn._xlws.FILTER(PH[cracow_PH_Escore],PH[Category]="senior"),_xlfn._xlws.FILTER(PH[gdansk_PH_Escore],PH[Category]="senior"))/(COUNTIFS(PH[bydgoszcz_PH_Escore],"&gt;0",PH[Category],"senior")+COUNTIFS(PH[zabrze_PH_Escore],"&gt;0",PH[Category],"senior")+COUNTIFS(PH[cracow_PH_Escore],"&gt;0",PH[Category],"senior")+COUNTIFS(PH[gdansk_PH_Escore],"&gt;0",PH[Category],"senior"))</f>
        <v>6.7406779661016945</v>
      </c>
      <c r="D49" s="7" cm="1">
        <f t="array" ref="D49">_xlfn.STDEV.S(_xlfn._xlws.FILTER(PH[bydgoszcz_PH_Escore],(PH[Category]="senior")*(PH[bydgoszcz_PH_Escore])&gt;0),_xlfn._xlws.FILTER(PH[zabrze_PH_Escore],(PH[Category]="senior")*(PH[zabrze_PH_Escore])&gt;0),_xlfn._xlws.FILTER(PH[cracow_PH_Escore],(PH[Category]="senior")*(PH[cracow_PH_Escore])&gt;0),_xlfn._xlws.FILTER(PH[gdansk_PH_Escore],(PH[Category]="senior")*(PH[gdansk_PH_Escore])&gt;0))</f>
        <v>1.5524306463567139</v>
      </c>
      <c r="E49" s="7" cm="1">
        <f t="array" ref="E49">MAX(_xlfn._xlws.FILTER(PH[bydgoszcz_PH_Escore],PH[Category]="senior"),_xlfn._xlws.FILTER(PH[zabrze_PH_Escore],PH[Category]="senior"),_xlfn._xlws.FILTER(PH[cracow_PH_Escore],PH[Category]="senior"),_xlfn._xlws.FILTER(PH[gdansk_PH_Escore],PH[Category]="senior"))</f>
        <v>8.85</v>
      </c>
      <c r="F49" s="2" t="str" cm="1">
        <f t="array" ref="F49">_xlfn.XLOOKUP(E49,_xlfn._xlws.FILTER(PH[bydgoszcz_PH_Escore],PH[Category]="senior"),_xlfn._xlws.FILTER(PH[Name],PH[Category]="senior"),_xlfn.XLOOKUP(E49,_xlfn._xlws.FILTER(PH[zabrze_PH_Escore],PH[Category]="senior"),_xlfn._xlws.FILTER(PH[Name],PH[Category]="senior"),_xlfn.XLOOKUP(E49,_xlfn._xlws.FILTER(PH[cracow_PH_Escore],PH[Category]="senior"),_xlfn._xlws.FILTER(PH[Name],PH[Category]="senior"),_xlfn.XLOOKUP(E49,_xlfn._xlws.FILTER(PH[gdansk_PH_Escore],PH[Category]="senior"),_xlfn._xlws.FILTER(PH[Name],PH[Category]="senior")))))</f>
        <v>SZYMCZYK Radosław</v>
      </c>
    </row>
    <row r="50" spans="1:6" ht="34.5" customHeight="1" x14ac:dyDescent="0.25">
      <c r="A50" s="2" t="s">
        <v>60</v>
      </c>
      <c r="B50" s="2" t="s">
        <v>268</v>
      </c>
      <c r="C50" s="7" cm="1">
        <f t="array" ref="C50">SUM(_xlfn._xlws.FILTER(PH[bydgoszcz_PH_Total_Score],PH[Category]="senior"),_xlfn._xlws.FILTER(PH[zabrze_PH_Total_Score],PH[Category]="senior"),_xlfn._xlws.FILTER(PH[cracow_PH_Total_Score],PH[Category]="senior"),_xlfn._xlws.FILTER(PH[gdansk_PH_Total_Score],PH[Category]="senior"))/(COUNTIFS(PH[bydgoszcz_PH_Total_Score],"&gt;0",PH[Category],"senior")+COUNTIFS(PH[zabrze_PH_Total_Score],"&gt;0",PH[Category],"senior")+COUNTIFS(PH[cracow_PH_Total_Score],"&gt;0",PH[Category],"senior")+COUNTIFS(PH[gdansk_PH_Total_Score],"&gt;0",PH[Category],"senior"))</f>
        <v>10.304999999999998</v>
      </c>
      <c r="D50" s="7" cm="1">
        <f t="array" ref="D50">_xlfn.STDEV.S(_xlfn._xlws.FILTER(PH[bydgoszcz_PH_Total_Score],(PH[Category]="senior")*(PH[bydgoszcz_PH_Total_Score])&gt;0),_xlfn._xlws.FILTER(PH[zabrze_PH_Total_Score],(PH[Category]="senior")*(PH[zabrze_PH_Total_Score])&gt;0),_xlfn._xlws.FILTER(PH[cracow_PH_Total_Score],(PH[Category]="senior")*(PH[cracow_PH_Total_Score])&gt;0),_xlfn._xlws.FILTER(PH[gdansk_PH_Total_Score],(PH[Category]="senior")*(PH[gdansk_PH_Total_Score])&gt;0))</f>
        <v>2.1695055282916864</v>
      </c>
      <c r="E50" s="7" cm="1">
        <f t="array" ref="E50">MAX(_xlfn._xlws.FILTER(PH[bydgoszcz_PH_Total_Score],PH[Category]="senior"),_xlfn._xlws.FILTER(PH[zabrze_PH_Total_Score],PH[Category]="senior"),_xlfn._xlws.FILTER(PH[cracow_PH_Total_Score],PH[Category]="senior"),_xlfn._xlws.FILTER(PH[gdansk_PH_Total_Score],PH[Category]="senior"))</f>
        <v>12.9</v>
      </c>
      <c r="F50" s="2" t="str" cm="1">
        <f t="array" ref="F50">_xlfn.XLOOKUP(E50,_xlfn._xlws.FILTER(PH[bydgoszcz_PH_Total_Score],PH[Category]="senior"),_xlfn._xlws.FILTER(PH[Name],PH[Category]="senior"),_xlfn.XLOOKUP(E50,_xlfn._xlws.FILTER(PH[zabrze_PH_Total_Score],PH[Category]="senior"),_xlfn._xlws.FILTER(PH[Name],PH[Category]="senior"),_xlfn.XLOOKUP(E50,_xlfn._xlws.FILTER(PH[cracow_PH_Total_Score],PH[Category]="senior"),_xlfn._xlws.FILTER(PH[Name],PH[Category]="senior"),_xlfn.XLOOKUP(E50,_xlfn._xlws.FILTER(PH[gdansk_PH_Total_Score],PH[Category]="senior"),_xlfn._xlws.FILTER(PH[Name],PH[Category]="senior")))))</f>
        <v>GARNCZAREK Kacper</v>
      </c>
    </row>
    <row r="51" spans="1:6" ht="34.5" customHeight="1" x14ac:dyDescent="0.25">
      <c r="A51" s="2" t="s">
        <v>60</v>
      </c>
      <c r="B51" s="2" t="s">
        <v>275</v>
      </c>
      <c r="C51" s="4" cm="1">
        <f t="array" ref="C51">SUM(_xlfn._xlws.FILTER(PH[Year_Dscore],(PH[Category]="senior")*(PH[Number_of_Competition]&gt;=3))/COUNTIFS(PH[Number_of_Competition],"&gt;=3",PH[Category],"senior"))</f>
        <v>11.370000000000001</v>
      </c>
      <c r="D51" s="4" cm="1">
        <f t="array" ref="D51">_xlfn.STDEV.S(_xlfn._xlws.FILTER(PH[Year_Dscore],(PH[Category]="senior")*(PH[Number_of_Competition]&gt;=3)))</f>
        <v>1.8744184283250112</v>
      </c>
      <c r="E51" s="4" cm="1">
        <f t="array" ref="E51">MAX(_xlfn._xlws.FILTER(PH[Year_Dscore],PH[Category]="senior"))</f>
        <v>15.000000000000002</v>
      </c>
      <c r="F51" s="2" t="str" cm="1">
        <f t="array" ref="F51">_xlfn.XLOOKUP(PH_Calculation[[#This Row],[Top]],_xlfn._xlws.FILTER(PH[Year_Dscore],PH[Category]="senior"),_xlfn._xlws.FILTER(PH[Name],PH[Category]="senior"))</f>
        <v>GARNCZAREK Kacper</v>
      </c>
    </row>
    <row r="52" spans="1:6" ht="34.5" customHeight="1" x14ac:dyDescent="0.25">
      <c r="A52" s="2" t="s">
        <v>60</v>
      </c>
      <c r="B52" s="2" t="s">
        <v>276</v>
      </c>
      <c r="C52" s="7" cm="1">
        <f t="array" ref="C52">SUM(_xlfn._xlws.FILTER(PH[Year_Escore],(PH[Category]="senior")*(PH[Number_of_Competition]&gt;=3))/COUNTIFS(PH[Number_of_Competition],"&gt;=3",PH[Category],"senior"))</f>
        <v>20.955000000000002</v>
      </c>
      <c r="D52" s="7" cm="1">
        <f t="array" ref="D52">_xlfn.STDEV.S(_xlfn._xlws.FILTER(PH[Year_Escore],(PH[Category]="senior")*(PH[Number_of_Competition]&gt;=3)))</f>
        <v>3.644588835215536</v>
      </c>
      <c r="E52" s="7" cm="1">
        <f t="array" ref="E52">MAX(_xlfn._xlws.FILTER(PH[Year_Escore],PH[Category]="senior"))</f>
        <v>26.1</v>
      </c>
      <c r="F52" s="2" t="str" cm="1">
        <f t="array" ref="F52">_xlfn.XLOOKUP(PH_Calculation[[#This Row],[Top]],_xlfn._xlws.FILTER(PH[Year_Escore],PH[Category]="senior"),_xlfn._xlws.FILTER(PH[Name],PH[Category]="senior"))</f>
        <v>SZYMCZYK Radosław</v>
      </c>
    </row>
    <row r="53" spans="1:6" ht="34.5" customHeight="1" x14ac:dyDescent="0.25">
      <c r="A53" s="2" t="s">
        <v>60</v>
      </c>
      <c r="B53" s="2" t="s">
        <v>277</v>
      </c>
      <c r="C53" s="7" cm="1">
        <f t="array" ref="C53">SUM(_xlfn._xlws.FILTER(PH[Year_Total_Score],(PH[Category]="senior")*(PH[Number_of_Competition]&gt;=3))/COUNTIFS(PH[Number_of_Competition],"&gt;=3",PH[Category],"senior"))</f>
        <v>32.185000000000002</v>
      </c>
      <c r="D53" s="7" cm="1">
        <f t="array" ref="D53">_xlfn.STDEV.S(_xlfn._xlws.FILTER(PH[Year_Total_Score],(PH[Category]="senior")*(PH[Number_of_Competition]&gt;=3)))</f>
        <v>4.7292852408043027</v>
      </c>
      <c r="E53" s="7" cm="1">
        <f t="array" ref="E53">MAX(_xlfn._xlws.FILTER(PH[Year_Total_Score],PH[Category]="senior"))</f>
        <v>37.5</v>
      </c>
      <c r="F53" s="2" t="str" cm="1">
        <f t="array" ref="F53">_xlfn.XLOOKUP(PH_Calculation[[#This Row],[Top]],_xlfn._xlws.FILTER(PH[Year_Total_Score],PH[Category]="senior"),_xlfn._xlws.FILTER(PH[Name],PH[Category]="senior"))</f>
        <v>SZYMCZYK Radosław</v>
      </c>
    </row>
    <row r="54" spans="1:6" ht="34.5" customHeight="1" x14ac:dyDescent="0.25">
      <c r="A54" s="2" t="s">
        <v>26</v>
      </c>
      <c r="B54" s="2" t="s">
        <v>269</v>
      </c>
      <c r="C54" s="4" cm="1">
        <f t="array" ref="C54">SUM(_xlfn._xlws.FILTER(PH[bydgoszcz_PH_Dscore],PH[Category]="junior"),_xlfn._xlws.FILTER(PH[zabrze_PH_Dscore],PH[Category]="junior"),_xlfn._xlws.FILTER(PH[cracow_PH_Dscore],PH[Category]="junior"),_xlfn._xlws.FILTER(PH[gdansk_PH_Dscore],PH[Category]="junior"))/(COUNTIFS(PH[bydgoszcz_PH_Dscore],"&gt;0",PH[Category],"junior")+COUNTIFS(PH[zabrze_PH_Dscore],"&gt;0",PH[Category],"junior")+COUNTIFS(PH[cracow_PH_Dscore],"&gt;0",PH[Category],"junior")+COUNTIFS(PH[gdansk_PH_Dscore],"&gt;0",PH[Category],"junior"))</f>
        <v>2.9377358490566037</v>
      </c>
      <c r="D54" s="4" cm="1">
        <f t="array" ref="D54">_xlfn.STDEV.S(_xlfn._xlws.FILTER(PH[bydgoszcz_PH_Dscore],(PH[Category]="junior")*(PH[bydgoszcz_PH_Dscore])&gt;0),_xlfn._xlws.FILTER(PH[zabrze_PH_Dscore],(PH[Category]="junior")*(PH[zabrze_PH_Dscore])&gt;0),_xlfn._xlws.FILTER(PH[cracow_PH_Dscore],(PH[Category]="junior")*(PH[cracow_PH_Dscore])&gt;0),_xlfn._xlws.FILTER(PH[gdansk_PH_Dscore],(PH[Category]="junior")*(PH[gdansk_PH_Dscore])&gt;0))</f>
        <v>0.77191729705831846</v>
      </c>
      <c r="E54" s="4" cm="1">
        <f t="array" ref="E54">MAX(_xlfn._xlws.FILTER(PH[bydgoszcz_PH_Dscore],PH[Category]="junior"),_xlfn._xlws.FILTER(PH[zabrze_PH_Dscore],PH[Category]="junior"),_xlfn._xlws.FILTER(PH[cracow_PH_Dscore],PH[Category]="junior"),_xlfn._xlws.FILTER(PH[gdansk_PH_Dscore],PH[Category]="junior"))</f>
        <v>4.4000000000000004</v>
      </c>
      <c r="F54" s="2" t="str" cm="1">
        <f t="array" ref="F54">_xlfn.XLOOKUP(E54,_xlfn._xlws.FILTER(PH[bydgoszcz_PH_Dscore],PH[Category]="junior"),_xlfn._xlws.FILTER(PH[Name],PH[Category]="junior"),_xlfn.XLOOKUP(E54,_xlfn._xlws.FILTER(PH[zabrze_PH_Dscore],PH[Category]="junior"),_xlfn._xlws.FILTER(PH[Name],PH[Category]="junior"),_xlfn.XLOOKUP(E54,_xlfn._xlws.FILTER(PH[cracow_PH_Dscore],PH[Category]="junior"),_xlfn._xlws.FILTER(PH[Name],PH[Category]="junior"),_xlfn.XLOOKUP(E54,_xlfn._xlws.FILTER(PH[gdansk_PH_Dscore],PH[Category]="junior"),_xlfn._xlws.FILTER(PH[Name],PH[Category]="junior")))))</f>
        <v>KORBIEL Franciszek</v>
      </c>
    </row>
    <row r="55" spans="1:6" ht="34.5" customHeight="1" x14ac:dyDescent="0.25">
      <c r="A55" s="2" t="s">
        <v>26</v>
      </c>
      <c r="B55" s="2" t="s">
        <v>267</v>
      </c>
      <c r="C55" s="7" cm="1">
        <f t="array" ref="C55">SUM(_xlfn._xlws.FILTER(PH[bydgoszcz_PH_Escore],PH[Category]="junior"),_xlfn._xlws.FILTER(PH[zabrze_PH_Escore],PH[Category]="junior"),_xlfn._xlws.FILTER(PH[cracow_PH_Escore],PH[Category]="junior"),_xlfn._xlws.FILTER(PH[gdansk_PH_Escore],PH[Category]="junior"))/(COUNTIFS(PH[bydgoszcz_PH_Escore],"&gt;0",PH[Category],"junior")+COUNTIFS(PH[zabrze_PH_Escore],"&gt;0",PH[Category],"junior")+COUNTIFS(PH[cracow_PH_Escore],"&gt;0",PH[Category],"junior")+COUNTIFS(PH[gdansk_PH_Escore],"&gt;0",PH[Category],"junior"))</f>
        <v>6.8330000000000011</v>
      </c>
      <c r="D55" s="7" cm="1">
        <f t="array" ref="D55">_xlfn.STDEV.S(_xlfn._xlws.FILTER(PH[bydgoszcz_PH_Escore],(PH[Category]="junior")*(PH[bydgoszcz_PH_Escore])&gt;0),_xlfn._xlws.FILTER(PH[zabrze_PH_Escore],(PH[Category]="junior")*(PH[zabrze_PH_Escore])&gt;0),_xlfn._xlws.FILTER(PH[cracow_PH_Escore],(PH[Category]="junior")*(PH[cracow_PH_Escore])&gt;0),_xlfn._xlws.FILTER(PH[gdansk_PH_Escore],(PH[Category]="junior")*(PH[gdansk_PH_Escore])&gt;0))</f>
        <v>1.646133689117927</v>
      </c>
      <c r="E55" s="7" cm="1">
        <f t="array" ref="E55">MAX(_xlfn._xlws.FILTER(PH[bydgoszcz_PH_Escore],PH[Category]="junior"),_xlfn._xlws.FILTER(PH[zabrze_PH_Escore],PH[Category]="junior"),_xlfn._xlws.FILTER(PH[cracow_PH_Escore],PH[Category]="junior"),_xlfn._xlws.FILTER(PH[gdansk_PH_Escore],PH[Category]="junior"))</f>
        <v>8.9499999999999993</v>
      </c>
      <c r="F55" s="2" t="str" cm="1">
        <f t="array" ref="F55">_xlfn.XLOOKUP(E55,_xlfn._xlws.FILTER(PH[bydgoszcz_PH_Escore],PH[Category]="junior"),_xlfn._xlws.FILTER(PH[Name],PH[Category]="junior"),_xlfn.XLOOKUP(E55,_xlfn._xlws.FILTER(PH[zabrze_PH_Escore],PH[Category]="junior"),_xlfn._xlws.FILTER(PH[Name],PH[Category]="junior"),_xlfn.XLOOKUP(E55,_xlfn._xlws.FILTER(PH[cracow_PH_Escore],PH[Category]="junior"),_xlfn._xlws.FILTER(PH[Name],PH[Category]="junior"),_xlfn.XLOOKUP(E55,_xlfn._xlws.FILTER(PH[gdansk_PH_Escore],PH[Category]="junior"),_xlfn._xlws.FILTER(PH[Name],PH[Category]="junior")))))</f>
        <v>LEKHAC Tomasz</v>
      </c>
    </row>
    <row r="56" spans="1:6" ht="34.5" customHeight="1" x14ac:dyDescent="0.25">
      <c r="A56" s="2" t="s">
        <v>26</v>
      </c>
      <c r="B56" s="2" t="s">
        <v>268</v>
      </c>
      <c r="C56" s="7" cm="1">
        <f t="array" ref="C56">SUM(_xlfn._xlws.FILTER(PH[bydgoszcz_PH_Total_Score],PH[Category]="junior"),_xlfn._xlws.FILTER(PH[zabrze_PH_Total_Score],PH[Category]="junior"),_xlfn._xlws.FILTER(PH[cracow_PH_Total_Score],PH[Category]="junior"),_xlfn._xlws.FILTER(PH[gdansk_PH_Total_Score],PH[Category]="junior"))/(COUNTIFS(PH[bydgoszcz_PH_Total_Score],"&gt;0",PH[Category],"junior")+COUNTIFS(PH[zabrze_PH_Total_Score],"&gt;0",PH[Category],"junior")+COUNTIFS(PH[cracow_PH_Total_Score],"&gt;0",PH[Category],"junior")+COUNTIFS(PH[gdansk_PH_Total_Score],"&gt;0",PH[Category],"junior"))</f>
        <v>9.3839622641509433</v>
      </c>
      <c r="D56" s="7" cm="1">
        <f t="array" ref="D56">_xlfn.STDEV.S(_xlfn._xlws.FILTER(PH[bydgoszcz_PH_Total_Score],(PH[Category]="junior")*(PH[bydgoszcz_PH_Total_Score])&gt;0),_xlfn._xlws.FILTER(PH[zabrze_PH_Total_Score],(PH[Category]="junior")*(PH[zabrze_PH_Total_Score])&gt;0),_xlfn._xlws.FILTER(PH[cracow_PH_Total_Score],(PH[Category]="junior")*(PH[cracow_PH_Total_Score])&gt;0),_xlfn._xlws.FILTER(PH[gdansk_PH_Total_Score],(PH[Category]="junior")*(PH[gdansk_PH_Total_Score])&gt;0))</f>
        <v>2.8721101460174343</v>
      </c>
      <c r="E56" s="7" cm="1">
        <f t="array" ref="E56">MAX(_xlfn._xlws.FILTER(PH[bydgoszcz_PH_Total_Score],PH[Category]="junior"),_xlfn._xlws.FILTER(PH[zabrze_PH_Total_Score],PH[Category]="junior"),_xlfn._xlws.FILTER(PH[cracow_PH_Total_Score],PH[Category]="junior"),_xlfn._xlws.FILTER(PH[gdansk_PH_Total_Score],PH[Category]="junior"))</f>
        <v>12.75</v>
      </c>
      <c r="F56" s="2" t="str" cm="1">
        <f t="array" ref="F56">_xlfn.XLOOKUP(E56,_xlfn._xlws.FILTER(PH[bydgoszcz_PH_Total_Score],PH[Category]="junior"),_xlfn._xlws.FILTER(PH[Name],PH[Category]="junior"),_xlfn.XLOOKUP(E56,_xlfn._xlws.FILTER(PH[zabrze_PH_Total_Score],PH[Category]="junior"),_xlfn._xlws.FILTER(PH[Name],PH[Category]="junior"),_xlfn.XLOOKUP(E56,_xlfn._xlws.FILTER(PH[cracow_PH_Total_Score],PH[Category]="junior"),_xlfn._xlws.FILTER(PH[Name],PH[Category]="junior"),_xlfn.XLOOKUP(E56,_xlfn._xlws.FILTER(PH[gdansk_PH_Total_Score],PH[Category]="junior"),_xlfn._xlws.FILTER(PH[Name],PH[Category]="junior")))))</f>
        <v>LEKHAC Tomasz</v>
      </c>
    </row>
    <row r="57" spans="1:6" ht="34.5" customHeight="1" x14ac:dyDescent="0.25">
      <c r="A57" s="2" t="s">
        <v>26</v>
      </c>
      <c r="B57" s="2" t="s">
        <v>275</v>
      </c>
      <c r="C57" s="4" cm="1">
        <f t="array" ref="C57">SUM(_xlfn._xlws.FILTER(PH[Year_Dscore],(PH[Category]="junior")*(PH[Number_of_Competition]&gt;=3))/COUNTIFS(PH[Number_of_Competition],"&gt;=3",PH[Category],"junior"))</f>
        <v>9.3333333333333339</v>
      </c>
      <c r="D57" s="4" cm="1">
        <f t="array" ref="D57">_xlfn.STDEV.S(_xlfn._xlws.FILTER(PH[Year_Dscore],(PH[Category]="junior")*(PH[Number_of_Competition]&gt;=3)))</f>
        <v>2.0388648059569077</v>
      </c>
      <c r="E57" s="4" cm="1">
        <f t="array" ref="E57">MAX(_xlfn._xlws.FILTER(PH[Year_Dscore],PH[Category]="junior"))</f>
        <v>12.6</v>
      </c>
      <c r="F57" s="2" t="str" cm="1">
        <f t="array" ref="F57">_xlfn.XLOOKUP(PH_Calculation[[#This Row],[Top]],_xlfn._xlws.FILTER(PH[Year_Dscore],PH[Category]="junior"),_xlfn._xlws.FILTER(PH[Name],PH[Category]="junior"))</f>
        <v>KORBIEL Franciszek</v>
      </c>
    </row>
    <row r="58" spans="1:6" ht="34.5" customHeight="1" x14ac:dyDescent="0.25">
      <c r="A58" s="2" t="s">
        <v>26</v>
      </c>
      <c r="B58" s="2" t="s">
        <v>276</v>
      </c>
      <c r="C58" s="7" cm="1">
        <f t="array" ref="C58">SUM(_xlfn._xlws.FILTER(PH[Year_Escore],(PH[Category]="junior")*(PH[Number_of_Competition]&gt;=3))/COUNTIFS(PH[Number_of_Competition],"&gt;=3",PH[Category],"junior"))</f>
        <v>21.391666666666669</v>
      </c>
      <c r="D58" s="7" cm="1">
        <f t="array" ref="D58">_xlfn.STDEV.S(_xlfn._xlws.FILTER(PH[Year_Escore],(PH[Category]="junior")*(PH[Number_of_Competition]&gt;=3)))</f>
        <v>3.92282558955409</v>
      </c>
      <c r="E58" s="7" cm="1">
        <f t="array" ref="E58">MAX(_xlfn._xlws.FILTER(PH[Year_Escore],PH[Category]="junior"))</f>
        <v>26.650000000000002</v>
      </c>
      <c r="F58" s="2" t="str" cm="1">
        <f t="array" ref="F58">_xlfn.XLOOKUP(PH_Calculation[[#This Row],[Top]],_xlfn._xlws.FILTER(PH[Year_Escore],PH[Category]="junior"),_xlfn._xlws.FILTER(PH[Name],PH[Category]="junior"))</f>
        <v>LEKHAC Tomasz</v>
      </c>
    </row>
    <row r="59" spans="1:6" ht="34.5" customHeight="1" x14ac:dyDescent="0.25">
      <c r="A59" s="2" t="s">
        <v>26</v>
      </c>
      <c r="B59" s="2" t="s">
        <v>277</v>
      </c>
      <c r="C59" s="7" cm="1">
        <f t="array" ref="C59">SUM(_xlfn._xlws.FILTER(PH[Year_Total_Score],(PH[Category]="junior")*(PH[Number_of_Competition]&gt;=3))/COUNTIFS(PH[Number_of_Competition],"&gt;=3",PH[Category],"junior"))</f>
        <v>30.616666666666664</v>
      </c>
      <c r="D59" s="7" cm="1">
        <f t="array" ref="D59">_xlfn.STDEV.S(_xlfn._xlws.FILTER(PH[Year_Total_Score],(PH[Category]="junior")*(PH[Number_of_Competition]&gt;=3)))</f>
        <v>5.5501160239032918</v>
      </c>
      <c r="E59" s="7" cm="1">
        <f t="array" ref="E59">MAX(_xlfn._xlws.FILTER(PH[Year_Total_Score],PH[Category]="junior"))</f>
        <v>37.950000000000003</v>
      </c>
      <c r="F59" s="2" t="str" cm="1">
        <f t="array" ref="F59">_xlfn.XLOOKUP(PH_Calculation[[#This Row],[Top]],_xlfn._xlws.FILTER(PH[Year_Total_Score],PH[Category]="junior"),_xlfn._xlws.FILTER(PH[Name],PH[Category]="junior"))</f>
        <v>LEKHAC Tomasz</v>
      </c>
    </row>
  </sheetData>
  <mergeCells count="2">
    <mergeCell ref="Y2:Y7"/>
    <mergeCell ref="Y8:Y13"/>
  </mergeCells>
  <phoneticPr fontId="1" type="noConversion"/>
  <conditionalFormatting sqref="A2:A44">
    <cfRule type="expression" dxfId="105" priority="177">
      <formula>IF($B2="junior",$T2=MAX(_xlfn._xlws.FILTER($T$2:$T$47,$B$2:$B$47="junior")),$T2=MAX(_xlfn._xlws.FILTER($T$2:$T$47,$B$2:$B$47="senior")))</formula>
    </cfRule>
    <cfRule type="expression" dxfId="104" priority="178">
      <formula>IF($B2="junior",$T2=LARGE(_xlfn._xlws.FILTER($T$2:$T$47,$B$2:$B$47="junior"),2),$T2=LARGE(_xlfn._xlws.FILTER($T$2:$T$47,$B$2:$B$47="senior"),2))</formula>
    </cfRule>
    <cfRule type="expression" dxfId="103" priority="179">
      <formula>IF($B2="junior",$T2=LARGE(_xlfn._xlws.FILTER($T$2:$T$47,$B$2:$B$47="junior"),3),$T2=LARGE(_xlfn._xlws.FILTER($T$2:$T$47,$B$2:$B$47="senior"),3))</formula>
    </cfRule>
    <cfRule type="expression" dxfId="102" priority="180">
      <formula>IF($B2="junior",$R2=MAX(_xlfn._xlws.FILTER($R$2:$R$47,$B$2:$B$47="junior")),$R2=MAX(_xlfn._xlws.FILTER($R$2:$R$47,$B$2:$B$47="senior")))</formula>
    </cfRule>
    <cfRule type="expression" dxfId="101" priority="181">
      <formula>IF($B2="junior",$S2=MAX(_xlfn._xlws.FILTER($S$2:$S$47,$B$2:$B$47="junior")),$S2=MAX(_xlfn._xlws.FILTER($S$2:$S$47,$B$2:$B$47="senior")))</formula>
    </cfRule>
  </conditionalFormatting>
  <conditionalFormatting sqref="F2:F44 I2:I44 L2:L44 O2:O44 U2:U44">
    <cfRule type="expression" dxfId="100" priority="10">
      <formula>IF($B2="junior",F2&gt;=($AA$8+$AB$8),F2&gt;=($AA$2+$AB$2))</formula>
    </cfRule>
  </conditionalFormatting>
  <conditionalFormatting sqref="F2:F44 I2:I44 L2:L44 O2:O44">
    <cfRule type="expression" dxfId="99" priority="14">
      <formula>AND(AND($B2="junior",F2&lt;2.6),F2&gt;0)</formula>
    </cfRule>
    <cfRule type="expression" dxfId="98" priority="15">
      <formula>AND(AND($B2="senior",F2&lt;2.9),F2&gt;0)</formula>
    </cfRule>
  </conditionalFormatting>
  <conditionalFormatting sqref="F2:W44">
    <cfRule type="cellIs" dxfId="97" priority="16" operator="equal">
      <formula>0</formula>
    </cfRule>
  </conditionalFormatting>
  <conditionalFormatting sqref="H2:H44 K2:K44 N2:N44 Q2:Q44 W2:W44">
    <cfRule type="expression" dxfId="96" priority="11">
      <formula>IF($B2="junior",H2&gt;=($AA$10+$AB$10),H2&gt;=($AA$4+$AB$4))</formula>
    </cfRule>
  </conditionalFormatting>
  <conditionalFormatting sqref="H2:H44 K2:K44 N2:N44 Q2:Q44">
    <cfRule type="expression" dxfId="95" priority="8">
      <formula>IF($B2="junior",H2&gt;=$AC$10,H2&gt;=$AC$4)</formula>
    </cfRule>
  </conditionalFormatting>
  <conditionalFormatting sqref="R2:R44">
    <cfRule type="expression" dxfId="94" priority="9">
      <formula>IF($B2="junior",R2&gt;=($AA$11+$AB$11),R2&gt;=($AA$5+$AB$5))</formula>
    </cfRule>
  </conditionalFormatting>
  <conditionalFormatting sqref="S2:S44">
    <cfRule type="expression" dxfId="93" priority="13">
      <formula>IF($B2="junior",S2&gt;=$AA$12+$AB$12,S2&gt;=$AA$6+$AB$6)</formula>
    </cfRule>
  </conditionalFormatting>
  <conditionalFormatting sqref="T2:T44">
    <cfRule type="expression" dxfId="92" priority="7">
      <formula>IF($B2="junior",T2&gt;=$AC$13,T2&gt;=$AC$7)</formula>
    </cfRule>
    <cfRule type="expression" dxfId="91" priority="12">
      <formula>IF($B2="junior",T2&gt;=($AA$13+$AB$13),T2&gt;=($AA$7+$AB$7))</formula>
    </cfRule>
  </conditionalFormatting>
  <conditionalFormatting sqref="V2:V44">
    <cfRule type="expression" dxfId="90" priority="6">
      <formula>IF($B2="junior",V2&gt;=$AA$9+$AB$9,V2&gt;=$AA$3+$AB$3)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DCABCB-AB39-0C4A-B8F9-717F9AD297E6}">
  <sheetPr codeName="Arkusz8">
    <tabColor theme="5" tint="0.39997558519241921"/>
  </sheetPr>
  <dimension ref="A1:AC60"/>
  <sheetViews>
    <sheetView topLeftCell="B1" zoomScale="75" zoomScaleNormal="75" workbookViewId="0">
      <selection activeCell="Y15" sqref="Y15:Y24"/>
    </sheetView>
  </sheetViews>
  <sheetFormatPr defaultColWidth="11" defaultRowHeight="15.75" x14ac:dyDescent="0.25"/>
  <cols>
    <col min="1" max="1" width="23.125" bestFit="1" customWidth="1"/>
    <col min="2" max="2" width="18.5" style="2" bestFit="1" customWidth="1"/>
    <col min="3" max="3" width="17" style="2" bestFit="1" customWidth="1"/>
    <col min="4" max="4" width="26.625" bestFit="1" customWidth="1"/>
    <col min="5" max="5" width="27.125" style="3" bestFit="1" customWidth="1"/>
    <col min="6" max="6" width="25" style="5" bestFit="1" customWidth="1"/>
    <col min="7" max="8" width="6.875" style="8" customWidth="1"/>
    <col min="9" max="9" width="6.875" style="5" customWidth="1"/>
    <col min="10" max="11" width="6.875" style="8" customWidth="1"/>
    <col min="12" max="12" width="6.875" style="5" customWidth="1"/>
    <col min="13" max="14" width="6.875" style="8" customWidth="1"/>
    <col min="15" max="15" width="6.875" style="5" customWidth="1"/>
    <col min="16" max="17" width="6.875" style="8" customWidth="1"/>
    <col min="18" max="18" width="10.125" style="3" customWidth="1"/>
    <col min="19" max="23" width="6.875" style="3" customWidth="1"/>
    <col min="25" max="25" width="18.5" bestFit="1" customWidth="1"/>
    <col min="26" max="26" width="20" bestFit="1" customWidth="1"/>
    <col min="27" max="27" width="15.125" bestFit="1" customWidth="1"/>
  </cols>
  <sheetData>
    <row r="1" spans="1:29" s="2" customFormat="1" x14ac:dyDescent="0.25">
      <c r="A1" s="4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169</v>
      </c>
      <c r="G1" s="2" t="s">
        <v>170</v>
      </c>
      <c r="H1" s="2" t="s">
        <v>171</v>
      </c>
      <c r="I1" s="2" t="s">
        <v>172</v>
      </c>
      <c r="J1" s="2" t="s">
        <v>173</v>
      </c>
      <c r="K1" s="2" t="s">
        <v>174</v>
      </c>
      <c r="L1" s="2" t="s">
        <v>175</v>
      </c>
      <c r="M1" s="2" t="s">
        <v>176</v>
      </c>
      <c r="N1" s="2" t="s">
        <v>177</v>
      </c>
      <c r="O1" s="2" t="s">
        <v>178</v>
      </c>
      <c r="P1" s="2" t="s">
        <v>179</v>
      </c>
      <c r="Q1" s="2" t="s">
        <v>180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</row>
    <row r="2" spans="1:29" x14ac:dyDescent="0.25">
      <c r="A2" t="s">
        <v>59</v>
      </c>
      <c r="B2" s="2" t="s">
        <v>60</v>
      </c>
      <c r="C2" s="2" t="s">
        <v>61</v>
      </c>
      <c r="D2" t="s">
        <v>62</v>
      </c>
      <c r="E2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2" s="4">
        <v>0</v>
      </c>
      <c r="G2" s="7">
        <v>0</v>
      </c>
      <c r="H2" s="7">
        <v>0</v>
      </c>
      <c r="I2" s="4">
        <v>4.0999999999999996</v>
      </c>
      <c r="J2" s="7">
        <v>8.35</v>
      </c>
      <c r="K2" s="7">
        <v>12.45</v>
      </c>
      <c r="L2" s="4">
        <v>4.0999999999999996</v>
      </c>
      <c r="M2" s="7">
        <v>8.1</v>
      </c>
      <c r="N2" s="7">
        <v>12.2</v>
      </c>
      <c r="O2" s="4">
        <v>2.8</v>
      </c>
      <c r="P2" s="7">
        <v>9.1999999999999993</v>
      </c>
      <c r="Q2" s="7">
        <v>12</v>
      </c>
      <c r="R2" s="4">
        <f>LARGE(CHOOSE({1;2;3;4},F2,I2,L2,O2),1)+LARGE(CHOOSE({1;2;3;4},F2,I2,L2,O2),2)+LARGE(CHOOSE({1;2;3;4},F2,I2,L2,O2),3)</f>
        <v>11</v>
      </c>
      <c r="S2" s="7">
        <f>LARGE(CHOOSE({1;2;3;4},G2,J2,M2,P2),1)+LARGE(CHOOSE({1;2;3;4},G2,J2,M2,P2),2)+LARGE(CHOOSE({1;2;3;4},G2,J2,M2,P2),3)</f>
        <v>25.65</v>
      </c>
      <c r="T2" s="7">
        <f>LARGE(CHOOSE({1;2;3;4},H2,K2,N2,Q2),1)+LARGE(CHOOSE({1;2;3;4},H2,K2,N2,Q2),2)+LARGE(CHOOSE({1;2;3;4},H2,K2,N2,Q2),3)</f>
        <v>36.65</v>
      </c>
      <c r="U2" s="4" cm="1">
        <f t="array" ref="U2">IF(SR[[#This Row],[Number_of_competition]:[Number_of_competition]]&gt;=3,(LARGE(CHOOSE({1;2;3;4},F2,I2,L2,O2),1)+LARGE(CHOOSE({1;2;3;4},F2,I2,L2,O2),2)+LARGE(CHOOSE({1;2;3;4},F2,I2,L2,O2),3))/3,0)</f>
        <v>3.6666666666666665</v>
      </c>
      <c r="V2" s="7" cm="1">
        <f t="array" ref="V2">IF(SR[[#This Row],[Number_of_competition]:[Number_of_competition]]&gt;=3,(LARGE(CHOOSE({1;2;3;4},G2,J2,M2,P2),1)+LARGE(CHOOSE({1;2;3;4},G2,J2,M2,P2),2)+LARGE(CHOOSE({1;2;3;4},G2,J2,M2,P2),3))/3,0)</f>
        <v>8.5499999999999989</v>
      </c>
      <c r="W2" s="7" cm="1">
        <f t="array" ref="W2">IF(SR[[#This Row],[Number_of_competition]:[Number_of_competition]]&gt;=3,(LARGE(CHOOSE({1;2;3;4},H2,K2,N2,Q2),1)+LARGE(CHOOSE({1;2;3;4},H2,K2,N2,Q2),2)+LARGE(CHOOSE({1;2;3;4},H2,K2,N2,Q2),3))/3,0)</f>
        <v>12.216666666666667</v>
      </c>
      <c r="Y2" s="41" t="s">
        <v>60</v>
      </c>
      <c r="Z2" s="20" t="s">
        <v>269</v>
      </c>
      <c r="AA2" s="21" cm="1">
        <f t="array" ref="AA2">SUM(_xlfn._xlws.FILTER(SR[bydgoszcz_SR_Dscore],SR[Category]="senior"),_xlfn._xlws.FILTER(SR[zabrze_SR_Dscore],SR[Category]="senior"),_xlfn._xlws.FILTER(SR[cracow_SR_Dscore],SR[Category]="senior"),_xlfn._xlws.FILTER(SR[gdansk_SR_Dscore],SR[Category]="senior"))/(COUNTIFS(SR[bydgoszcz_SR_Dscore],"&gt;0",SR[Category],"senior")+COUNTIFS(SR[zabrze_SR_Dscore],"&gt;0",SR[Category],"senior")+COUNTIFS(SR[cracow_SR_Dscore],"&gt;0",SR[Category],"senior")+COUNTIFS(SR[gdansk_SR_Dscore],"&gt;0",SR[Category],"senior"))</f>
        <v>3.563333333333333</v>
      </c>
      <c r="AB2" s="21" cm="1">
        <f t="array" ref="AB2">_xlfn.STDEV.S(_xlfn._xlws.FILTER(SR[bydgoszcz_SR_Dscore],(SR[Category]="senior")*(SR[bydgoszcz_SR_Dscore])&gt;0),_xlfn._xlws.FILTER(SR[zabrze_SR_Dscore],(SR[Category]="senior")*(SR[zabrze_SR_Dscore])&gt;0),_xlfn._xlws.FILTER(SR[cracow_SR_Dscore],(SR[Category]="senior")*(SR[cracow_SR_Dscore])&gt;0),_xlfn._xlws.FILTER(SR[gdansk_SR_Dscore],(SR[Category]="senior")*(SR[gdansk_SR_Dscore])&gt;0))</f>
        <v>0.66586675174050203</v>
      </c>
      <c r="AC2" s="21" cm="1">
        <f t="array" ref="AC2">MAX(_xlfn._xlws.FILTER(SR[bydgoszcz_SR_Dscore],SR[Category]="senior"),_xlfn._xlws.FILTER(SR[zabrze_SR_Dscore],SR[Category]="senior"),_xlfn._xlws.FILTER(SR[cracow_SR_Dscore],SR[Category]="senior"),_xlfn._xlws.FILTER(SR[gdansk_SR_Dscore],SR[Category]="senior"))</f>
        <v>5.3</v>
      </c>
    </row>
    <row r="3" spans="1:29" x14ac:dyDescent="0.25">
      <c r="A3" t="s">
        <v>63</v>
      </c>
      <c r="B3" s="2" t="s">
        <v>60</v>
      </c>
      <c r="C3" s="2" t="s">
        <v>64</v>
      </c>
      <c r="D3" t="s">
        <v>39</v>
      </c>
      <c r="E3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3" s="4">
        <v>4.5999999999999996</v>
      </c>
      <c r="G3" s="7">
        <v>7.2</v>
      </c>
      <c r="H3" s="7">
        <v>11.8</v>
      </c>
      <c r="I3" s="4">
        <v>3.9</v>
      </c>
      <c r="J3" s="7">
        <v>8.1</v>
      </c>
      <c r="K3" s="7">
        <v>12</v>
      </c>
      <c r="L3" s="4">
        <v>4.3</v>
      </c>
      <c r="M3" s="7">
        <v>7.85</v>
      </c>
      <c r="N3" s="7">
        <v>12.15</v>
      </c>
      <c r="O3" s="4">
        <v>4.2</v>
      </c>
      <c r="P3" s="7">
        <v>8</v>
      </c>
      <c r="Q3" s="7">
        <v>12.2</v>
      </c>
      <c r="R3" s="4">
        <f>LARGE(CHOOSE({1;2;3;4},F3,I3,L3,O3),1)+LARGE(CHOOSE({1;2;3;4},F3,I3,L3,O3),2)+LARGE(CHOOSE({1;2;3;4},F3,I3,L3,O3),3)</f>
        <v>13.099999999999998</v>
      </c>
      <c r="S3" s="7">
        <f>LARGE(CHOOSE({1;2;3;4},G3,J3,M3,P3),1)+LARGE(CHOOSE({1;2;3;4},G3,J3,M3,P3),2)+LARGE(CHOOSE({1;2;3;4},G3,J3,M3,P3),3)</f>
        <v>23.950000000000003</v>
      </c>
      <c r="T3" s="7">
        <f>LARGE(CHOOSE({1;2;3;4},H3,K3,N3,Q3),1)+LARGE(CHOOSE({1;2;3;4},H3,K3,N3,Q3),2)+LARGE(CHOOSE({1;2;3;4},H3,K3,N3,Q3),3)</f>
        <v>36.35</v>
      </c>
      <c r="U3" s="4" cm="1">
        <f t="array" ref="U3">IF(SR[[#This Row],[Number_of_competition]:[Number_of_competition]]&gt;=3,(LARGE(CHOOSE({1;2;3;4},F3,I3,L3,O3),1)+LARGE(CHOOSE({1;2;3;4},F3,I3,L3,O3),2)+LARGE(CHOOSE({1;2;3;4},F3,I3,L3,O3),3))/3,0)</f>
        <v>4.3666666666666663</v>
      </c>
      <c r="V3" s="7" cm="1">
        <f t="array" ref="V3">IF(SR[[#This Row],[Number_of_competition]:[Number_of_competition]]&gt;=3,(LARGE(CHOOSE({1;2;3;4},G3,J3,M3,P3),1)+LARGE(CHOOSE({1;2;3;4},G3,J3,M3,P3),2)+LARGE(CHOOSE({1;2;3;4},G3,J3,M3,P3),3))/3,0)</f>
        <v>7.9833333333333343</v>
      </c>
      <c r="W3" s="7" cm="1">
        <f t="array" ref="W3">IF(SR[[#This Row],[Number_of_competition]:[Number_of_competition]]&gt;=3,(LARGE(CHOOSE({1;2;3;4},H3,K3,N3,Q3),1)+LARGE(CHOOSE({1;2;3;4},H3,K3,N3,Q3),2)+LARGE(CHOOSE({1;2;3;4},H3,K3,N3,Q3),3))/3,0)</f>
        <v>12.116666666666667</v>
      </c>
      <c r="Y3" s="42"/>
      <c r="Z3" s="20" t="s">
        <v>267</v>
      </c>
      <c r="AA3" s="22" cm="1">
        <f t="array" ref="AA3">SUM(_xlfn._xlws.FILTER(SR[bydgoszcz_SR_Escore],SR[Category]="senior"),_xlfn._xlws.FILTER(SR[zabrze_SR_Escore],SR[Category]="senior"),_xlfn._xlws.FILTER(SR[cracow_SR_Escore],SR[Category]="senior"),_xlfn._xlws.FILTER(SR[gdansk_SR_Escore],SR[Category]="senior"))/(COUNTIFS(SR[bydgoszcz_SR_Escore],"&gt;0",SR[Category],"senior")+COUNTIFS(SR[zabrze_SR_Escore],"&gt;0",SR[Category],"senior")+COUNTIFS(SR[cracow_SR_Escore],"&gt;0",SR[Category],"senior")+COUNTIFS(SR[gdansk_SR_Escore],"&gt;0",SR[Category],"senior"))</f>
        <v>7.38</v>
      </c>
      <c r="AB3" s="22" cm="1">
        <f t="array" ref="AB3">_xlfn.STDEV.S(_xlfn._xlws.FILTER(SR[bydgoszcz_SR_Escore],(SR[Category]="senior")*(SR[bydgoszcz_SR_Escore])&gt;0),_xlfn._xlws.FILTER(SR[zabrze_SR_Escore],(SR[Category]="senior")*(SR[zabrze_SR_Escore])&gt;0),_xlfn._xlws.FILTER(SR[cracow_SR_Escore],(SR[Category]="senior")*(SR[cracow_SR_Escore])&gt;0),_xlfn._xlws.FILTER(SR[gdansk_SR_Escore],(SR[Category]="senior")*(SR[gdansk_SR_Escore])&gt;0))</f>
        <v>1.1926753859584667</v>
      </c>
      <c r="AC3" s="22" cm="1">
        <f t="array" ref="AC3">MAX(_xlfn._xlws.FILTER(SR[bydgoszcz_SR_Escore],SR[Category]="senior"),_xlfn._xlws.FILTER(SR[zabrze_SR_Escore],SR[Category]="senior"),_xlfn._xlws.FILTER(SR[cracow_SR_Escore],SR[Category]="senior"),_xlfn._xlws.FILTER(SR[gdansk_SR_Escore],SR[Category]="senior"))</f>
        <v>9.1999999999999993</v>
      </c>
    </row>
    <row r="4" spans="1:29" x14ac:dyDescent="0.25">
      <c r="A4" t="s">
        <v>94</v>
      </c>
      <c r="B4" s="2" t="s">
        <v>60</v>
      </c>
      <c r="C4" s="2" t="s">
        <v>95</v>
      </c>
      <c r="D4" t="s">
        <v>72</v>
      </c>
      <c r="E4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4" s="4">
        <v>0</v>
      </c>
      <c r="G4" s="7">
        <v>0</v>
      </c>
      <c r="H4" s="7">
        <v>0</v>
      </c>
      <c r="I4" s="4">
        <v>4</v>
      </c>
      <c r="J4" s="7">
        <v>8.4</v>
      </c>
      <c r="K4" s="7">
        <v>12.4</v>
      </c>
      <c r="L4" s="4">
        <v>4</v>
      </c>
      <c r="M4" s="7">
        <v>7.65</v>
      </c>
      <c r="N4" s="7">
        <v>11.65</v>
      </c>
      <c r="O4" s="4">
        <v>4.3</v>
      </c>
      <c r="P4" s="7">
        <v>7.2</v>
      </c>
      <c r="Q4" s="7">
        <v>11.5</v>
      </c>
      <c r="R4" s="4">
        <f>LARGE(CHOOSE({1;2;3;4},F4,I4,L4,O4),1)+LARGE(CHOOSE({1;2;3;4},F4,I4,L4,O4),2)+LARGE(CHOOSE({1;2;3;4},F4,I4,L4,O4),3)</f>
        <v>12.3</v>
      </c>
      <c r="S4" s="7">
        <f>LARGE(CHOOSE({1;2;3;4},G4,J4,M4,P4),1)+LARGE(CHOOSE({1;2;3;4},G4,J4,M4,P4),2)+LARGE(CHOOSE({1;2;3;4},G4,J4,M4,P4),3)</f>
        <v>23.25</v>
      </c>
      <c r="T4" s="7">
        <f>LARGE(CHOOSE({1;2;3;4},H4,K4,N4,Q4),1)+LARGE(CHOOSE({1;2;3;4},H4,K4,N4,Q4),2)+LARGE(CHOOSE({1;2;3;4},H4,K4,N4,Q4),3)</f>
        <v>35.549999999999997</v>
      </c>
      <c r="U4" s="4" cm="1">
        <f t="array" ref="U4">IF(SR[[#This Row],[Number_of_competition]:[Number_of_competition]]&gt;=3,(LARGE(CHOOSE({1;2;3;4},F4,I4,L4,O4),1)+LARGE(CHOOSE({1;2;3;4},F4,I4,L4,O4),2)+LARGE(CHOOSE({1;2;3;4},F4,I4,L4,O4),3))/3,0)</f>
        <v>4.1000000000000005</v>
      </c>
      <c r="V4" s="7" cm="1">
        <f t="array" ref="V4">IF(SR[[#This Row],[Number_of_competition]:[Number_of_competition]]&gt;=3,(LARGE(CHOOSE({1;2;3;4},G4,J4,M4,P4),1)+LARGE(CHOOSE({1;2;3;4},G4,J4,M4,P4),2)+LARGE(CHOOSE({1;2;3;4},G4,J4,M4,P4),3))/3,0)</f>
        <v>7.75</v>
      </c>
      <c r="W4" s="7" cm="1">
        <f t="array" ref="W4">IF(SR[[#This Row],[Number_of_competition]:[Number_of_competition]]&gt;=3,(LARGE(CHOOSE({1;2;3;4},H4,K4,N4,Q4),1)+LARGE(CHOOSE({1;2;3;4},H4,K4,N4,Q4),2)+LARGE(CHOOSE({1;2;3;4},H4,K4,N4,Q4),3))/3,0)</f>
        <v>11.85</v>
      </c>
      <c r="Y4" s="42"/>
      <c r="Z4" s="20" t="s">
        <v>268</v>
      </c>
      <c r="AA4" s="22" cm="1">
        <f t="array" ref="AA4">SUM(_xlfn._xlws.FILTER(SR[bydgoszcz_SR_Total_Score],SR[Category]="senior"),_xlfn._xlws.FILTER(SR[zabrze_SR_Total_Score],SR[Category]="senior"),_xlfn._xlws.FILTER(SR[cracow_SR_Total_Score],SR[Category]="senior"),_xlfn._xlws.FILTER(SR[gdansk_SR_Total_Score],SR[Category]="senior"))/(COUNTIFS(SR[bydgoszcz_SR_Total_Score],"&gt;0",SR[Category],"senior")+COUNTIFS(SR[zabrze_SR_Total_Score],"&gt;0",SR[Category],"senior")+COUNTIFS(SR[cracow_SR_Total_Score],"&gt;0",SR[Category],"senior")+COUNTIFS(SR[gdansk_SR_Total_Score],"&gt;0",SR[Category],"senior"))</f>
        <v>10.943333333333335</v>
      </c>
      <c r="AB4" s="22" cm="1">
        <f t="array" ref="AB4">_xlfn.STDEV.S(_xlfn._xlws.FILTER(SR[bydgoszcz_SR_Total_Score],(SR[Category]="senior")*(SR[bydgoszcz_SR_Total_Score])&gt;0),_xlfn._xlws.FILTER(SR[zabrze_SR_Total_Score],(SR[Category]="senior")*(SR[zabrze_SR_Total_Score])&gt;0),_xlfn._xlws.FILTER(SR[cracow_SR_Total_Score],(SR[Category]="senior")*(SR[cracow_SR_Total_Score])&gt;0),_xlfn._xlws.FILTER(SR[gdansk_SR_Total_Score],(SR[Category]="senior")*(SR[gdansk_SR_Total_Score])&gt;0))</f>
        <v>1.5734951559028219</v>
      </c>
      <c r="AC4" s="22" cm="1">
        <f t="array" ref="AC4">MAX(_xlfn._xlws.FILTER(SR[bydgoszcz_SR_Total_Score],SR[Category]="senior"),_xlfn._xlws.FILTER(SR[zabrze_SR_Total_Score],SR[Category]="senior"),_xlfn._xlws.FILTER(SR[cracow_SR_Total_Score],SR[Category]="senior"),_xlfn._xlws.FILTER(SR[gdansk_SR_Total_Score],SR[Category]="senior"))</f>
        <v>13.1</v>
      </c>
    </row>
    <row r="5" spans="1:29" x14ac:dyDescent="0.25">
      <c r="A5" t="s">
        <v>80</v>
      </c>
      <c r="B5" s="2" t="s">
        <v>60</v>
      </c>
      <c r="C5" s="2" t="s">
        <v>81</v>
      </c>
      <c r="D5" t="s">
        <v>62</v>
      </c>
      <c r="E5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5" s="4">
        <v>3.9</v>
      </c>
      <c r="G5" s="7">
        <v>6.4</v>
      </c>
      <c r="H5" s="7">
        <v>10.3</v>
      </c>
      <c r="I5" s="4">
        <v>3.7</v>
      </c>
      <c r="J5" s="7">
        <v>7.9</v>
      </c>
      <c r="K5" s="7">
        <v>11.6</v>
      </c>
      <c r="L5" s="4">
        <v>3.9</v>
      </c>
      <c r="M5" s="7">
        <v>8.1999999999999993</v>
      </c>
      <c r="N5" s="7">
        <v>12.1</v>
      </c>
      <c r="O5" s="4">
        <v>3.5</v>
      </c>
      <c r="P5" s="7">
        <v>8.3000000000000007</v>
      </c>
      <c r="Q5" s="7">
        <v>11.8</v>
      </c>
      <c r="R5" s="4">
        <f>LARGE(CHOOSE({1;2;3;4},F5,I5,L5,O5),1)+LARGE(CHOOSE({1;2;3;4},F5,I5,L5,O5),2)+LARGE(CHOOSE({1;2;3;4},F5,I5,L5,O5),3)</f>
        <v>11.5</v>
      </c>
      <c r="S5" s="7">
        <f>LARGE(CHOOSE({1;2;3;4},G5,J5,M5,P5),1)+LARGE(CHOOSE({1;2;3;4},G5,J5,M5,P5),2)+LARGE(CHOOSE({1;2;3;4},G5,J5,M5,P5),3)</f>
        <v>24.4</v>
      </c>
      <c r="T5" s="7">
        <f>LARGE(CHOOSE({1;2;3;4},H5,K5,N5,Q5),1)+LARGE(CHOOSE({1;2;3;4},H5,K5,N5,Q5),2)+LARGE(CHOOSE({1;2;3;4},H5,K5,N5,Q5),3)</f>
        <v>35.5</v>
      </c>
      <c r="U5" s="4" cm="1">
        <f t="array" ref="U5">IF(SR[[#This Row],[Number_of_competition]:[Number_of_competition]]&gt;=3,(LARGE(CHOOSE({1;2;3;4},F5,I5,L5,O5),1)+LARGE(CHOOSE({1;2;3;4},F5,I5,L5,O5),2)+LARGE(CHOOSE({1;2;3;4},F5,I5,L5,O5),3))/3,0)</f>
        <v>3.8333333333333335</v>
      </c>
      <c r="V5" s="7" cm="1">
        <f t="array" ref="V5">IF(SR[[#This Row],[Number_of_competition]:[Number_of_competition]]&gt;=3,(LARGE(CHOOSE({1;2;3;4},G5,J5,M5,P5),1)+LARGE(CHOOSE({1;2;3;4},G5,J5,M5,P5),2)+LARGE(CHOOSE({1;2;3;4},G5,J5,M5,P5),3))/3,0)</f>
        <v>8.1333333333333329</v>
      </c>
      <c r="W5" s="7" cm="1">
        <f t="array" ref="W5">IF(SR[[#This Row],[Number_of_competition]:[Number_of_competition]]&gt;=3,(LARGE(CHOOSE({1;2;3;4},H5,K5,N5,Q5),1)+LARGE(CHOOSE({1;2;3;4},H5,K5,N5,Q5),2)+LARGE(CHOOSE({1;2;3;4},H5,K5,N5,Q5),3))/3,0)</f>
        <v>11.833333333333334</v>
      </c>
      <c r="Y5" s="42"/>
      <c r="Z5" s="20" t="s">
        <v>275</v>
      </c>
      <c r="AA5" s="21" cm="1">
        <f t="array" ref="AA5">SUM(_xlfn._xlws.FILTER(SR[Year_Dscore],(SR[Category]="senior")*(SR[Number_of_competition]&gt;=3))/COUNTIFS(SR[Number_of_competition],"&gt;=3",SR[Category],"senior"))</f>
        <v>10.930000000000001</v>
      </c>
      <c r="AB5" s="21" cm="1">
        <f t="array" ref="AB5">_xlfn.STDEV.S(_xlfn._xlws.FILTER(SR[Year_Dscore],(SR[Category]="senior")*(SR[Number_of_competition]&gt;=3)))</f>
        <v>1.5055822055862096</v>
      </c>
      <c r="AC5" s="21" cm="1">
        <f t="array" ref="AC5">MAX(_xlfn._xlws.FILTER(SR[Year_Dscore],SR[Category]="senior"))</f>
        <v>13.099999999999998</v>
      </c>
    </row>
    <row r="6" spans="1:29" x14ac:dyDescent="0.25">
      <c r="A6" t="s">
        <v>77</v>
      </c>
      <c r="B6" s="2" t="s">
        <v>60</v>
      </c>
      <c r="C6" s="2" t="s">
        <v>78</v>
      </c>
      <c r="D6" t="s">
        <v>79</v>
      </c>
      <c r="E6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6" s="4">
        <v>4</v>
      </c>
      <c r="G6" s="7">
        <v>7.3</v>
      </c>
      <c r="H6" s="7">
        <v>11.3</v>
      </c>
      <c r="I6" s="4">
        <v>3.8</v>
      </c>
      <c r="J6" s="7">
        <v>8.4</v>
      </c>
      <c r="K6" s="7">
        <v>12.2</v>
      </c>
      <c r="L6" s="4">
        <v>3.8</v>
      </c>
      <c r="M6" s="7">
        <v>8.0500000000000007</v>
      </c>
      <c r="N6" s="7">
        <v>11.85</v>
      </c>
      <c r="O6" s="4">
        <v>3.4</v>
      </c>
      <c r="P6" s="7">
        <v>6</v>
      </c>
      <c r="Q6" s="7">
        <v>9.4</v>
      </c>
      <c r="R6" s="4">
        <f>LARGE(CHOOSE({1;2;3;4},F6,I6,L6,O6),1)+LARGE(CHOOSE({1;2;3;4},F6,I6,L6,O6),2)+LARGE(CHOOSE({1;2;3;4},F6,I6,L6,O6),3)</f>
        <v>11.6</v>
      </c>
      <c r="S6" s="7">
        <f>LARGE(CHOOSE({1;2;3;4},G6,J6,M6,P6),1)+LARGE(CHOOSE({1;2;3;4},G6,J6,M6,P6),2)+LARGE(CHOOSE({1;2;3;4},G6,J6,M6,P6),3)</f>
        <v>23.750000000000004</v>
      </c>
      <c r="T6" s="7">
        <f>LARGE(CHOOSE({1;2;3;4},H6,K6,N6,Q6),1)+LARGE(CHOOSE({1;2;3;4},H6,K6,N6,Q6),2)+LARGE(CHOOSE({1;2;3;4},H6,K6,N6,Q6),3)</f>
        <v>35.349999999999994</v>
      </c>
      <c r="U6" s="4" cm="1">
        <f t="array" ref="U6">IF(SR[[#This Row],[Number_of_competition]:[Number_of_competition]]&gt;=3,(LARGE(CHOOSE({1;2;3;4},F6,I6,L6,O6),1)+LARGE(CHOOSE({1;2;3;4},F6,I6,L6,O6),2)+LARGE(CHOOSE({1;2;3;4},F6,I6,L6,O6),3))/3,0)</f>
        <v>3.8666666666666667</v>
      </c>
      <c r="V6" s="7" cm="1">
        <f t="array" ref="V6">IF(SR[[#This Row],[Number_of_competition]:[Number_of_competition]]&gt;=3,(LARGE(CHOOSE({1;2;3;4},G6,J6,M6,P6),1)+LARGE(CHOOSE({1;2;3;4},G6,J6,M6,P6),2)+LARGE(CHOOSE({1;2;3;4},G6,J6,M6,P6),3))/3,0)</f>
        <v>7.9166666666666679</v>
      </c>
      <c r="W6" s="7" cm="1">
        <f t="array" ref="W6">IF(SR[[#This Row],[Number_of_competition]:[Number_of_competition]]&gt;=3,(LARGE(CHOOSE({1;2;3;4},H6,K6,N6,Q6),1)+LARGE(CHOOSE({1;2;3;4},H6,K6,N6,Q6),2)+LARGE(CHOOSE({1;2;3;4},H6,K6,N6,Q6),3))/3,0)</f>
        <v>11.783333333333331</v>
      </c>
      <c r="Y6" s="42"/>
      <c r="Z6" s="20" t="s">
        <v>276</v>
      </c>
      <c r="AA6" s="22" cm="1">
        <f t="array" ref="AA6">SUM(_xlfn._xlws.FILTER(SR[Year_Escore],(SR[Category]="senior")*(SR[Number_of_competition]&gt;=3))/COUNTIFS(SR[Number_of_competition],"&gt;=3",SR[Category],"senior"))</f>
        <v>22.880000000000003</v>
      </c>
      <c r="AB6" s="22" cm="1">
        <f t="array" ref="AB6">_xlfn.STDEV.S(_xlfn._xlws.FILTER(SR[Year_Escore],(SR[Category]="senior")*(SR[Number_of_competition]&gt;=3)))</f>
        <v>2.6866129026878651</v>
      </c>
      <c r="AC6" s="22" cm="1">
        <f t="array" ref="AC6">MAX(_xlfn._xlws.FILTER(SR[Year_Escore],SR[Category]="senior"))</f>
        <v>25.65</v>
      </c>
    </row>
    <row r="7" spans="1:29" x14ac:dyDescent="0.25">
      <c r="A7" t="s">
        <v>68</v>
      </c>
      <c r="B7" s="2" t="s">
        <v>60</v>
      </c>
      <c r="C7" s="2" t="s">
        <v>69</v>
      </c>
      <c r="D7" t="s">
        <v>31</v>
      </c>
      <c r="E7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7" s="4">
        <v>3.2</v>
      </c>
      <c r="G7" s="7">
        <v>7.4</v>
      </c>
      <c r="H7" s="7">
        <v>10.6</v>
      </c>
      <c r="I7" s="4">
        <v>3.8</v>
      </c>
      <c r="J7" s="7">
        <v>7.7</v>
      </c>
      <c r="K7" s="7">
        <v>11.5</v>
      </c>
      <c r="L7" s="4">
        <v>3.8</v>
      </c>
      <c r="M7" s="7">
        <v>8.5500000000000007</v>
      </c>
      <c r="N7" s="7">
        <v>12.35</v>
      </c>
      <c r="O7" s="4">
        <v>3.7</v>
      </c>
      <c r="P7" s="7">
        <v>7.3</v>
      </c>
      <c r="Q7" s="7">
        <v>11</v>
      </c>
      <c r="R7" s="4">
        <f>LARGE(CHOOSE({1;2;3;4},F7,I7,L7,O7),1)+LARGE(CHOOSE({1;2;3;4},F7,I7,L7,O7),2)+LARGE(CHOOSE({1;2;3;4},F7,I7,L7,O7),3)</f>
        <v>11.3</v>
      </c>
      <c r="S7" s="7">
        <f>LARGE(CHOOSE({1;2;3;4},G7,J7,M7,P7),1)+LARGE(CHOOSE({1;2;3;4},G7,J7,M7,P7),2)+LARGE(CHOOSE({1;2;3;4},G7,J7,M7,P7),3)</f>
        <v>23.65</v>
      </c>
      <c r="T7" s="7">
        <f>LARGE(CHOOSE({1;2;3;4},H7,K7,N7,Q7),1)+LARGE(CHOOSE({1;2;3;4},H7,K7,N7,Q7),2)+LARGE(CHOOSE({1;2;3;4},H7,K7,N7,Q7),3)</f>
        <v>34.85</v>
      </c>
      <c r="U7" s="4" cm="1">
        <f t="array" ref="U7">IF(SR[[#This Row],[Number_of_competition]:[Number_of_competition]]&gt;=3,(LARGE(CHOOSE({1;2;3;4},F7,I7,L7,O7),1)+LARGE(CHOOSE({1;2;3;4},F7,I7,L7,O7),2)+LARGE(CHOOSE({1;2;3;4},F7,I7,L7,O7),3))/3,0)</f>
        <v>3.7666666666666671</v>
      </c>
      <c r="V7" s="7" cm="1">
        <f t="array" ref="V7">IF(SR[[#This Row],[Number_of_competition]:[Number_of_competition]]&gt;=3,(LARGE(CHOOSE({1;2;3;4},G7,J7,M7,P7),1)+LARGE(CHOOSE({1;2;3;4},G7,J7,M7,P7),2)+LARGE(CHOOSE({1;2;3;4},G7,J7,M7,P7),3))/3,0)</f>
        <v>7.8833333333333329</v>
      </c>
      <c r="W7" s="7" cm="1">
        <f t="array" ref="W7">IF(SR[[#This Row],[Number_of_competition]:[Number_of_competition]]&gt;=3,(LARGE(CHOOSE({1;2;3;4},H7,K7,N7,Q7),1)+LARGE(CHOOSE({1;2;3;4},H7,K7,N7,Q7),2)+LARGE(CHOOSE({1;2;3;4},H7,K7,N7,Q7),3))/3,0)</f>
        <v>11.616666666666667</v>
      </c>
      <c r="Y7" s="43"/>
      <c r="Z7" s="20" t="s">
        <v>277</v>
      </c>
      <c r="AA7" s="22" cm="1">
        <f t="array" ref="AA7">SUM(_xlfn._xlws.FILTER(SR[Year_Total_Score],(SR[Category]="senior")*(SR[Number_of_competition]&gt;=3))/COUNTIFS(SR[Number_of_competition],"&gt;=3",SR[Category],"senior"))</f>
        <v>33.659999999999997</v>
      </c>
      <c r="AB7" s="22" cm="1">
        <f t="array" ref="AB7">_xlfn.STDEV.S(_xlfn._xlws.FILTER(SR[Year_Total_Score],(SR[Category]="senior")*(SR[Number_of_competition]&gt;=3)))</f>
        <v>3.6583086559532512</v>
      </c>
      <c r="AC7" s="22" cm="1">
        <f t="array" ref="AC7">MAX(_xlfn._xlws.FILTER(SR[Year_Total_Score],SR[Category]="senior"))</f>
        <v>36.65</v>
      </c>
    </row>
    <row r="8" spans="1:29" x14ac:dyDescent="0.25">
      <c r="A8" t="s">
        <v>34</v>
      </c>
      <c r="B8" s="2" t="s">
        <v>26</v>
      </c>
      <c r="C8" s="2" t="s">
        <v>35</v>
      </c>
      <c r="D8" t="s">
        <v>36</v>
      </c>
      <c r="E8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8" s="4">
        <v>3.6</v>
      </c>
      <c r="G8" s="7">
        <v>7.8</v>
      </c>
      <c r="H8" s="7">
        <v>11.4</v>
      </c>
      <c r="I8" s="4">
        <v>3.9</v>
      </c>
      <c r="J8" s="7">
        <v>8.1</v>
      </c>
      <c r="K8" s="7">
        <v>12</v>
      </c>
      <c r="L8" s="4">
        <v>3.7</v>
      </c>
      <c r="M8" s="7">
        <v>7.45</v>
      </c>
      <c r="N8" s="7">
        <v>11.15</v>
      </c>
      <c r="O8" s="4">
        <v>3.4</v>
      </c>
      <c r="P8" s="7">
        <v>7.7</v>
      </c>
      <c r="Q8" s="7">
        <v>11.1</v>
      </c>
      <c r="R8" s="4">
        <f>LARGE(CHOOSE({1;2;3;4},F8,I8,L8,O8),1)+LARGE(CHOOSE({1;2;3;4},F8,I8,L8,O8),2)+LARGE(CHOOSE({1;2;3;4},F8,I8,L8,O8),3)</f>
        <v>11.2</v>
      </c>
      <c r="S8" s="7">
        <f>LARGE(CHOOSE({1;2;3;4},G8,J8,M8,P8),1)+LARGE(CHOOSE({1;2;3;4},G8,J8,M8,P8),2)+LARGE(CHOOSE({1;2;3;4},G8,J8,M8,P8),3)</f>
        <v>23.599999999999998</v>
      </c>
      <c r="T8" s="7">
        <f>LARGE(CHOOSE({1;2;3;4},H8,K8,N8,Q8),1)+LARGE(CHOOSE({1;2;3;4},H8,K8,N8,Q8),2)+LARGE(CHOOSE({1;2;3;4},H8,K8,N8,Q8),3)</f>
        <v>34.549999999999997</v>
      </c>
      <c r="U8" s="4" cm="1">
        <f t="array" ref="U8">IF(SR[[#This Row],[Number_of_competition]:[Number_of_competition]]&gt;=3,(LARGE(CHOOSE({1;2;3;4},F8,I8,L8,O8),1)+LARGE(CHOOSE({1;2;3;4},F8,I8,L8,O8),2)+LARGE(CHOOSE({1;2;3;4},F8,I8,L8,O8),3))/3,0)</f>
        <v>3.7333333333333329</v>
      </c>
      <c r="V8" s="7" cm="1">
        <f t="array" ref="V8">IF(SR[[#This Row],[Number_of_competition]:[Number_of_competition]]&gt;=3,(LARGE(CHOOSE({1;2;3;4},G8,J8,M8,P8),1)+LARGE(CHOOSE({1;2;3;4},G8,J8,M8,P8),2)+LARGE(CHOOSE({1;2;3;4},G8,J8,M8,P8),3))/3,0)</f>
        <v>7.8666666666666663</v>
      </c>
      <c r="W8" s="7" cm="1">
        <f t="array" ref="W8">IF(SR[[#This Row],[Number_of_competition]:[Number_of_competition]]&gt;=3,(LARGE(CHOOSE({1;2;3;4},H8,K8,N8,Q8),1)+LARGE(CHOOSE({1;2;3;4},H8,K8,N8,Q8),2)+LARGE(CHOOSE({1;2;3;4},H8,K8,N8,Q8),3))/3,0)</f>
        <v>11.516666666666666</v>
      </c>
      <c r="Y8" s="41" t="s">
        <v>26</v>
      </c>
      <c r="Z8" s="20" t="s">
        <v>269</v>
      </c>
      <c r="AA8" s="21" cm="1">
        <f t="array" ref="AA8">SUM(_xlfn._xlws.FILTER(SR[bydgoszcz_SR_Dscore],SR[Category]="junior"),_xlfn._xlws.FILTER(SR[zabrze_SR_Dscore],SR[Category]="junior"),_xlfn._xlws.FILTER(SR[cracow_SR_Dscore],SR[Category]="junior"),_xlfn._xlws.FILTER(SR[gdansk_SR_Dscore],SR[Category]="junior"))/(COUNTIFS(SR[bydgoszcz_SR_Dscore],"&gt;0",SR[Category],"junior")+COUNTIFS(SR[zabrze_SR_Dscore],"&gt;0",SR[Category],"junior")+COUNTIFS(SR[cracow_SR_Dscore],"&gt;0",SR[Category],"junior")+COUNTIFS(SR[gdansk_SR_Dscore],"&gt;0",SR[Category],"junior"))</f>
        <v>2.6319999999999997</v>
      </c>
      <c r="AB8" s="21" cm="1">
        <f t="array" ref="AB8">_xlfn.STDEV.S(_xlfn._xlws.FILTER(SR[bydgoszcz_SR_Dscore],(SR[Category]="junior")*(SR[bydgoszcz_SR_Dscore])&gt;0),_xlfn._xlws.FILTER(SR[zabrze_SR_Dscore],(SR[Category]="junior")*(SR[zabrze_SR_Dscore])&gt;0),_xlfn._xlws.FILTER(SR[cracow_SR_Dscore],(SR[Category]="junior")*(SR[cracow_SR_Dscore])&gt;0),_xlfn._xlws.FILTER(SR[gdansk_SR_Dscore],(SR[Category]="junior")*(SR[gdansk_SR_Dscore])&gt;0))</f>
        <v>0.61393345381587205</v>
      </c>
      <c r="AC8" s="21" cm="1">
        <f t="array" ref="AC8">MAX(_xlfn._xlws.FILTER(SR[bydgoszcz_SR_Dscore],SR[Category]="junior"),_xlfn._xlws.FILTER(SR[zabrze_SR_Dscore],SR[Category]="junior"),_xlfn._xlws.FILTER(SR[cracow_SR_Dscore],SR[Category]="junior"),_xlfn._xlws.FILTER(SR[gdansk_SR_Dscore],SR[Category]="junior"))</f>
        <v>3.9</v>
      </c>
    </row>
    <row r="9" spans="1:29" x14ac:dyDescent="0.25">
      <c r="A9" t="s">
        <v>82</v>
      </c>
      <c r="B9" s="2" t="s">
        <v>60</v>
      </c>
      <c r="C9" s="2" t="s">
        <v>83</v>
      </c>
      <c r="D9" t="s">
        <v>36</v>
      </c>
      <c r="E9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9" s="4">
        <v>0</v>
      </c>
      <c r="G9" s="7">
        <v>0</v>
      </c>
      <c r="H9" s="7">
        <v>0</v>
      </c>
      <c r="I9" s="4">
        <v>3.8</v>
      </c>
      <c r="J9" s="7">
        <v>7.5</v>
      </c>
      <c r="K9" s="7">
        <v>11.3</v>
      </c>
      <c r="L9" s="4">
        <v>3.8</v>
      </c>
      <c r="M9" s="7">
        <v>7.7</v>
      </c>
      <c r="N9" s="7">
        <v>11.5</v>
      </c>
      <c r="O9" s="4">
        <v>3.8</v>
      </c>
      <c r="P9" s="7">
        <v>7.9</v>
      </c>
      <c r="Q9" s="7">
        <v>11.7</v>
      </c>
      <c r="R9" s="4">
        <f>LARGE(CHOOSE({1;2;3;4},F9,I9,L9,O9),1)+LARGE(CHOOSE({1;2;3;4},F9,I9,L9,O9),2)+LARGE(CHOOSE({1;2;3;4},F9,I9,L9,O9),3)</f>
        <v>11.399999999999999</v>
      </c>
      <c r="S9" s="7">
        <f>LARGE(CHOOSE({1;2;3;4},G9,J9,M9,P9),1)+LARGE(CHOOSE({1;2;3;4},G9,J9,M9,P9),2)+LARGE(CHOOSE({1;2;3;4},G9,J9,M9,P9),3)</f>
        <v>23.1</v>
      </c>
      <c r="T9" s="7">
        <f>LARGE(CHOOSE({1;2;3;4},H9,K9,N9,Q9),1)+LARGE(CHOOSE({1;2;3;4},H9,K9,N9,Q9),2)+LARGE(CHOOSE({1;2;3;4},H9,K9,N9,Q9),3)</f>
        <v>34.5</v>
      </c>
      <c r="U9" s="4" cm="1">
        <f t="array" ref="U9">IF(SR[[#This Row],[Number_of_competition]:[Number_of_competition]]&gt;=3,(LARGE(CHOOSE({1;2;3;4},F9,I9,L9,O9),1)+LARGE(CHOOSE({1;2;3;4},F9,I9,L9,O9),2)+LARGE(CHOOSE({1;2;3;4},F9,I9,L9,O9),3))/3,0)</f>
        <v>3.7999999999999994</v>
      </c>
      <c r="V9" s="7" cm="1">
        <f t="array" ref="V9">IF(SR[[#This Row],[Number_of_competition]:[Number_of_competition]]&gt;=3,(LARGE(CHOOSE({1;2;3;4},G9,J9,M9,P9),1)+LARGE(CHOOSE({1;2;3;4},G9,J9,M9,P9),2)+LARGE(CHOOSE({1;2;3;4},G9,J9,M9,P9),3))/3,0)</f>
        <v>7.7</v>
      </c>
      <c r="W9" s="7" cm="1">
        <f t="array" ref="W9">IF(SR[[#This Row],[Number_of_competition]:[Number_of_competition]]&gt;=3,(LARGE(CHOOSE({1;2;3;4},H9,K9,N9,Q9),1)+LARGE(CHOOSE({1;2;3;4},H9,K9,N9,Q9),2)+LARGE(CHOOSE({1;2;3;4},H9,K9,N9,Q9),3))/3,0)</f>
        <v>11.5</v>
      </c>
      <c r="Y9" s="42"/>
      <c r="Z9" s="20" t="s">
        <v>267</v>
      </c>
      <c r="AA9" s="22" cm="1">
        <f t="array" ref="AA9">SUM(_xlfn._xlws.FILTER(SR[bydgoszcz_SR_Escore],SR[Category]="junior"),_xlfn._xlws.FILTER(SR[zabrze_SR_Escore],SR[Category]="junior"),_xlfn._xlws.FILTER(SR[cracow_SR_Escore],SR[Category]="junior"),_xlfn._xlws.FILTER(SR[gdansk_SR_Escore],SR[Category]="junior"))/(COUNTIFS(SR[bydgoszcz_SR_Escore],"&gt;0",SR[Category],"junior")+COUNTIFS(SR[zabrze_SR_Escore],"&gt;0",SR[Category],"junior")+COUNTIFS(SR[cracow_SR_Escore],"&gt;0",SR[Category],"junior")+COUNTIFS(SR[gdansk_SR_Escore],"&gt;0",SR[Category],"junior"))</f>
        <v>7.4880000000000004</v>
      </c>
      <c r="AB9" s="22" cm="1">
        <f t="array" ref="AB9">_xlfn.STDEV.S(_xlfn._xlws.FILTER(SR[bydgoszcz_SR_Escore],(SR[Category]="junior")*(SR[bydgoszcz_SR_Escore])&gt;0),_xlfn._xlws.FILTER(SR[zabrze_SR_Escore],(SR[Category]="junior")*(SR[zabrze_SR_Escore])&gt;0),_xlfn._xlws.FILTER(SR[cracow_SR_Escore],(SR[Category]="junior")*(SR[cracow_SR_Escore])&gt;0),_xlfn._xlws.FILTER(SR[gdansk_SR_Escore],(SR[Category]="junior")*(SR[gdansk_SR_Escore])&gt;0))</f>
        <v>0.94548119699840694</v>
      </c>
      <c r="AC9" s="22" cm="1">
        <f t="array" ref="AC9">MAX(_xlfn._xlws.FILTER(SR[bydgoszcz_SR_Escore],SR[Category]="junior"),_xlfn._xlws.FILTER(SR[zabrze_SR_Escore],SR[Category]="junior"),_xlfn._xlws.FILTER(SR[cracow_SR_Escore],SR[Category]="junior"),_xlfn._xlws.FILTER(SR[gdansk_SR_Escore],SR[Category]="junior"))</f>
        <v>9</v>
      </c>
    </row>
    <row r="10" spans="1:29" x14ac:dyDescent="0.25">
      <c r="A10" t="s">
        <v>25</v>
      </c>
      <c r="B10" s="2" t="s">
        <v>26</v>
      </c>
      <c r="C10" s="2" t="s">
        <v>27</v>
      </c>
      <c r="D10" t="s">
        <v>28</v>
      </c>
      <c r="E10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0" s="4">
        <v>2.8</v>
      </c>
      <c r="G10" s="7">
        <v>8.85</v>
      </c>
      <c r="H10" s="7">
        <v>11.65</v>
      </c>
      <c r="I10" s="4">
        <v>2.6</v>
      </c>
      <c r="J10" s="7">
        <v>8.1999999999999993</v>
      </c>
      <c r="K10" s="7">
        <v>10.8</v>
      </c>
      <c r="L10" s="4">
        <v>2.8</v>
      </c>
      <c r="M10" s="7">
        <v>8.4</v>
      </c>
      <c r="N10" s="7">
        <v>11.2</v>
      </c>
      <c r="O10" s="4">
        <v>2.8</v>
      </c>
      <c r="P10" s="7">
        <v>8.4</v>
      </c>
      <c r="Q10" s="7">
        <v>11.2</v>
      </c>
      <c r="R10" s="4">
        <f>LARGE(CHOOSE({1;2;3;4},F10,I10,L10,O10),1)+LARGE(CHOOSE({1;2;3;4},F10,I10,L10,O10),2)+LARGE(CHOOSE({1;2;3;4},F10,I10,L10,O10),3)</f>
        <v>8.3999999999999986</v>
      </c>
      <c r="S10" s="7">
        <f>LARGE(CHOOSE({1;2;3;4},G10,J10,M10,P10),1)+LARGE(CHOOSE({1;2;3;4},G10,J10,M10,P10),2)+LARGE(CHOOSE({1;2;3;4},G10,J10,M10,P10),3)</f>
        <v>25.65</v>
      </c>
      <c r="T10" s="7">
        <f>LARGE(CHOOSE({1;2;3;4},H10,K10,N10,Q10),1)+LARGE(CHOOSE({1;2;3;4},H10,K10,N10,Q10),2)+LARGE(CHOOSE({1;2;3;4},H10,K10,N10,Q10),3)</f>
        <v>34.049999999999997</v>
      </c>
      <c r="U10" s="4" cm="1">
        <f t="array" ref="U10">IF(SR[[#This Row],[Number_of_competition]:[Number_of_competition]]&gt;=3,(LARGE(CHOOSE({1;2;3;4},F10,I10,L10,O10),1)+LARGE(CHOOSE({1;2;3;4},F10,I10,L10,O10),2)+LARGE(CHOOSE({1;2;3;4},F10,I10,L10,O10),3))/3,0)</f>
        <v>2.7999999999999994</v>
      </c>
      <c r="V10" s="7" cm="1">
        <f t="array" ref="V10">IF(SR[[#This Row],[Number_of_competition]:[Number_of_competition]]&gt;=3,(LARGE(CHOOSE({1;2;3;4},G10,J10,M10,P10),1)+LARGE(CHOOSE({1;2;3;4},G10,J10,M10,P10),2)+LARGE(CHOOSE({1;2;3;4},G10,J10,M10,P10),3))/3,0)</f>
        <v>8.5499999999999989</v>
      </c>
      <c r="W10" s="7" cm="1">
        <f t="array" ref="W10">IF(SR[[#This Row],[Number_of_competition]:[Number_of_competition]]&gt;=3,(LARGE(CHOOSE({1;2;3;4},H10,K10,N10,Q10),1)+LARGE(CHOOSE({1;2;3;4},H10,K10,N10,Q10),2)+LARGE(CHOOSE({1;2;3;4},H10,K10,N10,Q10),3))/3,0)</f>
        <v>11.35</v>
      </c>
      <c r="Y10" s="42"/>
      <c r="Z10" s="20" t="s">
        <v>268</v>
      </c>
      <c r="AA10" s="22" cm="1">
        <f t="array" ref="AA10">SUM(_xlfn._xlws.FILTER(SR[bydgoszcz_SR_Total_Score],SR[Category]="junior"),_xlfn._xlws.FILTER(SR[zabrze_SR_Total_Score],SR[Category]="junior"),_xlfn._xlws.FILTER(SR[cracow_SR_Total_Score],SR[Category]="junior"),_xlfn._xlws.FILTER(SR[gdansk_SR_Total_Score],SR[Category]="junior"))/(COUNTIFS(SR[bydgoszcz_SR_Total_Score],"&gt;0",SR[Category],"junior")+COUNTIFS(SR[zabrze_SR_Total_Score],"&gt;0",SR[Category],"junior")+COUNTIFS(SR[cracow_SR_Total_Score],"&gt;0",SR[Category],"junior")+COUNTIFS(SR[gdansk_SR_Total_Score],"&gt;0",SR[Category],"junior"))</f>
        <v>10.119999999999999</v>
      </c>
      <c r="AB10" s="22" cm="1">
        <f t="array" ref="AB10">_xlfn.STDEV.S(_xlfn._xlws.FILTER(SR[bydgoszcz_SR_Total_Score],(SR[Category]="junior")*(SR[bydgoszcz_SR_Total_Score])&gt;0),_xlfn._xlws.FILTER(SR[zabrze_SR_Total_Score],(SR[Category]="junior")*(SR[zabrze_SR_Total_Score])&gt;0),_xlfn._xlws.FILTER(SR[cracow_SR_Total_Score],(SR[Category]="junior")*(SR[cracow_SR_Total_Score])&gt;0),_xlfn._xlws.FILTER(SR[gdansk_SR_Total_Score],(SR[Category]="junior")*(SR[gdansk_SR_Total_Score])&gt;0))</f>
        <v>1.2946514778038192</v>
      </c>
      <c r="AC10" s="22" cm="1">
        <f t="array" ref="AC10">MAX(_xlfn._xlws.FILTER(SR[bydgoszcz_SR_Total_Score],SR[Category]="junior"),_xlfn._xlws.FILTER(SR[zabrze_SR_Total_Score],SR[Category]="junior"),_xlfn._xlws.FILTER(SR[cracow_SR_Total_Score],SR[Category]="junior"),_xlfn._xlws.FILTER(SR[gdansk_SR_Total_Score],SR[Category]="junior"))</f>
        <v>12.2</v>
      </c>
    </row>
    <row r="11" spans="1:29" x14ac:dyDescent="0.25">
      <c r="A11" t="s">
        <v>32</v>
      </c>
      <c r="B11" s="2" t="s">
        <v>26</v>
      </c>
      <c r="C11" s="2" t="s">
        <v>33</v>
      </c>
      <c r="D11" t="s">
        <v>31</v>
      </c>
      <c r="E11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1" s="4">
        <v>3.3</v>
      </c>
      <c r="G11" s="7">
        <v>7.1</v>
      </c>
      <c r="H11" s="7">
        <v>10.4</v>
      </c>
      <c r="I11" s="4">
        <v>3.2</v>
      </c>
      <c r="J11" s="7">
        <v>9</v>
      </c>
      <c r="K11" s="7">
        <v>12.2</v>
      </c>
      <c r="L11" s="4">
        <v>3.3</v>
      </c>
      <c r="M11" s="7">
        <v>6.95</v>
      </c>
      <c r="N11" s="7">
        <v>10.25</v>
      </c>
      <c r="O11" s="4">
        <v>3.3</v>
      </c>
      <c r="P11" s="7">
        <v>7.9</v>
      </c>
      <c r="Q11" s="7">
        <v>11.2</v>
      </c>
      <c r="R11" s="4">
        <f>LARGE(CHOOSE({1;2;3;4},F11,I11,L11,O11),1)+LARGE(CHOOSE({1;2;3;4},F11,I11,L11,O11),2)+LARGE(CHOOSE({1;2;3;4},F11,I11,L11,O11),3)</f>
        <v>9.8999999999999986</v>
      </c>
      <c r="S11" s="7">
        <f>LARGE(CHOOSE({1;2;3;4},G11,J11,M11,P11),1)+LARGE(CHOOSE({1;2;3;4},G11,J11,M11,P11),2)+LARGE(CHOOSE({1;2;3;4},G11,J11,M11,P11),3)</f>
        <v>24</v>
      </c>
      <c r="T11" s="7">
        <f>LARGE(CHOOSE({1;2;3;4},H11,K11,N11,Q11),1)+LARGE(CHOOSE({1;2;3;4},H11,K11,N11,Q11),2)+LARGE(CHOOSE({1;2;3;4},H11,K11,N11,Q11),3)</f>
        <v>33.799999999999997</v>
      </c>
      <c r="U11" s="4" cm="1">
        <f t="array" ref="U11">IF(SR[[#This Row],[Number_of_competition]:[Number_of_competition]]&gt;=3,(LARGE(CHOOSE({1;2;3;4},F11,I11,L11,O11),1)+LARGE(CHOOSE({1;2;3;4},F11,I11,L11,O11),2)+LARGE(CHOOSE({1;2;3;4},F11,I11,L11,O11),3))/3,0)</f>
        <v>3.2999999999999994</v>
      </c>
      <c r="V11" s="7" cm="1">
        <f t="array" ref="V11">IF(SR[[#This Row],[Number_of_competition]:[Number_of_competition]]&gt;=3,(LARGE(CHOOSE({1;2;3;4},G11,J11,M11,P11),1)+LARGE(CHOOSE({1;2;3;4},G11,J11,M11,P11),2)+LARGE(CHOOSE({1;2;3;4},G11,J11,M11,P11),3))/3,0)</f>
        <v>8</v>
      </c>
      <c r="W11" s="7" cm="1">
        <f t="array" ref="W11">IF(SR[[#This Row],[Number_of_competition]:[Number_of_competition]]&gt;=3,(LARGE(CHOOSE({1;2;3;4},H11,K11,N11,Q11),1)+LARGE(CHOOSE({1;2;3;4},H11,K11,N11,Q11),2)+LARGE(CHOOSE({1;2;3;4},H11,K11,N11,Q11),3))/3,0)</f>
        <v>11.266666666666666</v>
      </c>
      <c r="Y11" s="42"/>
      <c r="Z11" s="20" t="s">
        <v>275</v>
      </c>
      <c r="AA11" s="21" cm="1">
        <f t="array" ref="AA11">SUM(_xlfn._xlws.FILTER(SR[Year_Dscore],(SR[Category]="junior")*(SR[Number_of_competition]&gt;=3))/COUNTIFS(SR[Number_of_competition],"&gt;=3",SR[Category],"junior"))</f>
        <v>8.2100000000000009</v>
      </c>
      <c r="AB11" s="21" cm="1">
        <f t="array" ref="AB11">_xlfn.STDEV.S(_xlfn._xlws.FILTER(SR[Year_Dscore],(SR[Category]="junior")*(SR[Number_of_competition]&gt;=3)))</f>
        <v>1.7342625714310571</v>
      </c>
      <c r="AC11" s="21" cm="1">
        <f t="array" ref="AC11">MAX(_xlfn._xlws.FILTER(SR[Year_Dscore],SR[Category]="junior"))</f>
        <v>11.2</v>
      </c>
    </row>
    <row r="12" spans="1:29" x14ac:dyDescent="0.25">
      <c r="A12" t="s">
        <v>40</v>
      </c>
      <c r="B12" s="2" t="s">
        <v>26</v>
      </c>
      <c r="C12" s="2" t="s">
        <v>41</v>
      </c>
      <c r="D12" t="s">
        <v>39</v>
      </c>
      <c r="E12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12" s="4">
        <v>0</v>
      </c>
      <c r="G12" s="7">
        <v>0</v>
      </c>
      <c r="H12" s="7">
        <v>0</v>
      </c>
      <c r="I12" s="4">
        <v>3.4</v>
      </c>
      <c r="J12" s="7">
        <v>8.1999999999999993</v>
      </c>
      <c r="K12" s="7">
        <v>11.6</v>
      </c>
      <c r="L12" s="4">
        <v>3.4</v>
      </c>
      <c r="M12" s="7">
        <v>7.9</v>
      </c>
      <c r="N12" s="7">
        <v>11.3</v>
      </c>
      <c r="O12" s="4">
        <v>3.4</v>
      </c>
      <c r="P12" s="7">
        <v>6</v>
      </c>
      <c r="Q12" s="7">
        <v>9.4</v>
      </c>
      <c r="R12" s="4">
        <f>LARGE(CHOOSE({1;2;3;4},F12,I12,L12,O12),1)+LARGE(CHOOSE({1;2;3;4},F12,I12,L12,O12),2)+LARGE(CHOOSE({1;2;3;4},F12,I12,L12,O12),3)</f>
        <v>10.199999999999999</v>
      </c>
      <c r="S12" s="7">
        <f>LARGE(CHOOSE({1;2;3;4},G12,J12,M12,P12),1)+LARGE(CHOOSE({1;2;3;4},G12,J12,M12,P12),2)+LARGE(CHOOSE({1;2;3;4},G12,J12,M12,P12),3)</f>
        <v>22.1</v>
      </c>
      <c r="T12" s="7">
        <f>LARGE(CHOOSE({1;2;3;4},H12,K12,N12,Q12),1)+LARGE(CHOOSE({1;2;3;4},H12,K12,N12,Q12),2)+LARGE(CHOOSE({1;2;3;4},H12,K12,N12,Q12),3)</f>
        <v>32.299999999999997</v>
      </c>
      <c r="U12" s="4" cm="1">
        <f t="array" ref="U12">IF(SR[[#This Row],[Number_of_competition]:[Number_of_competition]]&gt;=3,(LARGE(CHOOSE({1;2;3;4},F12,I12,L12,O12),1)+LARGE(CHOOSE({1;2;3;4},F12,I12,L12,O12),2)+LARGE(CHOOSE({1;2;3;4},F12,I12,L12,O12),3))/3,0)</f>
        <v>3.4</v>
      </c>
      <c r="V12" s="7" cm="1">
        <f t="array" ref="V12">IF(SR[[#This Row],[Number_of_competition]:[Number_of_competition]]&gt;=3,(LARGE(CHOOSE({1;2;3;4},G12,J12,M12,P12),1)+LARGE(CHOOSE({1;2;3;4},G12,J12,M12,P12),2)+LARGE(CHOOSE({1;2;3;4},G12,J12,M12,P12),3))/3,0)</f>
        <v>7.3666666666666671</v>
      </c>
      <c r="W12" s="7" cm="1">
        <f t="array" ref="W12">IF(SR[[#This Row],[Number_of_competition]:[Number_of_competition]]&gt;=3,(LARGE(CHOOSE({1;2;3;4},H12,K12,N12,Q12),1)+LARGE(CHOOSE({1;2;3;4},H12,K12,N12,Q12),2)+LARGE(CHOOSE({1;2;3;4},H12,K12,N12,Q12),3))/3,0)</f>
        <v>10.766666666666666</v>
      </c>
      <c r="Y12" s="42"/>
      <c r="Z12" s="20" t="s">
        <v>276</v>
      </c>
      <c r="AA12" s="22" cm="1">
        <f t="array" ref="AA12">SUM(_xlfn._xlws.FILTER(SR[Year_Escore],(SR[Category]="junior")*(SR[Number_of_competition]&gt;=3))/COUNTIFS(SR[Number_of_competition],"&gt;=3",SR[Category],"junior"))</f>
        <v>23.279999999999998</v>
      </c>
      <c r="AB12" s="22" cm="1">
        <f t="array" ref="AB12">_xlfn.STDEV.S(_xlfn._xlws.FILTER(SR[Year_Escore],(SR[Category]="junior")*(SR[Number_of_competition]&gt;=3)))</f>
        <v>1.302390963659616</v>
      </c>
      <c r="AC12" s="22" cm="1">
        <f t="array" ref="AC12">MAX(_xlfn._xlws.FILTER(SR[Year_Escore],SR[Category]="junior"))</f>
        <v>25.65</v>
      </c>
    </row>
    <row r="13" spans="1:29" x14ac:dyDescent="0.25">
      <c r="A13" t="s">
        <v>84</v>
      </c>
      <c r="B13" s="2" t="s">
        <v>60</v>
      </c>
      <c r="C13" s="2" t="s">
        <v>85</v>
      </c>
      <c r="D13" t="s">
        <v>39</v>
      </c>
      <c r="E13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3" s="4">
        <v>3.6</v>
      </c>
      <c r="G13" s="7">
        <v>7.5</v>
      </c>
      <c r="H13" s="7">
        <v>11.1</v>
      </c>
      <c r="I13" s="4">
        <v>3.4</v>
      </c>
      <c r="J13" s="7">
        <v>7.3</v>
      </c>
      <c r="K13" s="7">
        <v>10.7</v>
      </c>
      <c r="L13" s="4">
        <v>2.9</v>
      </c>
      <c r="M13" s="7">
        <v>6.15</v>
      </c>
      <c r="N13" s="7">
        <v>9.0500000000000007</v>
      </c>
      <c r="O13" s="4">
        <v>3.1</v>
      </c>
      <c r="P13" s="7">
        <v>7.3</v>
      </c>
      <c r="Q13" s="7">
        <v>10.4</v>
      </c>
      <c r="R13" s="4">
        <f>LARGE(CHOOSE({1;2;3;4},F13,I13,L13,O13),1)+LARGE(CHOOSE({1;2;3;4},F13,I13,L13,O13),2)+LARGE(CHOOSE({1;2;3;4},F13,I13,L13,O13),3)</f>
        <v>10.1</v>
      </c>
      <c r="S13" s="7">
        <f>LARGE(CHOOSE({1;2;3;4},G13,J13,M13,P13),1)+LARGE(CHOOSE({1;2;3;4},G13,J13,M13,P13),2)+LARGE(CHOOSE({1;2;3;4},G13,J13,M13,P13),3)</f>
        <v>22.1</v>
      </c>
      <c r="T13" s="7">
        <f>LARGE(CHOOSE({1;2;3;4},H13,K13,N13,Q13),1)+LARGE(CHOOSE({1;2;3;4},H13,K13,N13,Q13),2)+LARGE(CHOOSE({1;2;3;4},H13,K13,N13,Q13),3)</f>
        <v>32.199999999999996</v>
      </c>
      <c r="U13" s="4" cm="1">
        <f t="array" ref="U13">IF(SR[[#This Row],[Number_of_competition]:[Number_of_competition]]&gt;=3,(LARGE(CHOOSE({1;2;3;4},F13,I13,L13,O13),1)+LARGE(CHOOSE({1;2;3;4},F13,I13,L13,O13),2)+LARGE(CHOOSE({1;2;3;4},F13,I13,L13,O13),3))/3,0)</f>
        <v>3.3666666666666667</v>
      </c>
      <c r="V13" s="7" cm="1">
        <f t="array" ref="V13">IF(SR[[#This Row],[Number_of_competition]:[Number_of_competition]]&gt;=3,(LARGE(CHOOSE({1;2;3;4},G13,J13,M13,P13),1)+LARGE(CHOOSE({1;2;3;4},G13,J13,M13,P13),2)+LARGE(CHOOSE({1;2;3;4},G13,J13,M13,P13),3))/3,0)</f>
        <v>7.3666666666666671</v>
      </c>
      <c r="W13" s="7" cm="1">
        <f t="array" ref="W13">IF(SR[[#This Row],[Number_of_competition]:[Number_of_competition]]&gt;=3,(LARGE(CHOOSE({1;2;3;4},H13,K13,N13,Q13),1)+LARGE(CHOOSE({1;2;3;4},H13,K13,N13,Q13),2)+LARGE(CHOOSE({1;2;3;4},H13,K13,N13,Q13),3))/3,0)</f>
        <v>10.733333333333333</v>
      </c>
      <c r="Y13" s="43"/>
      <c r="Z13" s="20" t="s">
        <v>277</v>
      </c>
      <c r="AA13" s="22" cm="1">
        <f t="array" ref="AA13">SUM(_xlfn._xlws.FILTER(SR[Year_Total_Score],(SR[Category]="junior")*(SR[Number_of_competition]&gt;=3))/COUNTIFS(SR[Number_of_competition],"&gt;=3",SR[Category],"junior"))</f>
        <v>31.395</v>
      </c>
      <c r="AB13" s="22" cm="1">
        <f t="array" ref="AB13">_xlfn.STDEV.S(_xlfn._xlws.FILTER(SR[Year_Total_Score],(SR[Category]="junior")*(SR[Number_of_competition]&gt;=3)))</f>
        <v>2.4399965846970626</v>
      </c>
      <c r="AC13" s="22" cm="1">
        <f t="array" ref="AC13">MAX(_xlfn._xlws.FILTER(SR[Year_Total_Score],SR[Category]="junior"))</f>
        <v>34.549999999999997</v>
      </c>
    </row>
    <row r="14" spans="1:29" x14ac:dyDescent="0.25">
      <c r="A14" t="s">
        <v>29</v>
      </c>
      <c r="B14" s="2" t="s">
        <v>26</v>
      </c>
      <c r="C14" s="2" t="s">
        <v>30</v>
      </c>
      <c r="D14" t="s">
        <v>31</v>
      </c>
      <c r="E14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14" s="4">
        <v>2.6</v>
      </c>
      <c r="G14" s="7">
        <v>6.9</v>
      </c>
      <c r="H14" s="7">
        <v>9.5</v>
      </c>
      <c r="I14" s="4">
        <v>2.9</v>
      </c>
      <c r="J14" s="7">
        <v>8.1</v>
      </c>
      <c r="K14" s="7">
        <v>11</v>
      </c>
      <c r="L14" s="4">
        <v>0</v>
      </c>
      <c r="M14" s="7">
        <v>0</v>
      </c>
      <c r="N14" s="7">
        <v>0</v>
      </c>
      <c r="O14" s="4">
        <v>2.2999999999999998</v>
      </c>
      <c r="P14" s="7">
        <v>8.6</v>
      </c>
      <c r="Q14" s="7">
        <v>10.9</v>
      </c>
      <c r="R14" s="4">
        <f>LARGE(CHOOSE({1;2;3;4},F14,I14,L14,O14),1)+LARGE(CHOOSE({1;2;3;4},F14,I14,L14,O14),2)+LARGE(CHOOSE({1;2;3;4},F14,I14,L14,O14),3)</f>
        <v>7.8</v>
      </c>
      <c r="S14" s="7">
        <f>LARGE(CHOOSE({1;2;3;4},G14,J14,M14,P14),1)+LARGE(CHOOSE({1;2;3;4},G14,J14,M14,P14),2)+LARGE(CHOOSE({1;2;3;4},G14,J14,M14,P14),3)</f>
        <v>23.6</v>
      </c>
      <c r="T14" s="7">
        <f>LARGE(CHOOSE({1;2;3;4},H14,K14,N14,Q14),1)+LARGE(CHOOSE({1;2;3;4},H14,K14,N14,Q14),2)+LARGE(CHOOSE({1;2;3;4},H14,K14,N14,Q14),3)</f>
        <v>31.4</v>
      </c>
      <c r="U14" s="4" cm="1">
        <f t="array" ref="U14">IF(SR[[#This Row],[Number_of_competition]:[Number_of_competition]]&gt;=3,(LARGE(CHOOSE({1;2;3;4},F14,I14,L14,O14),1)+LARGE(CHOOSE({1;2;3;4},F14,I14,L14,O14),2)+LARGE(CHOOSE({1;2;3;4},F14,I14,L14,O14),3))/3,0)</f>
        <v>2.6</v>
      </c>
      <c r="V14" s="7" cm="1">
        <f t="array" ref="V14">IF(SR[[#This Row],[Number_of_competition]:[Number_of_competition]]&gt;=3,(LARGE(CHOOSE({1;2;3;4},G14,J14,M14,P14),1)+LARGE(CHOOSE({1;2;3;4},G14,J14,M14,P14),2)+LARGE(CHOOSE({1;2;3;4},G14,J14,M14,P14),3))/3,0)</f>
        <v>7.8666666666666671</v>
      </c>
      <c r="W14" s="7" cm="1">
        <f t="array" ref="W14">IF(SR[[#This Row],[Number_of_competition]:[Number_of_competition]]&gt;=3,(LARGE(CHOOSE({1;2;3;4},H14,K14,N14,Q14),1)+LARGE(CHOOSE({1;2;3;4},H14,K14,N14,Q14),2)+LARGE(CHOOSE({1;2;3;4},H14,K14,N14,Q14),3))/3,0)</f>
        <v>10.466666666666667</v>
      </c>
    </row>
    <row r="15" spans="1:29" x14ac:dyDescent="0.25">
      <c r="A15" t="s">
        <v>73</v>
      </c>
      <c r="B15" s="2" t="s">
        <v>60</v>
      </c>
      <c r="C15" s="2" t="s">
        <v>74</v>
      </c>
      <c r="D15" t="s">
        <v>62</v>
      </c>
      <c r="E15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5" s="4">
        <v>2.7</v>
      </c>
      <c r="G15" s="7">
        <v>7.7</v>
      </c>
      <c r="H15" s="7">
        <v>10.4</v>
      </c>
      <c r="I15" s="4">
        <v>2.5</v>
      </c>
      <c r="J15" s="7">
        <v>8.15</v>
      </c>
      <c r="K15" s="7">
        <v>10.65</v>
      </c>
      <c r="L15" s="4">
        <v>2.8</v>
      </c>
      <c r="M15" s="7">
        <v>7.1</v>
      </c>
      <c r="N15" s="7">
        <v>9.9</v>
      </c>
      <c r="O15" s="4">
        <v>2.7</v>
      </c>
      <c r="P15" s="7">
        <v>7.4</v>
      </c>
      <c r="Q15" s="7">
        <v>10.1</v>
      </c>
      <c r="R15" s="4">
        <f>LARGE(CHOOSE({1;2;3;4},F15,I15,L15,O15),1)+LARGE(CHOOSE({1;2;3;4},F15,I15,L15,O15),2)+LARGE(CHOOSE({1;2;3;4},F15,I15,L15,O15),3)</f>
        <v>8.1999999999999993</v>
      </c>
      <c r="S15" s="7">
        <f>LARGE(CHOOSE({1;2;3;4},G15,J15,M15,P15),1)+LARGE(CHOOSE({1;2;3;4},G15,J15,M15,P15),2)+LARGE(CHOOSE({1;2;3;4},G15,J15,M15,P15),3)</f>
        <v>23.25</v>
      </c>
      <c r="T15" s="7">
        <f>LARGE(CHOOSE({1;2;3;4},H15,K15,N15,Q15),1)+LARGE(CHOOSE({1;2;3;4},H15,K15,N15,Q15),2)+LARGE(CHOOSE({1;2;3;4},H15,K15,N15,Q15),3)</f>
        <v>31.15</v>
      </c>
      <c r="U15" s="4" cm="1">
        <f t="array" ref="U15">IF(SR[[#This Row],[Number_of_competition]:[Number_of_competition]]&gt;=3,(LARGE(CHOOSE({1;2;3;4},F15,I15,L15,O15),1)+LARGE(CHOOSE({1;2;3;4},F15,I15,L15,O15),2)+LARGE(CHOOSE({1;2;3;4},F15,I15,L15,O15),3))/3,0)</f>
        <v>2.7333333333333329</v>
      </c>
      <c r="V15" s="7" cm="1">
        <f t="array" ref="V15">IF(SR[[#This Row],[Number_of_competition]:[Number_of_competition]]&gt;=3,(LARGE(CHOOSE({1;2;3;4},G15,J15,M15,P15),1)+LARGE(CHOOSE({1;2;3;4},G15,J15,M15,P15),2)+LARGE(CHOOSE({1;2;3;4},G15,J15,M15,P15),3))/3,0)</f>
        <v>7.75</v>
      </c>
      <c r="W15" s="7" cm="1">
        <f t="array" ref="W15">IF(SR[[#This Row],[Number_of_competition]:[Number_of_competition]]&gt;=3,(LARGE(CHOOSE({1;2;3;4},H15,K15,N15,Q15),1)+LARGE(CHOOSE({1;2;3;4},H15,K15,N15,Q15),2)+LARGE(CHOOSE({1;2;3;4},H15,K15,N15,Q15),3))/3,0)</f>
        <v>10.383333333333333</v>
      </c>
      <c r="Y15" s="28" t="s">
        <v>296</v>
      </c>
    </row>
    <row r="16" spans="1:29" x14ac:dyDescent="0.25">
      <c r="A16" t="s">
        <v>42</v>
      </c>
      <c r="B16" s="2" t="s">
        <v>26</v>
      </c>
      <c r="C16" s="2" t="s">
        <v>43</v>
      </c>
      <c r="D16" t="s">
        <v>36</v>
      </c>
      <c r="E16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6" s="4">
        <v>2.4</v>
      </c>
      <c r="G16" s="7">
        <v>7.8</v>
      </c>
      <c r="H16" s="7">
        <v>10.199999999999999</v>
      </c>
      <c r="I16" s="4">
        <v>2.4</v>
      </c>
      <c r="J16" s="7">
        <v>7.9</v>
      </c>
      <c r="K16" s="7">
        <v>10.3</v>
      </c>
      <c r="L16" s="4">
        <v>2.4</v>
      </c>
      <c r="M16" s="7">
        <v>8.0500000000000007</v>
      </c>
      <c r="N16" s="7">
        <v>10.45</v>
      </c>
      <c r="O16" s="4">
        <v>2</v>
      </c>
      <c r="P16" s="7">
        <v>7.9</v>
      </c>
      <c r="Q16" s="7">
        <v>9.9</v>
      </c>
      <c r="R16" s="4">
        <f>LARGE(CHOOSE({1;2;3;4},F16,I16,L16,O16),1)+LARGE(CHOOSE({1;2;3;4},F16,I16,L16,O16),2)+LARGE(CHOOSE({1;2;3;4},F16,I16,L16,O16),3)</f>
        <v>7.1999999999999993</v>
      </c>
      <c r="S16" s="7">
        <f>LARGE(CHOOSE({1;2;3;4},G16,J16,M16,P16),1)+LARGE(CHOOSE({1;2;3;4},G16,J16,M16,P16),2)+LARGE(CHOOSE({1;2;3;4},G16,J16,M16,P16),3)</f>
        <v>23.85</v>
      </c>
      <c r="T16" s="7">
        <f>LARGE(CHOOSE({1;2;3;4},H16,K16,N16,Q16),1)+LARGE(CHOOSE({1;2;3;4},H16,K16,N16,Q16),2)+LARGE(CHOOSE({1;2;3;4},H16,K16,N16,Q16),3)</f>
        <v>30.95</v>
      </c>
      <c r="U16" s="4" cm="1">
        <f t="array" ref="U16">IF(SR[[#This Row],[Number_of_competition]:[Number_of_competition]]&gt;=3,(LARGE(CHOOSE({1;2;3;4},F16,I16,L16,O16),1)+LARGE(CHOOSE({1;2;3;4},F16,I16,L16,O16),2)+LARGE(CHOOSE({1;2;3;4},F16,I16,L16,O16),3))/3,0)</f>
        <v>2.4</v>
      </c>
      <c r="V16" s="7" cm="1">
        <f t="array" ref="V16">IF(SR[[#This Row],[Number_of_competition]:[Number_of_competition]]&gt;=3,(LARGE(CHOOSE({1;2;3;4},G16,J16,M16,P16),1)+LARGE(CHOOSE({1;2;3;4},G16,J16,M16,P16),2)+LARGE(CHOOSE({1;2;3;4},G16,J16,M16,P16),3))/3,0)</f>
        <v>7.95</v>
      </c>
      <c r="W16" s="7" cm="1">
        <f t="array" ref="W16">IF(SR[[#This Row],[Number_of_competition]:[Number_of_competition]]&gt;=3,(LARGE(CHOOSE({1;2;3;4},H16,K16,N16,Q16),1)+LARGE(CHOOSE({1;2;3;4},H16,K16,N16,Q16),2)+LARGE(CHOOSE({1;2;3;4},H16,K16,N16,Q16),3))/3,0)</f>
        <v>10.316666666666666</v>
      </c>
      <c r="Y16" s="29" t="s">
        <v>297</v>
      </c>
    </row>
    <row r="17" spans="1:25" x14ac:dyDescent="0.25">
      <c r="A17" t="s">
        <v>37</v>
      </c>
      <c r="B17" s="2" t="s">
        <v>26</v>
      </c>
      <c r="C17" s="2" t="s">
        <v>38</v>
      </c>
      <c r="D17" t="s">
        <v>39</v>
      </c>
      <c r="E17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7" s="4">
        <v>2.2999999999999998</v>
      </c>
      <c r="G17" s="7">
        <v>7.3</v>
      </c>
      <c r="H17" s="7">
        <v>9.6</v>
      </c>
      <c r="I17" s="4">
        <v>3</v>
      </c>
      <c r="J17" s="7">
        <v>8</v>
      </c>
      <c r="K17" s="7">
        <v>11</v>
      </c>
      <c r="L17" s="4">
        <v>2.2999999999999998</v>
      </c>
      <c r="M17" s="7">
        <v>6.85</v>
      </c>
      <c r="N17" s="7">
        <v>9.15</v>
      </c>
      <c r="O17" s="4">
        <v>2.2999999999999998</v>
      </c>
      <c r="P17" s="7">
        <v>7.8</v>
      </c>
      <c r="Q17" s="7">
        <v>10.1</v>
      </c>
      <c r="R17" s="4">
        <f>LARGE(CHOOSE({1;2;3;4},F17,I17,L17,O17),1)+LARGE(CHOOSE({1;2;3;4},F17,I17,L17,O17),2)+LARGE(CHOOSE({1;2;3;4},F17,I17,L17,O17),3)</f>
        <v>7.6</v>
      </c>
      <c r="S17" s="7">
        <f>LARGE(CHOOSE({1;2;3;4},G17,J17,M17,P17),1)+LARGE(CHOOSE({1;2;3;4},G17,J17,M17,P17),2)+LARGE(CHOOSE({1;2;3;4},G17,J17,M17,P17),3)</f>
        <v>23.1</v>
      </c>
      <c r="T17" s="7">
        <f>LARGE(CHOOSE({1;2;3;4},H17,K17,N17,Q17),1)+LARGE(CHOOSE({1;2;3;4},H17,K17,N17,Q17),2)+LARGE(CHOOSE({1;2;3;4},H17,K17,N17,Q17),3)</f>
        <v>30.700000000000003</v>
      </c>
      <c r="U17" s="4" cm="1">
        <f t="array" ref="U17">IF(SR[[#This Row],[Number_of_competition]:[Number_of_competition]]&gt;=3,(LARGE(CHOOSE({1;2;3;4},F17,I17,L17,O17),1)+LARGE(CHOOSE({1;2;3;4},F17,I17,L17,O17),2)+LARGE(CHOOSE({1;2;3;4},F17,I17,L17,O17),3))/3,0)</f>
        <v>2.5333333333333332</v>
      </c>
      <c r="V17" s="7" cm="1">
        <f t="array" ref="V17">IF(SR[[#This Row],[Number_of_competition]:[Number_of_competition]]&gt;=3,(LARGE(CHOOSE({1;2;3;4},G17,J17,M17,P17),1)+LARGE(CHOOSE({1;2;3;4},G17,J17,M17,P17),2)+LARGE(CHOOSE({1;2;3;4},G17,J17,M17,P17),3))/3,0)</f>
        <v>7.7</v>
      </c>
      <c r="W17" s="7" cm="1">
        <f t="array" ref="W17">IF(SR[[#This Row],[Number_of_competition]:[Number_of_competition]]&gt;=3,(LARGE(CHOOSE({1;2;3;4},H17,K17,N17,Q17),1)+LARGE(CHOOSE({1;2;3;4},H17,K17,N17,Q17),2)+LARGE(CHOOSE({1;2;3;4},H17,K17,N17,Q17),3))/3,0)</f>
        <v>10.233333333333334</v>
      </c>
      <c r="Y17" s="30" t="s">
        <v>298</v>
      </c>
    </row>
    <row r="18" spans="1:25" x14ac:dyDescent="0.25">
      <c r="A18" t="s">
        <v>44</v>
      </c>
      <c r="B18" s="2" t="s">
        <v>26</v>
      </c>
      <c r="C18" s="2" t="s">
        <v>45</v>
      </c>
      <c r="D18" t="s">
        <v>39</v>
      </c>
      <c r="E18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8" s="4">
        <v>2.2999999999999998</v>
      </c>
      <c r="G18" s="7">
        <v>7.3</v>
      </c>
      <c r="H18" s="7">
        <v>9.6</v>
      </c>
      <c r="I18" s="4">
        <v>2.1</v>
      </c>
      <c r="J18" s="7">
        <v>8.0500000000000007</v>
      </c>
      <c r="K18" s="7">
        <v>10.15</v>
      </c>
      <c r="L18" s="4">
        <v>2.2999999999999998</v>
      </c>
      <c r="M18" s="7">
        <v>7.9</v>
      </c>
      <c r="N18" s="7">
        <v>10.199999999999999</v>
      </c>
      <c r="O18" s="4">
        <v>2.2999999999999998</v>
      </c>
      <c r="P18" s="7">
        <v>8</v>
      </c>
      <c r="Q18" s="7">
        <v>10.3</v>
      </c>
      <c r="R18" s="4">
        <f>LARGE(CHOOSE({1;2;3;4},F18,I18,L18,O18),1)+LARGE(CHOOSE({1;2;3;4},F18,I18,L18,O18),2)+LARGE(CHOOSE({1;2;3;4},F18,I18,L18,O18),3)</f>
        <v>6.8999999999999995</v>
      </c>
      <c r="S18" s="7">
        <f>LARGE(CHOOSE({1;2;3;4},G18,J18,M18,P18),1)+LARGE(CHOOSE({1;2;3;4},G18,J18,M18,P18),2)+LARGE(CHOOSE({1;2;3;4},G18,J18,M18,P18),3)</f>
        <v>23.950000000000003</v>
      </c>
      <c r="T18" s="7">
        <f>LARGE(CHOOSE({1;2;3;4},H18,K18,N18,Q18),1)+LARGE(CHOOSE({1;2;3;4},H18,K18,N18,Q18),2)+LARGE(CHOOSE({1;2;3;4},H18,K18,N18,Q18),3)</f>
        <v>30.65</v>
      </c>
      <c r="U18" s="4" cm="1">
        <f t="array" ref="U18">IF(SR[[#This Row],[Number_of_competition]:[Number_of_competition]]&gt;=3,(LARGE(CHOOSE({1;2;3;4},F18,I18,L18,O18),1)+LARGE(CHOOSE({1;2;3;4},F18,I18,L18,O18),2)+LARGE(CHOOSE({1;2;3;4},F18,I18,L18,O18),3))/3,0)</f>
        <v>2.2999999999999998</v>
      </c>
      <c r="V18" s="7" cm="1">
        <f t="array" ref="V18">IF(SR[[#This Row],[Number_of_competition]:[Number_of_competition]]&gt;=3,(LARGE(CHOOSE({1;2;3;4},G18,J18,M18,P18),1)+LARGE(CHOOSE({1;2;3;4},G18,J18,M18,P18),2)+LARGE(CHOOSE({1;2;3;4},G18,J18,M18,P18),3))/3,0)</f>
        <v>7.9833333333333343</v>
      </c>
      <c r="W18" s="7" cm="1">
        <f t="array" ref="W18">IF(SR[[#This Row],[Number_of_competition]:[Number_of_competition]]&gt;=3,(LARGE(CHOOSE({1;2;3;4},H18,K18,N18,Q18),1)+LARGE(CHOOSE({1;2;3;4},H18,K18,N18,Q18),2)+LARGE(CHOOSE({1;2;3;4},H18,K18,N18,Q18),3))/3,0)</f>
        <v>10.216666666666667</v>
      </c>
      <c r="Y18" s="31" t="s">
        <v>300</v>
      </c>
    </row>
    <row r="19" spans="1:25" x14ac:dyDescent="0.25">
      <c r="A19" t="s">
        <v>48</v>
      </c>
      <c r="B19" s="2" t="s">
        <v>26</v>
      </c>
      <c r="C19" s="2" t="s">
        <v>49</v>
      </c>
      <c r="D19" t="s">
        <v>36</v>
      </c>
      <c r="E19" s="9">
        <f>COUNTIF(SR[[#This Row],[bydgoszcz_SR_Total_Score]],"&gt;0")+COUNTIF(SR[[#This Row],[zabrze_SR_Total_Score]],"&gt;0")+COUNTIF(SR[[#This Row],[cracow_SR_Total_Score]],"&gt;0")+COUNTIF(SR[[#This Row],[gdansk_SR_Total_Score]],"&gt;0")</f>
        <v>4</v>
      </c>
      <c r="F19" s="4">
        <v>2.4</v>
      </c>
      <c r="G19" s="7">
        <v>7.55</v>
      </c>
      <c r="H19" s="7">
        <v>9.9499999999999993</v>
      </c>
      <c r="I19" s="4">
        <v>2.5</v>
      </c>
      <c r="J19" s="7">
        <v>6.5</v>
      </c>
      <c r="K19" s="7">
        <v>9</v>
      </c>
      <c r="L19" s="4">
        <v>2.5</v>
      </c>
      <c r="M19" s="7">
        <v>6.65</v>
      </c>
      <c r="N19" s="7">
        <v>9.15</v>
      </c>
      <c r="O19" s="4">
        <v>2.2000000000000002</v>
      </c>
      <c r="P19" s="7">
        <v>7.6</v>
      </c>
      <c r="Q19" s="7">
        <v>9.8000000000000007</v>
      </c>
      <c r="R19" s="4">
        <f>LARGE(CHOOSE({1;2;3;4},F19,I19,L19,O19),1)+LARGE(CHOOSE({1;2;3;4},F19,I19,L19,O19),2)+LARGE(CHOOSE({1;2;3;4},F19,I19,L19,O19),3)</f>
        <v>7.4</v>
      </c>
      <c r="S19" s="7">
        <f>LARGE(CHOOSE({1;2;3;4},G19,J19,M19,P19),1)+LARGE(CHOOSE({1;2;3;4},G19,J19,M19,P19),2)+LARGE(CHOOSE({1;2;3;4},G19,J19,M19,P19),3)</f>
        <v>21.799999999999997</v>
      </c>
      <c r="T19" s="7">
        <f>LARGE(CHOOSE({1;2;3;4},H19,K19,N19,Q19),1)+LARGE(CHOOSE({1;2;3;4},H19,K19,N19,Q19),2)+LARGE(CHOOSE({1;2;3;4},H19,K19,N19,Q19),3)</f>
        <v>28.9</v>
      </c>
      <c r="U19" s="4" cm="1">
        <f t="array" ref="U19">IF(SR[[#This Row],[Number_of_competition]:[Number_of_competition]]&gt;=3,(LARGE(CHOOSE({1;2;3;4},F19,I19,L19,O19),1)+LARGE(CHOOSE({1;2;3;4},F19,I19,L19,O19),2)+LARGE(CHOOSE({1;2;3;4},F19,I19,L19,O19),3))/3,0)</f>
        <v>2.4666666666666668</v>
      </c>
      <c r="V19" s="7" cm="1">
        <f t="array" ref="V19">IF(SR[[#This Row],[Number_of_competition]:[Number_of_competition]]&gt;=3,(LARGE(CHOOSE({1;2;3;4},G19,J19,M19,P19),1)+LARGE(CHOOSE({1;2;3;4},G19,J19,M19,P19),2)+LARGE(CHOOSE({1;2;3;4},G19,J19,M19,P19),3))/3,0)</f>
        <v>7.2666666666666657</v>
      </c>
      <c r="W19" s="7" cm="1">
        <f t="array" ref="W19">IF(SR[[#This Row],[Number_of_competition]:[Number_of_competition]]&gt;=3,(LARGE(CHOOSE({1;2;3;4},H19,K19,N19,Q19),1)+LARGE(CHOOSE({1;2;3;4},H19,K19,N19,Q19),2)+LARGE(CHOOSE({1;2;3;4},H19,K19,N19,Q19),3))/3,0)</f>
        <v>9.6333333333333329</v>
      </c>
      <c r="Y19" s="32" t="s">
        <v>299</v>
      </c>
    </row>
    <row r="20" spans="1:25" x14ac:dyDescent="0.25">
      <c r="A20" t="s">
        <v>46</v>
      </c>
      <c r="B20" s="2" t="s">
        <v>26</v>
      </c>
      <c r="C20" s="2" t="s">
        <v>47</v>
      </c>
      <c r="D20" t="s">
        <v>36</v>
      </c>
      <c r="E20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20" s="4">
        <v>0</v>
      </c>
      <c r="G20" s="7">
        <v>0</v>
      </c>
      <c r="H20" s="7">
        <v>0</v>
      </c>
      <c r="I20" s="4">
        <v>1.7</v>
      </c>
      <c r="J20" s="7">
        <v>6.8</v>
      </c>
      <c r="K20" s="7">
        <v>8.5</v>
      </c>
      <c r="L20" s="4">
        <v>2.1</v>
      </c>
      <c r="M20" s="7">
        <v>6.65</v>
      </c>
      <c r="N20" s="7">
        <v>8.75</v>
      </c>
      <c r="O20" s="4">
        <v>1.7</v>
      </c>
      <c r="P20" s="7">
        <v>7.7</v>
      </c>
      <c r="Q20" s="7">
        <v>9.4</v>
      </c>
      <c r="R20" s="4">
        <f>LARGE(CHOOSE({1;2;3;4},F20,I20,L20,O20),1)+LARGE(CHOOSE({1;2;3;4},F20,I20,L20,O20),2)+LARGE(CHOOSE({1;2;3;4},F20,I20,L20,O20),3)</f>
        <v>5.5</v>
      </c>
      <c r="S20" s="7">
        <f>LARGE(CHOOSE({1;2;3;4},G20,J20,M20,P20),1)+LARGE(CHOOSE({1;2;3;4},G20,J20,M20,P20),2)+LARGE(CHOOSE({1;2;3;4},G20,J20,M20,P20),3)</f>
        <v>21.15</v>
      </c>
      <c r="T20" s="7">
        <f>LARGE(CHOOSE({1;2;3;4},H20,K20,N20,Q20),1)+LARGE(CHOOSE({1;2;3;4},H20,K20,N20,Q20),2)+LARGE(CHOOSE({1;2;3;4},H20,K20,N20,Q20),3)</f>
        <v>26.65</v>
      </c>
      <c r="U20" s="4" cm="1">
        <f t="array" ref="U20">IF(SR[[#This Row],[Number_of_competition]:[Number_of_competition]]&gt;=3,(LARGE(CHOOSE({1;2;3;4},F20,I20,L20,O20),1)+LARGE(CHOOSE({1;2;3;4},F20,I20,L20,O20),2)+LARGE(CHOOSE({1;2;3;4},F20,I20,L20,O20),3))/3,0)</f>
        <v>1.8333333333333333</v>
      </c>
      <c r="V20" s="7" cm="1">
        <f t="array" ref="V20">IF(SR[[#This Row],[Number_of_competition]:[Number_of_competition]]&gt;=3,(LARGE(CHOOSE({1;2;3;4},G20,J20,M20,P20),1)+LARGE(CHOOSE({1;2;3;4},G20,J20,M20,P20),2)+LARGE(CHOOSE({1;2;3;4},G20,J20,M20,P20),3))/3,0)</f>
        <v>7.05</v>
      </c>
      <c r="W20" s="7" cm="1">
        <f t="array" ref="W20">IF(SR[[#This Row],[Number_of_competition]:[Number_of_competition]]&gt;=3,(LARGE(CHOOSE({1;2;3;4},H20,K20,N20,Q20),1)+LARGE(CHOOSE({1;2;3;4},H20,K20,N20,Q20),2)+LARGE(CHOOSE({1;2;3;4},H20,K20,N20,Q20),3))/3,0)</f>
        <v>8.8833333333333329</v>
      </c>
      <c r="Y20" s="33" t="s">
        <v>252</v>
      </c>
    </row>
    <row r="21" spans="1:25" x14ac:dyDescent="0.25">
      <c r="A21" t="s">
        <v>96</v>
      </c>
      <c r="B21" s="2" t="s">
        <v>60</v>
      </c>
      <c r="C21" s="2" t="s">
        <v>97</v>
      </c>
      <c r="D21" t="s">
        <v>62</v>
      </c>
      <c r="E21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1" s="4">
        <v>0</v>
      </c>
      <c r="G21" s="7">
        <v>0</v>
      </c>
      <c r="H21" s="7">
        <v>0</v>
      </c>
      <c r="I21" s="4">
        <v>4.5999999999999996</v>
      </c>
      <c r="J21" s="7">
        <v>8.1</v>
      </c>
      <c r="K21" s="7">
        <v>12.7</v>
      </c>
      <c r="L21" s="4">
        <v>4.2</v>
      </c>
      <c r="M21" s="7">
        <v>8.5</v>
      </c>
      <c r="N21" s="7">
        <v>12.7</v>
      </c>
      <c r="O21" s="4">
        <v>0</v>
      </c>
      <c r="P21" s="7">
        <v>0</v>
      </c>
      <c r="Q21" s="7">
        <v>0</v>
      </c>
      <c r="R21" s="4">
        <f>LARGE(CHOOSE({1;2;3;4},F21,I21,L21,O21),1)+LARGE(CHOOSE({1;2;3;4},F21,I21,L21,O21),2)+LARGE(CHOOSE({1;2;3;4},F21,I21,L21,O21),3)</f>
        <v>8.8000000000000007</v>
      </c>
      <c r="S21" s="7">
        <f>LARGE(CHOOSE({1;2;3;4},G21,J21,M21,P21),1)+LARGE(CHOOSE({1;2;3;4},G21,J21,M21,P21),2)+LARGE(CHOOSE({1;2;3;4},G21,J21,M21,P21),3)</f>
        <v>16.600000000000001</v>
      </c>
      <c r="T21" s="7">
        <f>LARGE(CHOOSE({1;2;3;4},H21,K21,N21,Q21),1)+LARGE(CHOOSE({1;2;3;4},H21,K21,N21,Q21),2)+LARGE(CHOOSE({1;2;3;4},H21,K21,N21,Q21),3)</f>
        <v>25.4</v>
      </c>
      <c r="U21" s="4" cm="1">
        <f t="array" ref="U21">IF(SR[[#This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IF(SR[[#This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IF(SR[[#This Row],[Number_of_competition]:[Number_of_competition]]&gt;=3,(LARGE(CHOOSE({1;2;3;4},H21,K21,N21,Q21),1)+LARGE(CHOOSE({1;2;3;4},H21,K21,N21,Q21),2)+LARGE(CHOOSE({1;2;3;4},H21,K21,N21,Q21),3))/3,0)</f>
        <v>0</v>
      </c>
      <c r="Y21" s="34" t="s">
        <v>301</v>
      </c>
    </row>
    <row r="22" spans="1:25" x14ac:dyDescent="0.25">
      <c r="A22" t="s">
        <v>116</v>
      </c>
      <c r="B22" s="2" t="s">
        <v>60</v>
      </c>
      <c r="C22" s="2" t="s">
        <v>117</v>
      </c>
      <c r="D22" t="s">
        <v>62</v>
      </c>
      <c r="E22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2" s="4">
        <v>0</v>
      </c>
      <c r="G22" s="7">
        <v>0</v>
      </c>
      <c r="H22" s="7">
        <v>0</v>
      </c>
      <c r="I22" s="4">
        <v>0</v>
      </c>
      <c r="J22" s="7">
        <v>0</v>
      </c>
      <c r="K22" s="7">
        <v>0</v>
      </c>
      <c r="L22" s="4">
        <v>5</v>
      </c>
      <c r="M22" s="7">
        <v>8.1</v>
      </c>
      <c r="N22" s="7">
        <v>13.1</v>
      </c>
      <c r="O22" s="4">
        <v>5.3</v>
      </c>
      <c r="P22" s="7">
        <v>6.6</v>
      </c>
      <c r="Q22" s="7">
        <v>11.9</v>
      </c>
      <c r="R22" s="4">
        <f>LARGE(CHOOSE({1;2;3;4},F22,I22,L22,O22),1)+LARGE(CHOOSE({1;2;3;4},F22,I22,L22,O22),2)+LARGE(CHOOSE({1;2;3;4},F22,I22,L22,O22),3)</f>
        <v>10.3</v>
      </c>
      <c r="S22" s="7">
        <f>LARGE(CHOOSE({1;2;3;4},G22,J22,M22,P22),1)+LARGE(CHOOSE({1;2;3;4},G22,J22,M22,P22),2)+LARGE(CHOOSE({1;2;3;4},G22,J22,M22,P22),3)</f>
        <v>14.7</v>
      </c>
      <c r="T22" s="7">
        <f>LARGE(CHOOSE({1;2;3;4},H22,K22,N22,Q22),1)+LARGE(CHOOSE({1;2;3;4},H22,K22,N22,Q22),2)+LARGE(CHOOSE({1;2;3;4},H22,K22,N22,Q22),3)</f>
        <v>25</v>
      </c>
      <c r="U22" s="4" cm="1">
        <f t="array" ref="U22">IF(SR[[#This Row],[Number_of_competition]:[Number_of_competition]]&gt;=3,(LARGE(CHOOSE({1;2;3;4},F22,I22,L22,O22),1)+LARGE(CHOOSE({1;2;3;4},F22,I22,L22,O22),2)+LARGE(CHOOSE({1;2;3;4},F22,I22,L22,O22),3))/3,0)</f>
        <v>0</v>
      </c>
      <c r="V22" s="7" cm="1">
        <f t="array" ref="V22">IF(SR[[#This Row],[Number_of_competition]:[Number_of_competition]]&gt;=3,(LARGE(CHOOSE({1;2;3;4},G22,J22,M22,P22),1)+LARGE(CHOOSE({1;2;3;4},G22,J22,M22,P22),2)+LARGE(CHOOSE({1;2;3;4},G22,J22,M22,P22),3))/3,0)</f>
        <v>0</v>
      </c>
      <c r="W22" s="7" cm="1">
        <f t="array" ref="W22">IF(SR[[#This Row],[Number_of_competition]:[Number_of_competition]]&gt;=3,(LARGE(CHOOSE({1;2;3;4},H22,K22,N22,Q22),1)+LARGE(CHOOSE({1;2;3;4},H22,K22,N22,Q22),2)+LARGE(CHOOSE({1;2;3;4},H22,K22,N22,Q22),3))/3,0)</f>
        <v>0</v>
      </c>
      <c r="Y22" s="37" t="s">
        <v>304</v>
      </c>
    </row>
    <row r="23" spans="1:25" x14ac:dyDescent="0.25">
      <c r="A23" t="s">
        <v>86</v>
      </c>
      <c r="B23" s="2" t="s">
        <v>60</v>
      </c>
      <c r="C23" s="2" t="s">
        <v>87</v>
      </c>
      <c r="D23" t="s">
        <v>72</v>
      </c>
      <c r="E23" s="9">
        <f>COUNTIF(SR[[#This Row],[bydgoszcz_SR_Total_Score]],"&gt;0")+COUNTIF(SR[[#This Row],[zabrze_SR_Total_Score]],"&gt;0")+COUNTIF(SR[[#This Row],[cracow_SR_Total_Score]],"&gt;0")+COUNTIF(SR[[#This Row],[gdansk_SR_Total_Score]],"&gt;0")</f>
        <v>3</v>
      </c>
      <c r="F23" s="4">
        <v>3.5</v>
      </c>
      <c r="G23" s="7">
        <v>6.7</v>
      </c>
      <c r="H23" s="7">
        <v>10.199999999999999</v>
      </c>
      <c r="I23" s="4">
        <v>2.6</v>
      </c>
      <c r="J23" s="7">
        <v>3</v>
      </c>
      <c r="K23" s="7">
        <v>5.6</v>
      </c>
      <c r="L23" s="4">
        <v>0</v>
      </c>
      <c r="M23" s="7">
        <v>0</v>
      </c>
      <c r="N23" s="7">
        <v>0</v>
      </c>
      <c r="O23" s="4">
        <v>2.7</v>
      </c>
      <c r="P23" s="7">
        <v>6</v>
      </c>
      <c r="Q23" s="7">
        <v>8.6999999999999993</v>
      </c>
      <c r="R23" s="4">
        <f>LARGE(CHOOSE({1;2;3;4},F23,I23,L23,O23),1)+LARGE(CHOOSE({1;2;3;4},F23,I23,L23,O23),2)+LARGE(CHOOSE({1;2;3;4},F23,I23,L23,O23),3)</f>
        <v>8.8000000000000007</v>
      </c>
      <c r="S23" s="7">
        <f>LARGE(CHOOSE({1;2;3;4},G23,J23,M23,P23),1)+LARGE(CHOOSE({1;2;3;4},G23,J23,M23,P23),2)+LARGE(CHOOSE({1;2;3;4},G23,J23,M23,P23),3)</f>
        <v>15.7</v>
      </c>
      <c r="T23" s="7">
        <f>LARGE(CHOOSE({1;2;3;4},H23,K23,N23,Q23),1)+LARGE(CHOOSE({1;2;3;4},H23,K23,N23,Q23),2)+LARGE(CHOOSE({1;2;3;4},H23,K23,N23,Q23),3)</f>
        <v>24.5</v>
      </c>
      <c r="U23" s="4" cm="1">
        <f t="array" ref="U23">IF(SR[[#This Row],[Number_of_competition]:[Number_of_competition]]&gt;=3,(LARGE(CHOOSE({1;2;3;4},F23,I23,L23,O23),1)+LARGE(CHOOSE({1;2;3;4},F23,I23,L23,O23),2)+LARGE(CHOOSE({1;2;3;4},F23,I23,L23,O23),3))/3,0)</f>
        <v>2.9333333333333336</v>
      </c>
      <c r="V23" s="7" cm="1">
        <f t="array" ref="V23">IF(SR[[#This Row],[Number_of_competition]:[Number_of_competition]]&gt;=3,(LARGE(CHOOSE({1;2;3;4},G23,J23,M23,P23),1)+LARGE(CHOOSE({1;2;3;4},G23,J23,M23,P23),2)+LARGE(CHOOSE({1;2;3;4},G23,J23,M23,P23),3))/3,0)</f>
        <v>5.2333333333333334</v>
      </c>
      <c r="W23" s="7" cm="1">
        <f t="array" ref="W23">IF(SR[[#This Row],[Number_of_competition]:[Number_of_competition]]&gt;=3,(LARGE(CHOOSE({1;2;3;4},H23,K23,N23,Q23),1)+LARGE(CHOOSE({1;2;3;4},H23,K23,N23,Q23),2)+LARGE(CHOOSE({1;2;3;4},H23,K23,N23,Q23),3))/3,0)</f>
        <v>8.1666666666666661</v>
      </c>
      <c r="Y23" s="35" t="s">
        <v>302</v>
      </c>
    </row>
    <row r="24" spans="1:25" x14ac:dyDescent="0.25">
      <c r="A24" t="s">
        <v>65</v>
      </c>
      <c r="B24" s="2" t="s">
        <v>60</v>
      </c>
      <c r="C24" s="2" t="s">
        <v>66</v>
      </c>
      <c r="D24" t="s">
        <v>67</v>
      </c>
      <c r="E24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4" s="4">
        <v>0</v>
      </c>
      <c r="G24" s="7">
        <v>0</v>
      </c>
      <c r="H24" s="7">
        <v>0</v>
      </c>
      <c r="I24" s="4">
        <v>3.9</v>
      </c>
      <c r="J24" s="7">
        <v>8.4</v>
      </c>
      <c r="K24" s="7">
        <v>12.3</v>
      </c>
      <c r="L24" s="4">
        <v>0</v>
      </c>
      <c r="M24" s="7">
        <v>0</v>
      </c>
      <c r="N24" s="7">
        <v>0</v>
      </c>
      <c r="O24" s="4">
        <v>3.9</v>
      </c>
      <c r="P24" s="7">
        <v>8.1999999999999993</v>
      </c>
      <c r="Q24" s="7">
        <v>12.1</v>
      </c>
      <c r="R24" s="4">
        <f>LARGE(CHOOSE({1;2;3;4},F24,I24,L24,O24),1)+LARGE(CHOOSE({1;2;3;4},F24,I24,L24,O24),2)+LARGE(CHOOSE({1;2;3;4},F24,I24,L24,O24),3)</f>
        <v>7.8</v>
      </c>
      <c r="S24" s="7">
        <f>LARGE(CHOOSE({1;2;3;4},G24,J24,M24,P24),1)+LARGE(CHOOSE({1;2;3;4},G24,J24,M24,P24),2)+LARGE(CHOOSE({1;2;3;4},G24,J24,M24,P24),3)</f>
        <v>16.600000000000001</v>
      </c>
      <c r="T24" s="7">
        <f>LARGE(CHOOSE({1;2;3;4},H24,K24,N24,Q24),1)+LARGE(CHOOSE({1;2;3;4},H24,K24,N24,Q24),2)+LARGE(CHOOSE({1;2;3;4},H24,K24,N24,Q24),3)</f>
        <v>24.4</v>
      </c>
      <c r="U24" s="4" cm="1">
        <f t="array" ref="U24">IF(SR[[#This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IF(SR[[#This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IF(SR[[#This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</row>
    <row r="25" spans="1:25" x14ac:dyDescent="0.25">
      <c r="A25" t="s">
        <v>127</v>
      </c>
      <c r="B25" s="2" t="s">
        <v>60</v>
      </c>
      <c r="C25" s="2" t="s">
        <v>128</v>
      </c>
      <c r="D25" t="s">
        <v>72</v>
      </c>
      <c r="E25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5" s="4">
        <v>3.8</v>
      </c>
      <c r="G25" s="7">
        <v>8.1999999999999993</v>
      </c>
      <c r="H25" s="7">
        <v>12</v>
      </c>
      <c r="I25" s="4">
        <v>0</v>
      </c>
      <c r="J25" s="7">
        <v>0</v>
      </c>
      <c r="K25" s="7">
        <v>0</v>
      </c>
      <c r="L25" s="4">
        <v>3.8</v>
      </c>
      <c r="M25" s="7">
        <v>8.35</v>
      </c>
      <c r="N25" s="7">
        <v>12.15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7.6</v>
      </c>
      <c r="S25" s="7">
        <f>LARGE(CHOOSE({1;2;3;4},G25,J25,M25,P25),1)+LARGE(CHOOSE({1;2;3;4},G25,J25,M25,P25),2)+LARGE(CHOOSE({1;2;3;4},G25,J25,M25,P25),3)</f>
        <v>16.549999999999997</v>
      </c>
      <c r="T25" s="7">
        <f>LARGE(CHOOSE({1;2;3;4},H25,K25,N25,Q25),1)+LARGE(CHOOSE({1;2;3;4},H25,K25,N25,Q25),2)+LARGE(CHOOSE({1;2;3;4},H25,K25,N25,Q25),3)</f>
        <v>24.15</v>
      </c>
      <c r="U25" s="4" cm="1">
        <f t="array" ref="U25">IF(SR[[#This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IF(SR[[#This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IF(SR[[#This Row],[Number_of_competition]:[Number_of_competition]]&gt;=3,(LARGE(CHOOSE({1;2;3;4},H25,K25,N25,Q25),1)+LARGE(CHOOSE({1;2;3;4},H25,K25,N25,Q25),2)+LARGE(CHOOSE({1;2;3;4},H25,K25,N25,Q25),3))/3,0)</f>
        <v>0</v>
      </c>
    </row>
    <row r="26" spans="1:25" x14ac:dyDescent="0.25">
      <c r="A26" t="s">
        <v>70</v>
      </c>
      <c r="B26" s="2" t="s">
        <v>60</v>
      </c>
      <c r="C26" s="2" t="s">
        <v>71</v>
      </c>
      <c r="D26" t="s">
        <v>72</v>
      </c>
      <c r="E26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6" s="4">
        <v>0</v>
      </c>
      <c r="G26" s="7">
        <v>0</v>
      </c>
      <c r="H26" s="7">
        <v>0</v>
      </c>
      <c r="I26" s="4">
        <v>4.0999999999999996</v>
      </c>
      <c r="J26" s="7">
        <v>7.6</v>
      </c>
      <c r="K26" s="7">
        <v>11.7</v>
      </c>
      <c r="L26" s="4">
        <v>4.0999999999999996</v>
      </c>
      <c r="M26" s="7">
        <v>7.8</v>
      </c>
      <c r="N26" s="7">
        <v>11.9</v>
      </c>
      <c r="O26" s="4">
        <v>0</v>
      </c>
      <c r="P26" s="7">
        <v>0</v>
      </c>
      <c r="Q26" s="7">
        <v>0</v>
      </c>
      <c r="R26" s="4">
        <f>LARGE(CHOOSE({1;2;3;4},F26,I26,L26,O26),1)+LARGE(CHOOSE({1;2;3;4},F26,I26,L26,O26),2)+LARGE(CHOOSE({1;2;3;4},F26,I26,L26,O26),3)</f>
        <v>8.1999999999999993</v>
      </c>
      <c r="S26" s="7">
        <f>LARGE(CHOOSE({1;2;3;4},G26,J26,M26,P26),1)+LARGE(CHOOSE({1;2;3;4},G26,J26,M26,P26),2)+LARGE(CHOOSE({1;2;3;4},G26,J26,M26,P26),3)</f>
        <v>15.399999999999999</v>
      </c>
      <c r="T26" s="7">
        <f>LARGE(CHOOSE({1;2;3;4},H26,K26,N26,Q26),1)+LARGE(CHOOSE({1;2;3;4},H26,K26,N26,Q26),2)+LARGE(CHOOSE({1;2;3;4},H26,K26,N26,Q26),3)</f>
        <v>23.6</v>
      </c>
      <c r="U26" s="4" cm="1">
        <f t="array" ref="U26">IF(SR[[#This Row],[Number_of_competition]:[Number_of_competition]]&gt;=3,(LARGE(CHOOSE({1;2;3;4},F26,I26,L26,O26),1)+LARGE(CHOOSE({1;2;3;4},F26,I26,L26,O26),2)+LARGE(CHOOSE({1;2;3;4},F26,I26,L26,O26),3))/3,0)</f>
        <v>0</v>
      </c>
      <c r="V26" s="7" cm="1">
        <f t="array" ref="V26">IF(SR[[#This Row],[Number_of_competition]:[Number_of_competition]]&gt;=3,(LARGE(CHOOSE({1;2;3;4},G26,J26,M26,P26),1)+LARGE(CHOOSE({1;2;3;4},G26,J26,M26,P26),2)+LARGE(CHOOSE({1;2;3;4},G26,J26,M26,P26),3))/3,0)</f>
        <v>0</v>
      </c>
      <c r="W26" s="7" cm="1">
        <f t="array" ref="W26">IF(SR[[#This Row],[Number_of_competition]:[Number_of_competition]]&gt;=3,(LARGE(CHOOSE({1;2;3;4},H26,K26,N26,Q26),1)+LARGE(CHOOSE({1;2;3;4},H26,K26,N26,Q26),2)+LARGE(CHOOSE({1;2;3;4},H26,K26,N26,Q26),3))/3,0)</f>
        <v>0</v>
      </c>
    </row>
    <row r="27" spans="1:25" x14ac:dyDescent="0.25">
      <c r="A27" t="s">
        <v>50</v>
      </c>
      <c r="B27" s="2" t="s">
        <v>26</v>
      </c>
      <c r="C27" s="2" t="s">
        <v>51</v>
      </c>
      <c r="D27" t="s">
        <v>36</v>
      </c>
      <c r="E27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7" s="4">
        <v>0</v>
      </c>
      <c r="G27" s="7">
        <v>0</v>
      </c>
      <c r="H27" s="7">
        <v>0</v>
      </c>
      <c r="I27" s="4">
        <v>3.7</v>
      </c>
      <c r="J27" s="7">
        <v>8.1</v>
      </c>
      <c r="K27" s="7">
        <v>11.8</v>
      </c>
      <c r="L27" s="4">
        <v>3.7</v>
      </c>
      <c r="M27" s="7">
        <v>7.8</v>
      </c>
      <c r="N27" s="7">
        <v>11.5</v>
      </c>
      <c r="O27" s="4">
        <v>0</v>
      </c>
      <c r="P27" s="7">
        <v>0</v>
      </c>
      <c r="Q27" s="7">
        <v>0</v>
      </c>
      <c r="R27" s="4">
        <f>LARGE(CHOOSE({1;2;3;4},F27,I27,L27,O27),1)+LARGE(CHOOSE({1;2;3;4},F27,I27,L27,O27),2)+LARGE(CHOOSE({1;2;3;4},F27,I27,L27,O27),3)</f>
        <v>7.4</v>
      </c>
      <c r="S27" s="7">
        <f>LARGE(CHOOSE({1;2;3;4},G27,J27,M27,P27),1)+LARGE(CHOOSE({1;2;3;4},G27,J27,M27,P27),2)+LARGE(CHOOSE({1;2;3;4},G27,J27,M27,P27),3)</f>
        <v>15.899999999999999</v>
      </c>
      <c r="T27" s="7">
        <f>LARGE(CHOOSE({1;2;3;4},H27,K27,N27,Q27),1)+LARGE(CHOOSE({1;2;3;4},H27,K27,N27,Q27),2)+LARGE(CHOOSE({1;2;3;4},H27,K27,N27,Q27),3)</f>
        <v>23.3</v>
      </c>
      <c r="U27" s="4" cm="1">
        <f t="array" ref="U27">IF(SR[[#This Row],[Number_of_competition]:[Number_of_competition]]&gt;=3,(LARGE(CHOOSE({1;2;3;4},F27,I27,L27,O27),1)+LARGE(CHOOSE({1;2;3;4},F27,I27,L27,O27),2)+LARGE(CHOOSE({1;2;3;4},F27,I27,L27,O27),3))/3,0)</f>
        <v>0</v>
      </c>
      <c r="V27" s="7" cm="1">
        <f t="array" ref="V27">IF(SR[[#This Row],[Number_of_competition]:[Number_of_competition]]&gt;=3,(LARGE(CHOOSE({1;2;3;4},G27,J27,M27,P27),1)+LARGE(CHOOSE({1;2;3;4},G27,J27,M27,P27),2)+LARGE(CHOOSE({1;2;3;4},G27,J27,M27,P27),3))/3,0)</f>
        <v>0</v>
      </c>
      <c r="W27" s="7" cm="1">
        <f t="array" ref="W27">IF(SR[[#This Row],[Number_of_competition]:[Number_of_competition]]&gt;=3,(LARGE(CHOOSE({1;2;3;4},H27,K27,N27,Q27),1)+LARGE(CHOOSE({1;2;3;4},H27,K27,N27,Q27),2)+LARGE(CHOOSE({1;2;3;4},H27,K27,N27,Q27),3))/3,0)</f>
        <v>0</v>
      </c>
    </row>
    <row r="28" spans="1:25" x14ac:dyDescent="0.25">
      <c r="A28" t="s">
        <v>75</v>
      </c>
      <c r="B28" s="2" t="s">
        <v>60</v>
      </c>
      <c r="C28" s="2" t="s">
        <v>76</v>
      </c>
      <c r="D28" t="s">
        <v>28</v>
      </c>
      <c r="E28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8" s="4">
        <v>0</v>
      </c>
      <c r="G28" s="7">
        <v>0</v>
      </c>
      <c r="H28" s="7">
        <v>0</v>
      </c>
      <c r="I28" s="4">
        <v>3.8</v>
      </c>
      <c r="J28" s="7">
        <v>7.8</v>
      </c>
      <c r="K28" s="7">
        <v>11.6</v>
      </c>
      <c r="L28" s="4">
        <v>3.4</v>
      </c>
      <c r="M28" s="7">
        <v>7.7</v>
      </c>
      <c r="N28" s="7">
        <v>11.1</v>
      </c>
      <c r="O28" s="4">
        <v>0</v>
      </c>
      <c r="P28" s="7">
        <v>0</v>
      </c>
      <c r="Q28" s="7">
        <v>0</v>
      </c>
      <c r="R28" s="4">
        <f>LARGE(CHOOSE({1;2;3;4},F28,I28,L28,O28),1)+LARGE(CHOOSE({1;2;3;4},F28,I28,L28,O28),2)+LARGE(CHOOSE({1;2;3;4},F28,I28,L28,O28),3)</f>
        <v>7.1999999999999993</v>
      </c>
      <c r="S28" s="7">
        <f>LARGE(CHOOSE({1;2;3;4},G28,J28,M28,P28),1)+LARGE(CHOOSE({1;2;3;4},G28,J28,M28,P28),2)+LARGE(CHOOSE({1;2;3;4},G28,J28,M28,P28),3)</f>
        <v>15.5</v>
      </c>
      <c r="T28" s="7">
        <f>LARGE(CHOOSE({1;2;3;4},H28,K28,N28,Q28),1)+LARGE(CHOOSE({1;2;3;4},H28,K28,N28,Q28),2)+LARGE(CHOOSE({1;2;3;4},H28,K28,N28,Q28),3)</f>
        <v>22.7</v>
      </c>
      <c r="U28" s="4" cm="1">
        <f t="array" ref="U28">IF(SR[[#This Row],[Number_of_competition]:[Number_of_competition]]&gt;=3,(LARGE(CHOOSE({1;2;3;4},F28,I28,L28,O28),1)+LARGE(CHOOSE({1;2;3;4},F28,I28,L28,O28),2)+LARGE(CHOOSE({1;2;3;4},F28,I28,L28,O28),3))/3,0)</f>
        <v>0</v>
      </c>
      <c r="V28" s="7" cm="1">
        <f t="array" ref="V28">IF(SR[[#This Row],[Number_of_competition]:[Number_of_competition]]&gt;=3,(LARGE(CHOOSE({1;2;3;4},G28,J28,M28,P28),1)+LARGE(CHOOSE({1;2;3;4},G28,J28,M28,P28),2)+LARGE(CHOOSE({1;2;3;4},G28,J28,M28,P28),3))/3,0)</f>
        <v>0</v>
      </c>
      <c r="W28" s="7" cm="1">
        <f t="array" ref="W28">IF(SR[[#This Row],[Number_of_competition]:[Number_of_competition]]&gt;=3,(LARGE(CHOOSE({1;2;3;4},H28,K28,N28,Q28),1)+LARGE(CHOOSE({1;2;3;4},H28,K28,N28,Q28),2)+LARGE(CHOOSE({1;2;3;4},H28,K28,N28,Q28),3))/3,0)</f>
        <v>0</v>
      </c>
    </row>
    <row r="29" spans="1:25" x14ac:dyDescent="0.25">
      <c r="A29" t="s">
        <v>112</v>
      </c>
      <c r="B29" s="2" t="s">
        <v>26</v>
      </c>
      <c r="C29" s="2" t="s">
        <v>113</v>
      </c>
      <c r="D29" t="s">
        <v>31</v>
      </c>
      <c r="E29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29" s="4">
        <v>2.9</v>
      </c>
      <c r="G29" s="7">
        <v>8</v>
      </c>
      <c r="H29" s="7">
        <v>10.9</v>
      </c>
      <c r="I29" s="4">
        <v>0</v>
      </c>
      <c r="J29" s="7">
        <v>0</v>
      </c>
      <c r="K29" s="7">
        <v>0</v>
      </c>
      <c r="L29" s="4">
        <v>0</v>
      </c>
      <c r="M29" s="7">
        <v>0</v>
      </c>
      <c r="N29" s="7">
        <v>0</v>
      </c>
      <c r="O29" s="4">
        <v>2.2000000000000002</v>
      </c>
      <c r="P29" s="7">
        <v>7.7</v>
      </c>
      <c r="Q29" s="7">
        <v>9.9</v>
      </c>
      <c r="R29" s="4">
        <f>LARGE(CHOOSE({1;2;3;4},F29,I29,L29,O29),1)+LARGE(CHOOSE({1;2;3;4},F29,I29,L29,O29),2)+LARGE(CHOOSE({1;2;3;4},F29,I29,L29,O29),3)</f>
        <v>5.0999999999999996</v>
      </c>
      <c r="S29" s="7">
        <f>LARGE(CHOOSE({1;2;3;4},G29,J29,M29,P29),1)+LARGE(CHOOSE({1;2;3;4},G29,J29,M29,P29),2)+LARGE(CHOOSE({1;2;3;4},G29,J29,M29,P29),3)</f>
        <v>15.7</v>
      </c>
      <c r="T29" s="7">
        <f>LARGE(CHOOSE({1;2;3;4},H29,K29,N29,Q29),1)+LARGE(CHOOSE({1;2;3;4},H29,K29,N29,Q29),2)+LARGE(CHOOSE({1;2;3;4},H29,K29,N29,Q29),3)</f>
        <v>20.8</v>
      </c>
      <c r="U29" s="4" cm="1">
        <f t="array" ref="U29">IF(SR[[#This Row],[Number_of_competition]:[Number_of_competition]]&gt;=3,(LARGE(CHOOSE({1;2;3;4},F29,I29,L29,O29),1)+LARGE(CHOOSE({1;2;3;4},F29,I29,L29,O29),2)+LARGE(CHOOSE({1;2;3;4},F29,I29,L29,O29),3))/3,0)</f>
        <v>0</v>
      </c>
      <c r="V29" s="7" cm="1">
        <f t="array" ref="V29">IF(SR[[#This Row],[Number_of_competition]:[Number_of_competition]]&gt;=3,(LARGE(CHOOSE({1;2;3;4},G29,J29,M29,P29),1)+LARGE(CHOOSE({1;2;3;4},G29,J29,M29,P29),2)+LARGE(CHOOSE({1;2;3;4},G29,J29,M29,P29),3))/3,0)</f>
        <v>0</v>
      </c>
      <c r="W29" s="7" cm="1">
        <f t="array" ref="W29">IF(SR[[#This Row],[Number_of_competition]:[Number_of_competition]]&gt;=3,(LARGE(CHOOSE({1;2;3;4},H29,K29,N29,Q29),1)+LARGE(CHOOSE({1;2;3;4},H29,K29,N29,Q29),2)+LARGE(CHOOSE({1;2;3;4},H29,K29,N29,Q29),3))/3,0)</f>
        <v>0</v>
      </c>
    </row>
    <row r="30" spans="1:25" x14ac:dyDescent="0.25">
      <c r="A30" t="s">
        <v>90</v>
      </c>
      <c r="B30" s="2" t="s">
        <v>60</v>
      </c>
      <c r="C30" s="2" t="s">
        <v>91</v>
      </c>
      <c r="D30" t="s">
        <v>36</v>
      </c>
      <c r="E30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0" s="4">
        <v>0</v>
      </c>
      <c r="G30" s="7">
        <v>0</v>
      </c>
      <c r="H30" s="7">
        <v>0</v>
      </c>
      <c r="I30" s="4">
        <v>3.8</v>
      </c>
      <c r="J30" s="7">
        <v>7</v>
      </c>
      <c r="K30" s="7">
        <v>10.8</v>
      </c>
      <c r="L30" s="4">
        <v>3</v>
      </c>
      <c r="M30" s="7">
        <v>6.35</v>
      </c>
      <c r="N30" s="7">
        <v>9.35</v>
      </c>
      <c r="O30" s="4">
        <v>0</v>
      </c>
      <c r="P30" s="7">
        <v>0</v>
      </c>
      <c r="Q30" s="7">
        <v>0</v>
      </c>
      <c r="R30" s="4">
        <f>LARGE(CHOOSE({1;2;3;4},F30,I30,L30,O30),1)+LARGE(CHOOSE({1;2;3;4},F30,I30,L30,O30),2)+LARGE(CHOOSE({1;2;3;4},F30,I30,L30,O30),3)</f>
        <v>6.8</v>
      </c>
      <c r="S30" s="7">
        <f>LARGE(CHOOSE({1;2;3;4},G30,J30,M30,P30),1)+LARGE(CHOOSE({1;2;3;4},G30,J30,M30,P30),2)+LARGE(CHOOSE({1;2;3;4},G30,J30,M30,P30),3)</f>
        <v>13.35</v>
      </c>
      <c r="T30" s="7">
        <f>LARGE(CHOOSE({1;2;3;4},H30,K30,N30,Q30),1)+LARGE(CHOOSE({1;2;3;4},H30,K30,N30,Q30),2)+LARGE(CHOOSE({1;2;3;4},H30,K30,N30,Q30),3)</f>
        <v>20.149999999999999</v>
      </c>
      <c r="U30" s="4" cm="1">
        <f t="array" ref="U30">IF(SR[[#This Row],[Number_of_competition]:[Number_of_competition]]&gt;=3,(LARGE(CHOOSE({1;2;3;4},F30,I30,L30,O30),1)+LARGE(CHOOSE({1;2;3;4},F30,I30,L30,O30),2)+LARGE(CHOOSE({1;2;3;4},F30,I30,L30,O30),3))/3,0)</f>
        <v>0</v>
      </c>
      <c r="V30" s="7" cm="1">
        <f t="array" ref="V30">IF(SR[[#This Row],[Number_of_competition]:[Number_of_competition]]&gt;=3,(LARGE(CHOOSE({1;2;3;4},G30,J30,M30,P30),1)+LARGE(CHOOSE({1;2;3;4},G30,J30,M30,P30),2)+LARGE(CHOOSE({1;2;3;4},G30,J30,M30,P30),3))/3,0)</f>
        <v>0</v>
      </c>
      <c r="W30" s="7" cm="1">
        <f t="array" ref="W30">IF(SR[[#This Row],[Number_of_competition]:[Number_of_competition]]&gt;=3,(LARGE(CHOOSE({1;2;3;4},H30,K30,N30,Q30),1)+LARGE(CHOOSE({1;2;3;4},H30,K30,N30,Q30),2)+LARGE(CHOOSE({1;2;3;4},H30,K30,N30,Q30),3))/3,0)</f>
        <v>0</v>
      </c>
    </row>
    <row r="31" spans="1:25" x14ac:dyDescent="0.25">
      <c r="A31" t="s">
        <v>88</v>
      </c>
      <c r="B31" s="2" t="s">
        <v>60</v>
      </c>
      <c r="C31" s="2" t="s">
        <v>89</v>
      </c>
      <c r="D31" t="s">
        <v>36</v>
      </c>
      <c r="E31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1" s="4">
        <v>0</v>
      </c>
      <c r="G31" s="7">
        <v>0</v>
      </c>
      <c r="H31" s="7">
        <v>0</v>
      </c>
      <c r="I31" s="4">
        <v>2.5</v>
      </c>
      <c r="J31" s="7">
        <v>7.2</v>
      </c>
      <c r="K31" s="7">
        <v>9.6999999999999993</v>
      </c>
      <c r="L31" s="4">
        <v>0</v>
      </c>
      <c r="M31" s="7">
        <v>0</v>
      </c>
      <c r="N31" s="7">
        <v>0</v>
      </c>
      <c r="O31" s="4">
        <v>2.2000000000000002</v>
      </c>
      <c r="P31" s="7">
        <v>7.7</v>
      </c>
      <c r="Q31" s="7">
        <v>9.9</v>
      </c>
      <c r="R31" s="4">
        <f>LARGE(CHOOSE({1;2;3;4},F31,I31,L31,O31),1)+LARGE(CHOOSE({1;2;3;4},F31,I31,L31,O31),2)+LARGE(CHOOSE({1;2;3;4},F31,I31,L31,O31),3)</f>
        <v>4.7</v>
      </c>
      <c r="S31" s="7">
        <f>LARGE(CHOOSE({1;2;3;4},G31,J31,M31,P31),1)+LARGE(CHOOSE({1;2;3;4},G31,J31,M31,P31),2)+LARGE(CHOOSE({1;2;3;4},G31,J31,M31,P31),3)</f>
        <v>14.9</v>
      </c>
      <c r="T31" s="7">
        <f>LARGE(CHOOSE({1;2;3;4},H31,K31,N31,Q31),1)+LARGE(CHOOSE({1;2;3;4},H31,K31,N31,Q31),2)+LARGE(CHOOSE({1;2;3;4},H31,K31,N31,Q31),3)</f>
        <v>19.600000000000001</v>
      </c>
      <c r="U31" s="4" cm="1">
        <f t="array" ref="U31">IF(SR[[#This Row],[Number_of_competition]:[Number_of_competition]]&gt;=3,(LARGE(CHOOSE({1;2;3;4},F31,I31,L31,O31),1)+LARGE(CHOOSE({1;2;3;4},F31,I31,L31,O31),2)+LARGE(CHOOSE({1;2;3;4},F31,I31,L31,O31),3))/3,0)</f>
        <v>0</v>
      </c>
      <c r="V31" s="7" cm="1">
        <f t="array" ref="V31">IF(SR[[#This Row],[Number_of_competition]:[Number_of_competition]]&gt;=3,(LARGE(CHOOSE({1;2;3;4},G31,J31,M31,P31),1)+LARGE(CHOOSE({1;2;3;4},G31,J31,M31,P31),2)+LARGE(CHOOSE({1;2;3;4},G31,J31,M31,P31),3))/3,0)</f>
        <v>0</v>
      </c>
      <c r="W31" s="7" cm="1">
        <f t="array" ref="W31">IF(SR[[#This Row],[Number_of_competition]:[Number_of_competition]]&gt;=3,(LARGE(CHOOSE({1;2;3;4},H31,K31,N31,Q31),1)+LARGE(CHOOSE({1;2;3;4},H31,K31,N31,Q31),2)+LARGE(CHOOSE({1;2;3;4},H31,K31,N31,Q31),3))/3,0)</f>
        <v>0</v>
      </c>
    </row>
    <row r="32" spans="1:25" x14ac:dyDescent="0.25">
      <c r="A32" t="s">
        <v>98</v>
      </c>
      <c r="B32" s="2" t="s">
        <v>60</v>
      </c>
      <c r="C32" s="2" t="s">
        <v>99</v>
      </c>
      <c r="D32" t="s">
        <v>72</v>
      </c>
      <c r="E32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2" s="4">
        <v>0</v>
      </c>
      <c r="G32" s="7">
        <v>0</v>
      </c>
      <c r="H32" s="7">
        <v>0</v>
      </c>
      <c r="I32" s="4">
        <v>2.9</v>
      </c>
      <c r="J32" s="7">
        <v>6.7</v>
      </c>
      <c r="K32" s="7">
        <v>9.6</v>
      </c>
      <c r="L32" s="4">
        <v>2.5</v>
      </c>
      <c r="M32" s="7">
        <v>6.55</v>
      </c>
      <c r="N32" s="7">
        <v>9.0500000000000007</v>
      </c>
      <c r="O32" s="4">
        <v>0</v>
      </c>
      <c r="P32" s="7">
        <v>0</v>
      </c>
      <c r="Q32" s="7">
        <v>0</v>
      </c>
      <c r="R32" s="4">
        <f>LARGE(CHOOSE({1;2;3;4},F32,I32,L32,O32),1)+LARGE(CHOOSE({1;2;3;4},F32,I32,L32,O32),2)+LARGE(CHOOSE({1;2;3;4},F32,I32,L32,O32),3)</f>
        <v>5.4</v>
      </c>
      <c r="S32" s="7">
        <f>LARGE(CHOOSE({1;2;3;4},G32,J32,M32,P32),1)+LARGE(CHOOSE({1;2;3;4},G32,J32,M32,P32),2)+LARGE(CHOOSE({1;2;3;4},G32,J32,M32,P32),3)</f>
        <v>13.25</v>
      </c>
      <c r="T32" s="7">
        <f>LARGE(CHOOSE({1;2;3;4},H32,K32,N32,Q32),1)+LARGE(CHOOSE({1;2;3;4},H32,K32,N32,Q32),2)+LARGE(CHOOSE({1;2;3;4},H32,K32,N32,Q32),3)</f>
        <v>18.649999999999999</v>
      </c>
      <c r="U32" s="4" cm="1">
        <f t="array" ref="U32">IF(SR[[#This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IF(SR[[#This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IF(SR[[#This Row],[Number_of_competition]:[Number_of_competition]]&gt;=3,(LARGE(CHOOSE({1;2;3;4},H32,K32,N32,Q32),1)+LARGE(CHOOSE({1;2;3;4},H32,K32,N32,Q32),2)+LARGE(CHOOSE({1;2;3;4},H32,K32,N32,Q32),3))/3,0)</f>
        <v>0</v>
      </c>
    </row>
    <row r="33" spans="1:23" x14ac:dyDescent="0.25">
      <c r="A33" t="s">
        <v>120</v>
      </c>
      <c r="B33" s="2" t="s">
        <v>26</v>
      </c>
      <c r="C33" s="2" t="s">
        <v>121</v>
      </c>
      <c r="D33" t="s">
        <v>39</v>
      </c>
      <c r="E33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3" s="4">
        <v>2.9</v>
      </c>
      <c r="G33" s="7">
        <v>6.7</v>
      </c>
      <c r="H33" s="7">
        <v>9.6</v>
      </c>
      <c r="I33" s="4">
        <v>0</v>
      </c>
      <c r="J33" s="7">
        <v>0</v>
      </c>
      <c r="K33" s="7">
        <v>0</v>
      </c>
      <c r="L33" s="4">
        <v>1.8</v>
      </c>
      <c r="M33" s="7">
        <v>6.8</v>
      </c>
      <c r="N33" s="7">
        <v>8.6</v>
      </c>
      <c r="O33" s="4">
        <v>0</v>
      </c>
      <c r="P33" s="7">
        <v>0</v>
      </c>
      <c r="Q33" s="7">
        <v>0</v>
      </c>
      <c r="R33" s="4">
        <f>LARGE(CHOOSE({1;2;3;4},F33,I33,L33,O33),1)+LARGE(CHOOSE({1;2;3;4},F33,I33,L33,O33),2)+LARGE(CHOOSE({1;2;3;4},F33,I33,L33,O33),3)</f>
        <v>4.7</v>
      </c>
      <c r="S33" s="7">
        <f>LARGE(CHOOSE({1;2;3;4},G33,J33,M33,P33),1)+LARGE(CHOOSE({1;2;3;4},G33,J33,M33,P33),2)+LARGE(CHOOSE({1;2;3;4},G33,J33,M33,P33),3)</f>
        <v>13.5</v>
      </c>
      <c r="T33" s="7">
        <f>LARGE(CHOOSE({1;2;3;4},H33,K33,N33,Q33),1)+LARGE(CHOOSE({1;2;3;4},H33,K33,N33,Q33),2)+LARGE(CHOOSE({1;2;3;4},H33,K33,N33,Q33),3)</f>
        <v>18.2</v>
      </c>
      <c r="U33" s="4" cm="1">
        <f t="array" ref="U33">IF(SR[[#This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IF(SR[[#This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IF(SR[[#This Row],[Number_of_competition]:[Number_of_competition]]&gt;=3,(LARGE(CHOOSE({1;2;3;4},H33,K33,N33,Q33),1)+LARGE(CHOOSE({1;2;3;4},H33,K33,N33,Q33),2)+LARGE(CHOOSE({1;2;3;4},H33,K33,N33,Q33),3))/3,0)</f>
        <v>0</v>
      </c>
    </row>
    <row r="34" spans="1:23" x14ac:dyDescent="0.25">
      <c r="A34" t="s">
        <v>108</v>
      </c>
      <c r="B34" s="2" t="s">
        <v>60</v>
      </c>
      <c r="C34" s="2" t="s">
        <v>109</v>
      </c>
      <c r="D34" t="s">
        <v>62</v>
      </c>
      <c r="E34" s="9">
        <f>COUNTIF(SR[[#This Row],[bydgoszcz_SR_Total_Score]],"&gt;0")+COUNTIF(SR[[#This Row],[zabrze_SR_Total_Score]],"&gt;0")+COUNTIF(SR[[#This Row],[cracow_SR_Total_Score]],"&gt;0")+COUNTIF(SR[[#This Row],[gdansk_SR_Total_Score]],"&gt;0")</f>
        <v>2</v>
      </c>
      <c r="F34" s="4">
        <v>0</v>
      </c>
      <c r="G34" s="7">
        <v>0</v>
      </c>
      <c r="H34" s="7">
        <v>0</v>
      </c>
      <c r="I34" s="4">
        <v>2.6</v>
      </c>
      <c r="J34" s="7">
        <v>1.7</v>
      </c>
      <c r="K34" s="7">
        <v>4.3</v>
      </c>
      <c r="L34" s="4">
        <v>2.9</v>
      </c>
      <c r="M34" s="7">
        <v>5.75</v>
      </c>
      <c r="N34" s="7">
        <v>8.65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5.5</v>
      </c>
      <c r="S34" s="7">
        <f>LARGE(CHOOSE({1;2;3;4},G34,J34,M34,P34),1)+LARGE(CHOOSE({1;2;3;4},G34,J34,M34,P34),2)+LARGE(CHOOSE({1;2;3;4},G34,J34,M34,P34),3)</f>
        <v>7.45</v>
      </c>
      <c r="T34" s="7">
        <f>LARGE(CHOOSE({1;2;3;4},H34,K34,N34,Q34),1)+LARGE(CHOOSE({1;2;3;4},H34,K34,N34,Q34),2)+LARGE(CHOOSE({1;2;3;4},H34,K34,N34,Q34),3)</f>
        <v>12.95</v>
      </c>
      <c r="U34" s="4" cm="1">
        <f t="array" ref="U34">IF(SR[[#This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IF(SR[[#This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IF(SR[[#This Row],[Number_of_competition]:[Number_of_competition]]&gt;=3,(LARGE(CHOOSE({1;2;3;4},H34,K34,N34,Q34),1)+LARGE(CHOOSE({1;2;3;4},H34,K34,N34,Q34),2)+LARGE(CHOOSE({1;2;3;4},H34,K34,N34,Q34),3))/3,0)</f>
        <v>0</v>
      </c>
    </row>
    <row r="35" spans="1:23" x14ac:dyDescent="0.25">
      <c r="A35" t="s">
        <v>118</v>
      </c>
      <c r="B35" s="2" t="s">
        <v>60</v>
      </c>
      <c r="C35" s="2" t="s">
        <v>119</v>
      </c>
      <c r="D35" t="s">
        <v>31</v>
      </c>
      <c r="E35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5" s="4">
        <v>0</v>
      </c>
      <c r="G35" s="7">
        <v>0</v>
      </c>
      <c r="H35" s="7">
        <v>0</v>
      </c>
      <c r="I35" s="4">
        <v>0</v>
      </c>
      <c r="J35" s="7">
        <v>0</v>
      </c>
      <c r="K35" s="7">
        <v>0</v>
      </c>
      <c r="L35" s="4">
        <v>4</v>
      </c>
      <c r="M35" s="7">
        <v>7.65</v>
      </c>
      <c r="N35" s="7">
        <v>11.65</v>
      </c>
      <c r="O35" s="4">
        <v>0</v>
      </c>
      <c r="P35" s="7">
        <v>0</v>
      </c>
      <c r="Q35" s="7">
        <v>0</v>
      </c>
      <c r="R35" s="4">
        <f>LARGE(CHOOSE({1;2;3;4},F35,I35,L35,O35),1)+LARGE(CHOOSE({1;2;3;4},F35,I35,L35,O35),2)+LARGE(CHOOSE({1;2;3;4},F35,I35,L35,O35),3)</f>
        <v>4</v>
      </c>
      <c r="S35" s="7">
        <f>LARGE(CHOOSE({1;2;3;4},G35,J35,M35,P35),1)+LARGE(CHOOSE({1;2;3;4},G35,J35,M35,P35),2)+LARGE(CHOOSE({1;2;3;4},G35,J35,M35,P35),3)</f>
        <v>7.65</v>
      </c>
      <c r="T35" s="7">
        <f>LARGE(CHOOSE({1;2;3;4},H35,K35,N35,Q35),1)+LARGE(CHOOSE({1;2;3;4},H35,K35,N35,Q35),2)+LARGE(CHOOSE({1;2;3;4},H35,K35,N35,Q35),3)</f>
        <v>11.65</v>
      </c>
      <c r="U35" s="4" cm="1">
        <f t="array" ref="U35">IF(SR[[#This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IF(SR[[#This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IF(SR[[#This Row],[Number_of_competition]:[Number_of_competition]]&gt;=3,(LARGE(CHOOSE({1;2;3;4},H35,K35,N35,Q35),1)+LARGE(CHOOSE({1;2;3;4},H35,K35,N35,Q35),2)+LARGE(CHOOSE({1;2;3;4},H35,K35,N35,Q35),3))/3,0)</f>
        <v>0</v>
      </c>
    </row>
    <row r="36" spans="1:23" x14ac:dyDescent="0.25">
      <c r="A36" t="s">
        <v>57</v>
      </c>
      <c r="B36" s="2" t="s">
        <v>26</v>
      </c>
      <c r="C36" s="2" t="s">
        <v>58</v>
      </c>
      <c r="D36" t="s">
        <v>36</v>
      </c>
      <c r="E36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6" s="4">
        <v>2.8</v>
      </c>
      <c r="G36" s="7">
        <v>8.1</v>
      </c>
      <c r="H36" s="7">
        <v>10.9</v>
      </c>
      <c r="I36" s="4">
        <v>0</v>
      </c>
      <c r="J36" s="7">
        <v>0</v>
      </c>
      <c r="K36" s="7">
        <v>0</v>
      </c>
      <c r="L36" s="4">
        <v>0</v>
      </c>
      <c r="M36" s="7">
        <v>0</v>
      </c>
      <c r="N36" s="7">
        <v>0</v>
      </c>
      <c r="O36" s="4">
        <v>0</v>
      </c>
      <c r="P36" s="7">
        <v>0</v>
      </c>
      <c r="Q36" s="7">
        <v>0</v>
      </c>
      <c r="R36" s="4">
        <f>LARGE(CHOOSE({1;2;3;4},F36,I36,L36,O36),1)+LARGE(CHOOSE({1;2;3;4},F36,I36,L36,O36),2)+LARGE(CHOOSE({1;2;3;4},F36,I36,L36,O36),3)</f>
        <v>2.8</v>
      </c>
      <c r="S36" s="7">
        <f>LARGE(CHOOSE({1;2;3;4},G36,J36,M36,P36),1)+LARGE(CHOOSE({1;2;3;4},G36,J36,M36,P36),2)+LARGE(CHOOSE({1;2;3;4},G36,J36,M36,P36),3)</f>
        <v>8.1</v>
      </c>
      <c r="T36" s="7">
        <f>LARGE(CHOOSE({1;2;3;4},H36,K36,N36,Q36),1)+LARGE(CHOOSE({1;2;3;4},H36,K36,N36,Q36),2)+LARGE(CHOOSE({1;2;3;4},H36,K36,N36,Q36),3)</f>
        <v>10.9</v>
      </c>
      <c r="U36" s="4" cm="1">
        <f t="array" ref="U36">IF(SR[[#This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IF(SR[[#This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IF(SR[[#This Row],[Number_of_competition]:[Number_of_competition]]&gt;=3,(LARGE(CHOOSE({1;2;3;4},H36,K36,N36,Q36),1)+LARGE(CHOOSE({1;2;3;4},H36,K36,N36,Q36),2)+LARGE(CHOOSE({1;2;3;4},H36,K36,N36,Q36),3))/3,0)</f>
        <v>0</v>
      </c>
    </row>
    <row r="37" spans="1:23" x14ac:dyDescent="0.25">
      <c r="A37" t="s">
        <v>142</v>
      </c>
      <c r="B37" s="2" t="s">
        <v>60</v>
      </c>
      <c r="C37" s="2" t="s">
        <v>143</v>
      </c>
      <c r="D37" t="s">
        <v>62</v>
      </c>
      <c r="E37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7" s="4">
        <v>2.7</v>
      </c>
      <c r="G37" s="7">
        <v>8</v>
      </c>
      <c r="H37" s="7">
        <v>10.7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2.7</v>
      </c>
      <c r="S37" s="7">
        <f>LARGE(CHOOSE({1;2;3;4},G37,J37,M37,P37),1)+LARGE(CHOOSE({1;2;3;4},G37,J37,M37,P37),2)+LARGE(CHOOSE({1;2;3;4},G37,J37,M37,P37),3)</f>
        <v>8</v>
      </c>
      <c r="T37" s="7">
        <f>LARGE(CHOOSE({1;2;3;4},H37,K37,N37,Q37),1)+LARGE(CHOOSE({1;2;3;4},H37,K37,N37,Q37),2)+LARGE(CHOOSE({1;2;3;4},H37,K37,N37,Q37),3)</f>
        <v>10.7</v>
      </c>
      <c r="U37" s="4" cm="1">
        <f t="array" ref="U37">IF(SR[[#This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IF(SR[[#This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IF(SR[[#This Row],[Number_of_competition]:[Number_of_competition]]&gt;=3,(LARGE(CHOOSE({1;2;3;4},H37,K37,N37,Q37),1)+LARGE(CHOOSE({1;2;3;4},H37,K37,N37,Q37),2)+LARGE(CHOOSE({1;2;3;4},H37,K37,N37,Q37),3))/3,0)</f>
        <v>0</v>
      </c>
    </row>
    <row r="38" spans="1:23" x14ac:dyDescent="0.25">
      <c r="A38" t="s">
        <v>102</v>
      </c>
      <c r="B38" s="2" t="s">
        <v>60</v>
      </c>
      <c r="C38" s="2" t="s">
        <v>103</v>
      </c>
      <c r="D38" t="s">
        <v>31</v>
      </c>
      <c r="E38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8" s="4">
        <v>0</v>
      </c>
      <c r="G38" s="7">
        <v>0</v>
      </c>
      <c r="H38" s="7">
        <v>0</v>
      </c>
      <c r="I38" s="4">
        <v>3.2</v>
      </c>
      <c r="J38" s="7">
        <v>6.9</v>
      </c>
      <c r="K38" s="7">
        <v>10.1</v>
      </c>
      <c r="L38" s="4">
        <v>0</v>
      </c>
      <c r="M38" s="7">
        <v>0</v>
      </c>
      <c r="N38" s="7">
        <v>0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3.2</v>
      </c>
      <c r="S38" s="7">
        <f>LARGE(CHOOSE({1;2;3;4},G38,J38,M38,P38),1)+LARGE(CHOOSE({1;2;3;4},G38,J38,M38,P38),2)+LARGE(CHOOSE({1;2;3;4},G38,J38,M38,P38),3)</f>
        <v>6.9</v>
      </c>
      <c r="T38" s="7">
        <f>LARGE(CHOOSE({1;2;3;4},H38,K38,N38,Q38),1)+LARGE(CHOOSE({1;2;3;4},H38,K38,N38,Q38),2)+LARGE(CHOOSE({1;2;3;4},H38,K38,N38,Q38),3)</f>
        <v>10.1</v>
      </c>
      <c r="U38" s="4" cm="1">
        <f t="array" ref="U38">IF(SR[[#This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IF(SR[[#This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IF(SR[[#This Row],[Number_of_competition]:[Number_of_competition]]&gt;=3,(LARGE(CHOOSE({1;2;3;4},H38,K38,N38,Q38),1)+LARGE(CHOOSE({1;2;3;4},H38,K38,N38,Q38),2)+LARGE(CHOOSE({1;2;3;4},H38,K38,N38,Q38),3))/3,0)</f>
        <v>0</v>
      </c>
    </row>
    <row r="39" spans="1:23" x14ac:dyDescent="0.25">
      <c r="A39" t="s">
        <v>100</v>
      </c>
      <c r="B39" s="2" t="s">
        <v>60</v>
      </c>
      <c r="C39" s="2" t="s">
        <v>101</v>
      </c>
      <c r="D39" t="s">
        <v>31</v>
      </c>
      <c r="E39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39" s="4">
        <v>2.9</v>
      </c>
      <c r="G39" s="7">
        <v>7</v>
      </c>
      <c r="H39" s="7">
        <v>9.9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2.9</v>
      </c>
      <c r="S39" s="7">
        <f>LARGE(CHOOSE({1;2;3;4},G39,J39,M39,P39),1)+LARGE(CHOOSE({1;2;3;4},G39,J39,M39,P39),2)+LARGE(CHOOSE({1;2;3;4},G39,J39,M39,P39),3)</f>
        <v>7</v>
      </c>
      <c r="T39" s="7">
        <f>LARGE(CHOOSE({1;2;3;4},H39,K39,N39,Q39),1)+LARGE(CHOOSE({1;2;3;4},H39,K39,N39,Q39),2)+LARGE(CHOOSE({1;2;3;4},H39,K39,N39,Q39),3)</f>
        <v>9.9</v>
      </c>
      <c r="U39" s="4" cm="1">
        <f t="array" ref="U39">IF(SR[[#This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IF(SR[[#This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IF(SR[[#This Row],[Number_of_competition]:[Number_of_competition]]&gt;=3,(LARGE(CHOOSE({1;2;3;4},H39,K39,N39,Q39),1)+LARGE(CHOOSE({1;2;3;4},H39,K39,N39,Q39),2)+LARGE(CHOOSE({1;2;3;4},H39,K39,N39,Q39),3))/3,0)</f>
        <v>0</v>
      </c>
    </row>
    <row r="40" spans="1:23" x14ac:dyDescent="0.25">
      <c r="A40" t="s">
        <v>114</v>
      </c>
      <c r="B40" s="2" t="s">
        <v>26</v>
      </c>
      <c r="C40" s="2" t="s">
        <v>115</v>
      </c>
      <c r="D40" t="s">
        <v>36</v>
      </c>
      <c r="E40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0" s="4">
        <v>0</v>
      </c>
      <c r="G40" s="7">
        <v>0</v>
      </c>
      <c r="H40" s="7">
        <v>0</v>
      </c>
      <c r="I40" s="4">
        <v>0</v>
      </c>
      <c r="J40" s="7">
        <v>0</v>
      </c>
      <c r="K40" s="7">
        <v>0</v>
      </c>
      <c r="L40" s="4">
        <v>1.7</v>
      </c>
      <c r="M40" s="7">
        <v>7.85</v>
      </c>
      <c r="N40" s="7">
        <v>9.5500000000000007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1.7</v>
      </c>
      <c r="S40" s="7">
        <f>LARGE(CHOOSE({1;2;3;4},G40,J40,M40,P40),1)+LARGE(CHOOSE({1;2;3;4},G40,J40,M40,P40),2)+LARGE(CHOOSE({1;2;3;4},G40,J40,M40,P40),3)</f>
        <v>7.85</v>
      </c>
      <c r="T40" s="7">
        <f>LARGE(CHOOSE({1;2;3;4},H40,K40,N40,Q40),1)+LARGE(CHOOSE({1;2;3;4},H40,K40,N40,Q40),2)+LARGE(CHOOSE({1;2;3;4},H40,K40,N40,Q40),3)</f>
        <v>9.5500000000000007</v>
      </c>
      <c r="U40" s="4" cm="1">
        <f t="array" ref="U40">IF(SR[[#This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IF(SR[[#This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IF(SR[[#This Row],[Number_of_competition]:[Number_of_competition]]&gt;=3,(LARGE(CHOOSE({1;2;3;4},H40,K40,N40,Q40),1)+LARGE(CHOOSE({1;2;3;4},H40,K40,N40,Q40),2)+LARGE(CHOOSE({1;2;3;4},H40,K40,N40,Q40),3))/3,0)</f>
        <v>0</v>
      </c>
    </row>
    <row r="41" spans="1:23" x14ac:dyDescent="0.25">
      <c r="A41" t="s">
        <v>132</v>
      </c>
      <c r="B41" s="2" t="s">
        <v>26</v>
      </c>
      <c r="C41" s="2" t="s">
        <v>133</v>
      </c>
      <c r="D41" t="s">
        <v>39</v>
      </c>
      <c r="E41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1" s="4">
        <v>2.2999999999999998</v>
      </c>
      <c r="G41" s="7">
        <v>7.15</v>
      </c>
      <c r="H41" s="7">
        <v>9.4499999999999993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2.2999999999999998</v>
      </c>
      <c r="S41" s="7">
        <f>LARGE(CHOOSE({1;2;3;4},G41,J41,M41,P41),1)+LARGE(CHOOSE({1;2;3;4},G41,J41,M41,P41),2)+LARGE(CHOOSE({1;2;3;4},G41,J41,M41,P41),3)</f>
        <v>7.15</v>
      </c>
      <c r="T41" s="7">
        <f>LARGE(CHOOSE({1;2;3;4},H41,K41,N41,Q41),1)+LARGE(CHOOSE({1;2;3;4},H41,K41,N41,Q41),2)+LARGE(CHOOSE({1;2;3;4},H41,K41,N41,Q41),3)</f>
        <v>9.4499999999999993</v>
      </c>
      <c r="U41" s="4" cm="1">
        <f t="array" ref="U41">IF(SR[[#This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IF(SR[[#This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IF(SR[[#This Row],[Number_of_competition]:[Number_of_competition]]&gt;=3,(LARGE(CHOOSE({1;2;3;4},H41,K41,N41,Q41),1)+LARGE(CHOOSE({1;2;3;4},H41,K41,N41,Q41),2)+LARGE(CHOOSE({1;2;3;4},H41,K41,N41,Q41),3))/3,0)</f>
        <v>0</v>
      </c>
    </row>
    <row r="42" spans="1:23" x14ac:dyDescent="0.25">
      <c r="A42" t="s">
        <v>122</v>
      </c>
      <c r="B42" s="2" t="s">
        <v>26</v>
      </c>
      <c r="C42" s="2" t="s">
        <v>123</v>
      </c>
      <c r="D42" t="s">
        <v>124</v>
      </c>
      <c r="E42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2" s="4">
        <v>0</v>
      </c>
      <c r="G42" s="7">
        <v>0</v>
      </c>
      <c r="H42" s="7">
        <v>0</v>
      </c>
      <c r="I42" s="4">
        <v>0</v>
      </c>
      <c r="J42" s="7">
        <v>0</v>
      </c>
      <c r="K42" s="7">
        <v>0</v>
      </c>
      <c r="L42" s="4">
        <v>2</v>
      </c>
      <c r="M42" s="7">
        <v>7.35</v>
      </c>
      <c r="N42" s="7">
        <v>9.35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</v>
      </c>
      <c r="S42" s="7">
        <f>LARGE(CHOOSE({1;2;3;4},G42,J42,M42,P42),1)+LARGE(CHOOSE({1;2;3;4},G42,J42,M42,P42),2)+LARGE(CHOOSE({1;2;3;4},G42,J42,M42,P42),3)</f>
        <v>7.35</v>
      </c>
      <c r="T42" s="7">
        <f>LARGE(CHOOSE({1;2;3;4},H42,K42,N42,Q42),1)+LARGE(CHOOSE({1;2;3;4},H42,K42,N42,Q42),2)+LARGE(CHOOSE({1;2;3;4},H42,K42,N42,Q42),3)</f>
        <v>9.35</v>
      </c>
      <c r="U42" s="4" cm="1">
        <f t="array" ref="U42">IF(SR[[#This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IF(SR[[#This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IF(SR[[#This Row],[Number_of_competition]:[Number_of_competition]]&gt;=3,(LARGE(CHOOSE({1;2;3;4},H42,K42,N42,Q42),1)+LARGE(CHOOSE({1;2;3;4},H42,K42,N42,Q42),2)+LARGE(CHOOSE({1;2;3;4},H42,K42,N42,Q42),3))/3,0)</f>
        <v>0</v>
      </c>
    </row>
    <row r="43" spans="1:23" x14ac:dyDescent="0.25">
      <c r="A43" t="s">
        <v>139</v>
      </c>
      <c r="B43" s="2" t="s">
        <v>26</v>
      </c>
      <c r="C43" s="2" t="s">
        <v>140</v>
      </c>
      <c r="D43" t="s">
        <v>124</v>
      </c>
      <c r="E43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3" s="4">
        <v>2.1</v>
      </c>
      <c r="G43" s="7">
        <v>6.5</v>
      </c>
      <c r="H43" s="7">
        <v>8.6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2.1</v>
      </c>
      <c r="S43" s="7">
        <f>LARGE(CHOOSE({1;2;3;4},G43,J43,M43,P43),1)+LARGE(CHOOSE({1;2;3;4},G43,J43,M43,P43),2)+LARGE(CHOOSE({1;2;3;4},G43,J43,M43,P43),3)</f>
        <v>6.5</v>
      </c>
      <c r="T43" s="7">
        <f>LARGE(CHOOSE({1;2;3;4},H43,K43,N43,Q43),1)+LARGE(CHOOSE({1;2;3;4},H43,K43,N43,Q43),2)+LARGE(CHOOSE({1;2;3;4},H43,K43,N43,Q43),3)</f>
        <v>8.6</v>
      </c>
      <c r="U43" s="4" cm="1">
        <f t="array" ref="U43">IF(SR[[#This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IF(SR[[#This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IF(SR[[#This Row],[Number_of_competition]:[Number_of_competition]]&gt;=3,(LARGE(CHOOSE({1;2;3;4},H43,K43,N43,Q43),1)+LARGE(CHOOSE({1;2;3;4},H43,K43,N43,Q43),2)+LARGE(CHOOSE({1;2;3;4},H43,K43,N43,Q43),3))/3,0)</f>
        <v>0</v>
      </c>
    </row>
    <row r="44" spans="1:23" x14ac:dyDescent="0.25">
      <c r="A44" t="s">
        <v>135</v>
      </c>
      <c r="B44" s="2" t="s">
        <v>26</v>
      </c>
      <c r="C44" s="2" t="s">
        <v>136</v>
      </c>
      <c r="D44" t="s">
        <v>124</v>
      </c>
      <c r="E44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4" s="4">
        <v>2.1</v>
      </c>
      <c r="G44" s="7">
        <v>5.2</v>
      </c>
      <c r="H44" s="7">
        <v>7.3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2.1</v>
      </c>
      <c r="S44" s="7">
        <f>LARGE(CHOOSE({1;2;3;4},G44,J44,M44,P44),1)+LARGE(CHOOSE({1;2;3;4},G44,J44,M44,P44),2)+LARGE(CHOOSE({1;2;3;4},G44,J44,M44,P44),3)</f>
        <v>5.2</v>
      </c>
      <c r="T44" s="7">
        <f>LARGE(CHOOSE({1;2;3;4},H44,K44,N44,Q44),1)+LARGE(CHOOSE({1;2;3;4},H44,K44,N44,Q44),2)+LARGE(CHOOSE({1;2;3;4},H44,K44,N44,Q44),3)</f>
        <v>7.3</v>
      </c>
      <c r="U44" s="4" cm="1">
        <f t="array" ref="U44">IF(SR[[#This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IF(SR[[#This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IF(SR[[#This Row],[Number_of_competition]:[Number_of_competition]]&gt;=3,(LARGE(CHOOSE({1;2;3;4},H44,K44,N44,Q44),1)+LARGE(CHOOSE({1;2;3;4},H44,K44,N44,Q44),2)+LARGE(CHOOSE({1;2;3;4},H44,K44,N44,Q44),3))/3,0)</f>
        <v>0</v>
      </c>
    </row>
    <row r="45" spans="1:23" x14ac:dyDescent="0.25">
      <c r="A45" t="s">
        <v>137</v>
      </c>
      <c r="B45" s="2" t="s">
        <v>26</v>
      </c>
      <c r="C45" s="2" t="s">
        <v>138</v>
      </c>
      <c r="D45" t="s">
        <v>124</v>
      </c>
      <c r="E45" s="9">
        <f>COUNTIF(SR[[#This Row],[bydgoszcz_SR_Total_Score]],"&gt;0")+COUNTIF(SR[[#This Row],[zabrze_SR_Total_Score]],"&gt;0")+COUNTIF(SR[[#This Row],[cracow_SR_Total_Score]],"&gt;0")+COUNTIF(SR[[#This Row],[gdansk_SR_Total_Score]],"&gt;0")</f>
        <v>1</v>
      </c>
      <c r="F45" s="4">
        <v>1.5</v>
      </c>
      <c r="G45" s="7">
        <v>3.3</v>
      </c>
      <c r="H45" s="7">
        <v>4.8</v>
      </c>
      <c r="I45" s="4">
        <v>0</v>
      </c>
      <c r="J45" s="7">
        <v>0</v>
      </c>
      <c r="K45" s="7">
        <v>0</v>
      </c>
      <c r="L45" s="4">
        <v>0</v>
      </c>
      <c r="M45" s="7">
        <v>0</v>
      </c>
      <c r="N45" s="7">
        <v>0</v>
      </c>
      <c r="O45" s="4">
        <v>0</v>
      </c>
      <c r="P45" s="7">
        <v>0</v>
      </c>
      <c r="Q45" s="7">
        <v>0</v>
      </c>
      <c r="R45" s="4">
        <f>LARGE(CHOOSE({1;2;3;4},F45,I45,L45,O45),1)+LARGE(CHOOSE({1;2;3;4},F45,I45,L45,O45),2)+LARGE(CHOOSE({1;2;3;4},F45,I45,L45,O45),3)</f>
        <v>1.5</v>
      </c>
      <c r="S45" s="7">
        <f>LARGE(CHOOSE({1;2;3;4},G45,J45,M45,P45),1)+LARGE(CHOOSE({1;2;3;4},G45,J45,M45,P45),2)+LARGE(CHOOSE({1;2;3;4},G45,J45,M45,P45),3)</f>
        <v>3.3</v>
      </c>
      <c r="T45" s="7">
        <f>LARGE(CHOOSE({1;2;3;4},H45,K45,N45,Q45),1)+LARGE(CHOOSE({1;2;3;4},H45,K45,N45,Q45),2)+LARGE(CHOOSE({1;2;3;4},H45,K45,N45,Q45),3)</f>
        <v>4.8</v>
      </c>
      <c r="U45" s="4" cm="1">
        <f t="array" ref="U45">IF(SR[[#This Row],[Number_of_competition]:[Number_of_competition]]&gt;=3,(LARGE(CHOOSE({1;2;3;4},F45,I45,L45,O45),1)+LARGE(CHOOSE({1;2;3;4},F45,I45,L45,O45),2)+LARGE(CHOOSE({1;2;3;4},F45,I45,L45,O45),3))/3,0)</f>
        <v>0</v>
      </c>
      <c r="V45" s="7" cm="1">
        <f t="array" ref="V45">IF(SR[[#This Row],[Number_of_competition]:[Number_of_competition]]&gt;=3,(LARGE(CHOOSE({1;2;3;4},G45,J45,M45,P45),1)+LARGE(CHOOSE({1;2;3;4},G45,J45,M45,P45),2)+LARGE(CHOOSE({1;2;3;4},G45,J45,M45,P45),3))/3,0)</f>
        <v>0</v>
      </c>
      <c r="W45" s="7" cm="1">
        <f t="array" ref="W45">IF(SR[[#This Row],[Number_of_competition]:[Number_of_competition]]&gt;=3,(LARGE(CHOOSE({1;2;3;4},H45,K45,N45,Q45),1)+LARGE(CHOOSE({1;2;3;4},H45,K45,N45,Q45),2)+LARGE(CHOOSE({1;2;3;4},H45,K45,N45,Q45),3))/3,0)</f>
        <v>0</v>
      </c>
    </row>
    <row r="48" spans="1:23" ht="24" customHeight="1" x14ac:dyDescent="0.25">
      <c r="A48" s="16" t="s">
        <v>2</v>
      </c>
      <c r="B48" s="16" t="s">
        <v>266</v>
      </c>
      <c r="C48" s="16" t="s">
        <v>271</v>
      </c>
      <c r="D48" s="17" t="s">
        <v>272</v>
      </c>
      <c r="E48" s="17" t="s">
        <v>270</v>
      </c>
      <c r="F48" s="18" t="s">
        <v>253</v>
      </c>
    </row>
    <row r="49" spans="1:6" ht="25.5" customHeight="1" x14ac:dyDescent="0.25">
      <c r="A49" s="15" t="s">
        <v>60</v>
      </c>
      <c r="B49" s="15" t="s">
        <v>269</v>
      </c>
      <c r="C49" s="4" cm="1">
        <f t="array" ref="C49">SUM(_xlfn._xlws.FILTER(SR[bydgoszcz_SR_Dscore],SR[Category]="senior"),_xlfn._xlws.FILTER(SR[zabrze_SR_Dscore],SR[Category]="senior"),_xlfn._xlws.FILTER(SR[cracow_SR_Dscore],SR[Category]="senior"),_xlfn._xlws.FILTER(SR[gdansk_SR_Dscore],SR[Category]="senior"))/(COUNTIFS(SR[bydgoszcz_SR_Dscore],"&gt;0",SR[Category],"senior")+COUNTIFS(SR[zabrze_SR_Dscore],"&gt;0",SR[Category],"senior")+COUNTIFS(SR[cracow_SR_Dscore],"&gt;0",SR[Category],"senior")+COUNTIFS(SR[gdansk_SR_Dscore],"&gt;0",SR[Category],"senior"))</f>
        <v>3.563333333333333</v>
      </c>
      <c r="D49" s="4" cm="1">
        <f t="array" ref="D49">_xlfn.STDEV.S(_xlfn._xlws.FILTER(SR[bydgoszcz_SR_Dscore],(SR[Category]="senior")*(SR[bydgoszcz_SR_Dscore])&gt;0),_xlfn._xlws.FILTER(SR[zabrze_SR_Dscore],(SR[Category]="senior")*(SR[zabrze_SR_Dscore])&gt;0),_xlfn._xlws.FILTER(SR[cracow_SR_Dscore],(SR[Category]="senior")*(SR[cracow_SR_Dscore])&gt;0),_xlfn._xlws.FILTER(SR[gdansk_SR_Dscore],(SR[Category]="senior")*(SR[gdansk_SR_Dscore])&gt;0))</f>
        <v>0.66586675174050203</v>
      </c>
      <c r="E49" s="4" cm="1">
        <f t="array" ref="E49">MAX(_xlfn._xlws.FILTER(SR[bydgoszcz_SR_Dscore],SR[Category]="senior"),_xlfn._xlws.FILTER(SR[zabrze_SR_Dscore],SR[Category]="senior"),_xlfn._xlws.FILTER(SR[cracow_SR_Dscore],SR[Category]="senior"),_xlfn._xlws.FILTER(SR[gdansk_SR_Dscore],SR[Category]="senior"))</f>
        <v>5.3</v>
      </c>
      <c r="F49" s="2" t="str" cm="1">
        <f t="array" ref="F49">_xlfn.XLOOKUP(E49,_xlfn._xlws.FILTER(SR[bydgoszcz_SR_Dscore],SR[Category]="senior"),_xlfn._xlws.FILTER(SR[Name],SR[Category]="senior"),_xlfn.XLOOKUP(E49,_xlfn._xlws.FILTER(SR[zabrze_SR_Dscore],SR[Category]="senior"),_xlfn._xlws.FILTER(SR[Name],SR[Category]="senior"),_xlfn.XLOOKUP(E49,_xlfn._xlws.FILTER(SR[cracow_SR_Dscore],SR[Category]="senior"),_xlfn._xlws.FILTER(SR[Name],SR[Category]="senior"),_xlfn.XLOOKUP(E49,_xlfn._xlws.FILTER(SR[gdansk_SR_Dscore],SR[Category]="senior"),_xlfn._xlws.FILTER(SR[Name],SR[Category]="senior")))))</f>
        <v>GAWROŃSKI Sebastian</v>
      </c>
    </row>
    <row r="50" spans="1:6" ht="25.5" customHeight="1" x14ac:dyDescent="0.25">
      <c r="A50" s="15" t="s">
        <v>60</v>
      </c>
      <c r="B50" s="15" t="s">
        <v>267</v>
      </c>
      <c r="C50" s="7" cm="1">
        <f t="array" ref="C50">SUM(_xlfn._xlws.FILTER(SR[bydgoszcz_SR_Escore],SR[Category]="senior"),_xlfn._xlws.FILTER(SR[zabrze_SR_Escore],SR[Category]="senior"),_xlfn._xlws.FILTER(SR[cracow_SR_Escore],SR[Category]="senior"),_xlfn._xlws.FILTER(SR[gdansk_SR_Escore],SR[Category]="senior"))/(COUNTIFS(SR[bydgoszcz_SR_Escore],"&gt;0",SR[Category],"senior")+COUNTIFS(SR[zabrze_SR_Escore],"&gt;0",SR[Category],"senior")+COUNTIFS(SR[cracow_SR_Escore],"&gt;0",SR[Category],"senior")+COUNTIFS(SR[gdansk_SR_Escore],"&gt;0",SR[Category],"senior"))</f>
        <v>7.38</v>
      </c>
      <c r="D50" s="7" cm="1">
        <f t="array" ref="D50">_xlfn.STDEV.S(_xlfn._xlws.FILTER(SR[bydgoszcz_SR_Escore],(SR[Category]="senior")*(SR[bydgoszcz_SR_Escore])&gt;0),_xlfn._xlws.FILTER(SR[zabrze_SR_Escore],(SR[Category]="senior")*(SR[zabrze_SR_Escore])&gt;0),_xlfn._xlws.FILTER(SR[cracow_SR_Escore],(SR[Category]="senior")*(SR[cracow_SR_Escore])&gt;0),_xlfn._xlws.FILTER(SR[gdansk_SR_Escore],(SR[Category]="senior")*(SR[gdansk_SR_Escore])&gt;0))</f>
        <v>1.1926753859584667</v>
      </c>
      <c r="E50" s="7" cm="1">
        <f t="array" ref="E50">MAX(_xlfn._xlws.FILTER(SR[bydgoszcz_SR_Escore],SR[Category]="senior"),_xlfn._xlws.FILTER(SR[zabrze_SR_Escore],SR[Category]="senior"),_xlfn._xlws.FILTER(SR[cracow_SR_Escore],SR[Category]="senior"),_xlfn._xlws.FILTER(SR[gdansk_SR_Escore],SR[Category]="senior"))</f>
        <v>9.1999999999999993</v>
      </c>
      <c r="F50" s="2" t="str" cm="1">
        <f t="array" ref="F50">_xlfn.XLOOKUP(E50,_xlfn._xlws.FILTER(SR[bydgoszcz_SR_Escore],SR[Category]="senior"),_xlfn._xlws.FILTER(SR[Name],SR[Category]="senior"),_xlfn.XLOOKUP(E50,_xlfn._xlws.FILTER(SR[zabrze_SR_Escore],SR[Category]="senior"),_xlfn._xlws.FILTER(SR[Name],SR[Category]="senior"),_xlfn.XLOOKUP(E50,_xlfn._xlws.FILTER(SR[cracow_SR_Escore],SR[Category]="senior"),_xlfn._xlws.FILTER(SR[Name],SR[Category]="senior"),_xlfn.XLOOKUP(E50,_xlfn._xlws.FILTER(SR[gdansk_SR_Escore],SR[Category]="senior"),_xlfn._xlws.FILTER(SR[Name],SR[Category]="senior")))))</f>
        <v>GARNCZAREK Kacper</v>
      </c>
    </row>
    <row r="51" spans="1:6" ht="25.5" customHeight="1" x14ac:dyDescent="0.25">
      <c r="A51" s="15" t="s">
        <v>60</v>
      </c>
      <c r="B51" s="15" t="s">
        <v>268</v>
      </c>
      <c r="C51" s="7" cm="1">
        <f t="array" ref="C51">SUM(_xlfn._xlws.FILTER(SR[bydgoszcz_SR_Total_Score],SR[Category]="senior"),_xlfn._xlws.FILTER(SR[zabrze_SR_Total_Score],SR[Category]="senior"),_xlfn._xlws.FILTER(SR[cracow_SR_Total_Score],SR[Category]="senior"),_xlfn._xlws.FILTER(SR[gdansk_SR_Total_Score],SR[Category]="senior"))/(COUNTIFS(SR[bydgoszcz_SR_Total_Score],"&gt;0",SR[Category],"senior")+COUNTIFS(SR[zabrze_SR_Total_Score],"&gt;0",SR[Category],"senior")+COUNTIFS(SR[cracow_SR_Total_Score],"&gt;0",SR[Category],"senior")+COUNTIFS(SR[gdansk_SR_Total_Score],"&gt;0",SR[Category],"senior"))</f>
        <v>10.943333333333335</v>
      </c>
      <c r="D51" s="7" cm="1">
        <f t="array" ref="D51">_xlfn.STDEV.S(_xlfn._xlws.FILTER(SR[bydgoszcz_SR_Total_Score],(SR[Category]="senior")*(SR[bydgoszcz_SR_Total_Score])&gt;0),_xlfn._xlws.FILTER(SR[zabrze_SR_Total_Score],(SR[Category]="senior")*(SR[zabrze_SR_Total_Score])&gt;0),_xlfn._xlws.FILTER(SR[cracow_SR_Total_Score],(SR[Category]="senior")*(SR[cracow_SR_Total_Score])&gt;0),_xlfn._xlws.FILTER(SR[gdansk_SR_Total_Score],(SR[Category]="senior")*(SR[gdansk_SR_Total_Score])&gt;0))</f>
        <v>1.5734951559028219</v>
      </c>
      <c r="E51" s="7" cm="1">
        <f t="array" ref="E51">MAX(_xlfn._xlws.FILTER(SR[bydgoszcz_SR_Total_Score],SR[Category]="senior"),_xlfn._xlws.FILTER(SR[zabrze_SR_Total_Score],SR[Category]="senior"),_xlfn._xlws.FILTER(SR[cracow_SR_Total_Score],SR[Category]="senior"),_xlfn._xlws.FILTER(SR[gdansk_SR_Total_Score],SR[Category]="senior"))</f>
        <v>13.1</v>
      </c>
      <c r="F51" s="2" t="str" cm="1">
        <f t="array" ref="F51">_xlfn.XLOOKUP(E51,_xlfn._xlws.FILTER(SR[bydgoszcz_SR_Total_Score],SR[Category]="senior"),_xlfn._xlws.FILTER(SR[Name],SR[Category]="senior"),_xlfn.XLOOKUP(E51,_xlfn._xlws.FILTER(SR[zabrze_SR_Total_Score],SR[Category]="senior"),_xlfn._xlws.FILTER(SR[Name],SR[Category]="senior"),_xlfn.XLOOKUP(E51,_xlfn._xlws.FILTER(SR[cracow_SR_Total_Score],SR[Category]="senior"),_xlfn._xlws.FILTER(SR[Name],SR[Category]="senior"),_xlfn.XLOOKUP(E51,_xlfn._xlws.FILTER(SR[gdansk_SR_Total_Score],SR[Category]="senior"),_xlfn._xlws.FILTER(SR[Name],SR[Category]="senior")))))</f>
        <v>GAWROŃSKI Sebastian</v>
      </c>
    </row>
    <row r="52" spans="1:6" ht="25.5" customHeight="1" x14ac:dyDescent="0.25">
      <c r="A52" s="15" t="s">
        <v>60</v>
      </c>
      <c r="B52" s="15" t="s">
        <v>275</v>
      </c>
      <c r="C52" s="4" cm="1">
        <f t="array" ref="C52">SUM(_xlfn._xlws.FILTER(SR[Year_Dscore],(SR[Category]="senior")*(SR[Number_of_competition]&gt;=3))/COUNTIFS(SR[Number_of_competition],"&gt;=3",SR[Category],"senior"))</f>
        <v>10.930000000000001</v>
      </c>
      <c r="D52" s="4" cm="1">
        <f t="array" ref="D52">_xlfn.STDEV.S(_xlfn._xlws.FILTER(SR[Year_Dscore],(SR[Category]="senior")*(SR[Number_of_competition]&gt;=3)))</f>
        <v>1.5055822055862096</v>
      </c>
      <c r="E52" s="4" cm="1">
        <f t="array" ref="E52">MAX(_xlfn._xlws.FILTER(SR[Year_Dscore],SR[Category]="senior"))</f>
        <v>13.099999999999998</v>
      </c>
      <c r="F52" s="2" t="str" cm="1">
        <f t="array" ref="F52">_xlfn.XLOOKUP(SR_Calculation[[#This Row],[Top]],_xlfn._xlws.FILTER(SR[Year_Dscore],SR[Category]="senior"),_xlfn._xlws.FILTER(SR[Name],SR[Category]="senior"))</f>
        <v>SASNAL Filip</v>
      </c>
    </row>
    <row r="53" spans="1:6" ht="25.5" customHeight="1" x14ac:dyDescent="0.25">
      <c r="A53" s="15" t="s">
        <v>60</v>
      </c>
      <c r="B53" s="15" t="s">
        <v>276</v>
      </c>
      <c r="C53" s="7" cm="1">
        <f t="array" ref="C53">SUM(_xlfn._xlws.FILTER(SR[Year_Escore],(SR[Category]="senior")*(SR[Number_of_competition]&gt;=3))/COUNTIFS(SR[Number_of_competition],"&gt;=3",SR[Category],"senior"))</f>
        <v>22.880000000000003</v>
      </c>
      <c r="D53" s="7" cm="1">
        <f t="array" ref="D53">_xlfn.STDEV.S(_xlfn._xlws.FILTER(SR[Year_Escore],(SR[Category]="senior")*(SR[Number_of_competition]&gt;=3)))</f>
        <v>2.6866129026878651</v>
      </c>
      <c r="E53" s="7" cm="1">
        <f t="array" ref="E53">MAX(_xlfn._xlws.FILTER(SR[Year_Escore],SR[Category]="senior"))</f>
        <v>25.65</v>
      </c>
      <c r="F53" s="2" t="str" cm="1">
        <f t="array" ref="F53">_xlfn.XLOOKUP(SR_Calculation[[#This Row],[Top]],_xlfn._xlws.FILTER(SR[Year_Escore],SR[Category]="senior"),_xlfn._xlws.FILTER(SR[Name],SR[Category]="senior"))</f>
        <v>GARNCZAREK Kacper</v>
      </c>
    </row>
    <row r="54" spans="1:6" ht="25.5" customHeight="1" x14ac:dyDescent="0.25">
      <c r="A54" s="15" t="s">
        <v>60</v>
      </c>
      <c r="B54" s="15" t="s">
        <v>277</v>
      </c>
      <c r="C54" s="7" cm="1">
        <f t="array" ref="C54">SUM(_xlfn._xlws.FILTER(SR[Year_Total_Score],(SR[Category]="senior")*(SR[Number_of_competition]&gt;=3))/COUNTIFS(SR[Number_of_competition],"&gt;=3",SR[Category],"senior"))</f>
        <v>33.659999999999997</v>
      </c>
      <c r="D54" s="7" cm="1">
        <f t="array" ref="D54">_xlfn.STDEV.S(_xlfn._xlws.FILTER(SR[Year_Total_Score],(SR[Category]="senior")*(SR[Number_of_competition]&gt;=3)))</f>
        <v>3.6583086559532512</v>
      </c>
      <c r="E54" s="7" cm="1">
        <f t="array" ref="E54">MAX(_xlfn._xlws.FILTER(SR[Year_Total_Score],SR[Category]="senior"))</f>
        <v>36.65</v>
      </c>
      <c r="F54" s="2" t="str" cm="1">
        <f t="array" ref="F54">_xlfn.XLOOKUP(SR_Calculation[[#This Row],[Top]],_xlfn._xlws.FILTER(SR[Year_Total_Score],SR[Category]="senior"),_xlfn._xlws.FILTER(SR[Name],SR[Category]="senior"))</f>
        <v>GARNCZAREK Kacper</v>
      </c>
    </row>
    <row r="55" spans="1:6" ht="25.5" customHeight="1" x14ac:dyDescent="0.25">
      <c r="A55" s="14" t="s">
        <v>26</v>
      </c>
      <c r="B55" s="14" t="s">
        <v>269</v>
      </c>
      <c r="C55" s="4" cm="1">
        <f t="array" ref="C55">SUM(_xlfn._xlws.FILTER(SR[bydgoszcz_SR_Dscore],SR[Category]="junior"),_xlfn._xlws.FILTER(SR[zabrze_SR_Dscore],SR[Category]="junior"),_xlfn._xlws.FILTER(SR[cracow_SR_Dscore],SR[Category]="junior"),_xlfn._xlws.FILTER(SR[gdansk_SR_Dscore],SR[Category]="junior"))/(COUNTIFS(SR[bydgoszcz_SR_Dscore],"&gt;0",SR[Category],"junior")+COUNTIFS(SR[zabrze_SR_Dscore],"&gt;0",SR[Category],"junior")+COUNTIFS(SR[cracow_SR_Dscore],"&gt;0",SR[Category],"junior")+COUNTIFS(SR[gdansk_SR_Dscore],"&gt;0",SR[Category],"junior"))</f>
        <v>2.6319999999999997</v>
      </c>
      <c r="D55" s="4" cm="1">
        <f t="array" ref="D55">_xlfn.STDEV.S(_xlfn._xlws.FILTER(SR[bydgoszcz_SR_Dscore],(SR[Category]="junior")*(SR[bydgoszcz_SR_Dscore])&gt;0),_xlfn._xlws.FILTER(SR[zabrze_SR_Dscore],(SR[Category]="junior")*(SR[zabrze_SR_Dscore])&gt;0),_xlfn._xlws.FILTER(SR[cracow_SR_Dscore],(SR[Category]="junior")*(SR[cracow_SR_Dscore])&gt;0),_xlfn._xlws.FILTER(SR[gdansk_SR_Dscore],(SR[Category]="junior")*(SR[gdansk_SR_Dscore])&gt;0))</f>
        <v>0.61393345381587205</v>
      </c>
      <c r="E55" s="4" cm="1">
        <f t="array" ref="E55">MAX(_xlfn._xlws.FILTER(SR[bydgoszcz_SR_Dscore],SR[Category]="junior"),_xlfn._xlws.FILTER(SR[zabrze_SR_Dscore],SR[Category]="junior"),_xlfn._xlws.FILTER(SR[cracow_SR_Dscore],SR[Category]="junior"),_xlfn._xlws.FILTER(SR[gdansk_SR_Dscore],SR[Category]="junior"))</f>
        <v>3.9</v>
      </c>
      <c r="F55" s="2" t="str" cm="1">
        <f t="array" ref="F55">_xlfn.XLOOKUP(E55,_xlfn._xlws.FILTER(SR[bydgoszcz_SR_Dscore],SR[Category]="junior"),_xlfn._xlws.FILTER(SR[Name],SR[Category]="junior"),_xlfn.XLOOKUP(E55,_xlfn._xlws.FILTER(SR[zabrze_SR_Dscore],SR[Category]="junior"),_xlfn._xlws.FILTER(SR[Name],SR[Category]="junior"),_xlfn.XLOOKUP(E55,_xlfn._xlws.FILTER(SR[cracow_SR_Dscore],SR[Category]="junior"),_xlfn._xlws.FILTER(SR[Name],SR[Category]="junior"),_xlfn.XLOOKUP(E55,_xlfn._xlws.FILTER(SR[gdansk_SR_Dscore],SR[Category]="junior"),_xlfn._xlws.FILTER(SR[Name],SR[Category]="junior")))))</f>
        <v>KUZDRA Christian</v>
      </c>
    </row>
    <row r="56" spans="1:6" ht="25.5" customHeight="1" x14ac:dyDescent="0.25">
      <c r="A56" s="14" t="s">
        <v>26</v>
      </c>
      <c r="B56" s="14" t="s">
        <v>267</v>
      </c>
      <c r="C56" s="7" cm="1">
        <f t="array" ref="C56">SUM(_xlfn._xlws.FILTER(SR[bydgoszcz_SR_Escore],SR[Category]="junior"),_xlfn._xlws.FILTER(SR[zabrze_SR_Escore],SR[Category]="junior"),_xlfn._xlws.FILTER(SR[cracow_SR_Escore],SR[Category]="junior"),_xlfn._xlws.FILTER(SR[gdansk_SR_Escore],SR[Category]="junior"))/(COUNTIFS(SR[bydgoszcz_SR_Escore],"&gt;0",SR[Category],"junior")+COUNTIFS(SR[zabrze_SR_Escore],"&gt;0",SR[Category],"junior")+COUNTIFS(SR[cracow_SR_Escore],"&gt;0",SR[Category],"junior")+COUNTIFS(SR[gdansk_SR_Escore],"&gt;0",SR[Category],"junior"))</f>
        <v>7.4880000000000004</v>
      </c>
      <c r="D56" s="7" cm="1">
        <f t="array" ref="D56">_xlfn.STDEV.S(_xlfn._xlws.FILTER(SR[bydgoszcz_SR_Escore],(SR[Category]="junior")*(SR[bydgoszcz_SR_Escore])&gt;0),_xlfn._xlws.FILTER(SR[zabrze_SR_Escore],(SR[Category]="junior")*(SR[zabrze_SR_Escore])&gt;0),_xlfn._xlws.FILTER(SR[cracow_SR_Escore],(SR[Category]="junior")*(SR[cracow_SR_Escore])&gt;0),_xlfn._xlws.FILTER(SR[gdansk_SR_Escore],(SR[Category]="junior")*(SR[gdansk_SR_Escore])&gt;0))</f>
        <v>0.94548119699840694</v>
      </c>
      <c r="E56" s="7" cm="1">
        <f t="array" ref="E56">MAX(_xlfn._xlws.FILTER(SR[bydgoszcz_SR_Escore],SR[Category]="junior"),_xlfn._xlws.FILTER(SR[zabrze_SR_Escore],SR[Category]="junior"),_xlfn._xlws.FILTER(SR[cracow_SR_Escore],SR[Category]="junior"),_xlfn._xlws.FILTER(SR[gdansk_SR_Escore],SR[Category]="junior"))</f>
        <v>9</v>
      </c>
      <c r="F56" s="2" t="str" cm="1">
        <f t="array" ref="F56">_xlfn.XLOOKUP(E56,_xlfn._xlws.FILTER(SR[bydgoszcz_SR_Escore],SR[Category]="junior"),_xlfn._xlws.FILTER(SR[Name],SR[Category]="junior"),_xlfn.XLOOKUP(E56,_xlfn._xlws.FILTER(SR[zabrze_SR_Escore],SR[Category]="junior"),_xlfn._xlws.FILTER(SR[Name],SR[Category]="junior"),_xlfn.XLOOKUP(E56,_xlfn._xlws.FILTER(SR[cracow_SR_Escore],SR[Category]="junior"),_xlfn._xlws.FILTER(SR[Name],SR[Category]="junior"),_xlfn.XLOOKUP(E56,_xlfn._xlws.FILTER(SR[gdansk_SR_Escore],SR[Category]="junior"),_xlfn._xlws.FILTER(SR[Name],SR[Category]="junior")))))</f>
        <v>KWIATKOWSKI Michał</v>
      </c>
    </row>
    <row r="57" spans="1:6" ht="25.5" customHeight="1" x14ac:dyDescent="0.25">
      <c r="A57" s="14" t="s">
        <v>26</v>
      </c>
      <c r="B57" s="14" t="s">
        <v>268</v>
      </c>
      <c r="C57" s="7" cm="1">
        <f t="array" ref="C57">SUM(_xlfn._xlws.FILTER(SR[bydgoszcz_SR_Total_Score],SR[Category]="junior"),_xlfn._xlws.FILTER(SR[zabrze_SR_Total_Score],SR[Category]="junior"),_xlfn._xlws.FILTER(SR[cracow_SR_Total_Score],SR[Category]="junior"),_xlfn._xlws.FILTER(SR[gdansk_SR_Total_Score],SR[Category]="junior"))/(COUNTIFS(SR[bydgoszcz_SR_Total_Score],"&gt;0",SR[Category],"junior")+COUNTIFS(SR[zabrze_SR_Total_Score],"&gt;0",SR[Category],"junior")+COUNTIFS(SR[cracow_SR_Total_Score],"&gt;0",SR[Category],"junior")+COUNTIFS(SR[gdansk_SR_Total_Score],"&gt;0",SR[Category],"junior"))</f>
        <v>10.119999999999999</v>
      </c>
      <c r="D57" s="7" cm="1">
        <f t="array" ref="D57">_xlfn.STDEV.S(_xlfn._xlws.FILTER(SR[bydgoszcz_SR_Total_Score],(SR[Category]="junior")*(SR[bydgoszcz_SR_Total_Score])&gt;0),_xlfn._xlws.FILTER(SR[zabrze_SR_Total_Score],(SR[Category]="junior")*(SR[zabrze_SR_Total_Score])&gt;0),_xlfn._xlws.FILTER(SR[cracow_SR_Total_Score],(SR[Category]="junior")*(SR[cracow_SR_Total_Score])&gt;0),_xlfn._xlws.FILTER(SR[gdansk_SR_Total_Score],(SR[Category]="junior")*(SR[gdansk_SR_Total_Score])&gt;0))</f>
        <v>1.2946514778038192</v>
      </c>
      <c r="E57" s="7" cm="1">
        <f t="array" ref="E57">MAX(_xlfn._xlws.FILTER(SR[bydgoszcz_SR_Total_Score],SR[Category]="junior"),_xlfn._xlws.FILTER(SR[zabrze_SR_Total_Score],SR[Category]="junior"),_xlfn._xlws.FILTER(SR[cracow_SR_Total_Score],SR[Category]="junior"),_xlfn._xlws.FILTER(SR[gdansk_SR_Total_Score],SR[Category]="junior"))</f>
        <v>12.2</v>
      </c>
      <c r="F57" s="2" t="str" cm="1">
        <f t="array" ref="F57">_xlfn.XLOOKUP(E57,_xlfn._xlws.FILTER(SR[bydgoszcz_SR_Total_Score],SR[Category]="junior"),_xlfn._xlws.FILTER(SR[Name],SR[Category]="junior"),_xlfn.XLOOKUP(E57,_xlfn._xlws.FILTER(SR[zabrze_SR_Total_Score],SR[Category]="junior"),_xlfn._xlws.FILTER(SR[Name],SR[Category]="junior"),_xlfn.XLOOKUP(E57,_xlfn._xlws.FILTER(SR[cracow_SR_Total_Score],SR[Category]="junior"),_xlfn._xlws.FILTER(SR[Name],SR[Category]="junior"),_xlfn.XLOOKUP(E57,_xlfn._xlws.FILTER(SR[gdansk_SR_Total_Score],SR[Category]="junior"),_xlfn._xlws.FILTER(SR[Name],SR[Category]="junior")))))</f>
        <v>KWIATKOWSKI Michał</v>
      </c>
    </row>
    <row r="58" spans="1:6" ht="25.5" customHeight="1" x14ac:dyDescent="0.25">
      <c r="A58" s="15" t="s">
        <v>26</v>
      </c>
      <c r="B58" s="15" t="s">
        <v>275</v>
      </c>
      <c r="C58" s="4" cm="1">
        <f t="array" ref="C58">SUM(_xlfn._xlws.FILTER(SR[Year_Dscore],(SR[Category]="junior")*(SR[Number_of_competition]&gt;=3))/COUNTIFS(SR[Number_of_competition],"&gt;=3",SR[Category],"junior"))</f>
        <v>8.2100000000000009</v>
      </c>
      <c r="D58" s="4" cm="1">
        <f t="array" ref="D58">_xlfn.STDEV.S(_xlfn._xlws.FILTER(SR[Year_Dscore],(SR[Category]="junior")*(SR[Number_of_competition]&gt;=3)))</f>
        <v>1.7342625714310571</v>
      </c>
      <c r="E58" s="4" cm="1">
        <f t="array" ref="E58">MAX(_xlfn._xlws.FILTER(SR[Year_Dscore],SR[Category]="junior"))</f>
        <v>11.2</v>
      </c>
      <c r="F58" s="2" t="str" cm="1">
        <f t="array" ref="F58">_xlfn.XLOOKUP(SR_Calculation[[#This Row],[Top]],_xlfn._xlws.FILTER(SR[Year_Dscore],SR[Category]="junior"),_xlfn._xlws.FILTER(SR[Name],SR[Category]="junior"))</f>
        <v>KUZDRA Christian</v>
      </c>
    </row>
    <row r="59" spans="1:6" ht="25.5" customHeight="1" x14ac:dyDescent="0.25">
      <c r="A59" s="15" t="s">
        <v>26</v>
      </c>
      <c r="B59" s="15" t="s">
        <v>276</v>
      </c>
      <c r="C59" s="7" cm="1">
        <f t="array" ref="C59">SUM(_xlfn._xlws.FILTER(SR[Year_Escore],(SR[Category]="junior")*(SR[Number_of_competition]&gt;=3))/COUNTIFS(SR[Number_of_competition],"&gt;=3",SR[Category],"junior"))</f>
        <v>23.279999999999998</v>
      </c>
      <c r="D59" s="7" cm="1">
        <f t="array" ref="D59">_xlfn.STDEV.S(_xlfn._xlws.FILTER(SR[Year_Escore],(SR[Category]="junior")*(SR[Number_of_competition]&gt;=3)))</f>
        <v>1.302390963659616</v>
      </c>
      <c r="E59" s="7" cm="1">
        <f t="array" ref="E59">MAX(_xlfn._xlws.FILTER(SR[Year_Escore],SR[Category]="junior"))</f>
        <v>25.65</v>
      </c>
      <c r="F59" s="2" t="str" cm="1">
        <f t="array" ref="F59">_xlfn.XLOOKUP(SR_Calculation[[#This Row],[Top]],_xlfn._xlws.FILTER(SR[Year_Escore],SR[Category]="junior"),_xlfn._xlws.FILTER(SR[Name],SR[Category]="junior"))</f>
        <v>LEKHAC Tomasz</v>
      </c>
    </row>
    <row r="60" spans="1:6" ht="25.5" customHeight="1" x14ac:dyDescent="0.25">
      <c r="A60" s="23" t="s">
        <v>26</v>
      </c>
      <c r="B60" s="23" t="s">
        <v>277</v>
      </c>
      <c r="C60" s="7" cm="1">
        <f t="array" ref="C60">SUM(_xlfn._xlws.FILTER(SR[Year_Total_Score],(SR[Category]="junior")*(SR[Number_of_competition]&gt;=3))/COUNTIFS(SR[Number_of_competition],"&gt;=3",SR[Category],"junior"))</f>
        <v>31.395</v>
      </c>
      <c r="D60" s="7" cm="1">
        <f t="array" ref="D60">_xlfn.STDEV.S(_xlfn._xlws.FILTER(SR[Year_Total_Score],(SR[Category]="junior")*(SR[Number_of_competition]&gt;=3)))</f>
        <v>2.4399965846970626</v>
      </c>
      <c r="E60" s="7" cm="1">
        <f t="array" ref="E60">MAX(_xlfn._xlws.FILTER(SR[Year_Total_Score],SR[Category]="junior"))</f>
        <v>34.549999999999997</v>
      </c>
      <c r="F60" s="2" t="str" cm="1">
        <f t="array" ref="F60">_xlfn.XLOOKUP(SR_Calculation[[#This Row],[Top]],_xlfn._xlws.FILTER(SR[Year_Total_Score],SR[Category]="junior"),_xlfn._xlws.FILTER(SR[Name],SR[Category]="junior"))</f>
        <v>KUZDRA Christian</v>
      </c>
    </row>
  </sheetData>
  <mergeCells count="2">
    <mergeCell ref="Y2:Y7"/>
    <mergeCell ref="Y8:Y13"/>
  </mergeCells>
  <conditionalFormatting sqref="A2:A45">
    <cfRule type="expression" dxfId="89" priority="172">
      <formula>IF($B2="junior",$T2=MAX(_xlfn._xlws.FILTER($T$2:$T$46,$B$2:$B$46="junior")),$T2=MAX(_xlfn._xlws.FILTER($T$2:$T$46,$B$2:$B$46="senior")))</formula>
    </cfRule>
    <cfRule type="expression" dxfId="88" priority="173">
      <formula>IF($B2="junior",$T2=LARGE(_xlfn._xlws.FILTER($T$2:$T$46,$B$2:$B$46="junior"),2),$T2=LARGE(_xlfn._xlws.FILTER($T$2:$T$46,$B$2:$B$46="senior"),2))</formula>
    </cfRule>
    <cfRule type="expression" dxfId="87" priority="174">
      <formula>IF($B2="junior",$T2=LARGE(_xlfn._xlws.FILTER($T$2:$T$46,$B$2:$B$46="junior"),3),$T2=LARGE(_xlfn._xlws.FILTER($T$2:$T$46,$B$2:$B$46="senior"),3))</formula>
    </cfRule>
    <cfRule type="expression" dxfId="86" priority="175">
      <formula>IF($B2="junior",$R2=MAX(_xlfn._xlws.FILTER($R$2:$R$46,$B$2:$B$46="junior")),$R2=MAX(_xlfn._xlws.FILTER($R$2:$R$46,$B$2:$B$46="senior")))</formula>
    </cfRule>
    <cfRule type="expression" dxfId="85" priority="176">
      <formula>IF($B2="junior",$S2=MAX(_xlfn._xlws.FILTER($S$2:$S$46,$B$2:$B$46="junior")),$S2=MAX(_xlfn._xlws.FILTER($S$2:$S$46,$B$2:$B$46="senior")))</formula>
    </cfRule>
  </conditionalFormatting>
  <conditionalFormatting sqref="F2:F45 I2:I45 L2:L45 O2:O45 U2:U45">
    <cfRule type="expression" dxfId="84" priority="10">
      <formula>IF($B2="junior",F2&gt;=($AA$8+$AB$8),F2&gt;=($AA$2+$AB$2))</formula>
    </cfRule>
  </conditionalFormatting>
  <conditionalFormatting sqref="F2:F45 I2:I45 L2:L45 O2:O45">
    <cfRule type="expression" dxfId="83" priority="14">
      <formula>AND(AND($B2="junior",F2&lt;2.6),F2&gt;0)</formula>
    </cfRule>
    <cfRule type="expression" dxfId="82" priority="15">
      <formula>AND(AND($B2="senior",F2&lt;2.9),F2&gt;0)</formula>
    </cfRule>
  </conditionalFormatting>
  <conditionalFormatting sqref="F2:W45">
    <cfRule type="cellIs" dxfId="81" priority="16" operator="equal">
      <formula>0</formula>
    </cfRule>
  </conditionalFormatting>
  <conditionalFormatting sqref="H2:H45 K2:K45 N2:N45 Q2:Q45 W2:W45">
    <cfRule type="expression" dxfId="80" priority="11">
      <formula>IF($B2="junior",H2&gt;=($AA$10+$AB$10),H2&gt;=($AA$4+$AB$4))</formula>
    </cfRule>
  </conditionalFormatting>
  <conditionalFormatting sqref="H2:H45 K2:K45 N2:N45 Q2:Q45">
    <cfRule type="expression" dxfId="79" priority="8">
      <formula>IF($B2="junior",H2&gt;=$AC$10,H2&gt;=$AC$4)</formula>
    </cfRule>
  </conditionalFormatting>
  <conditionalFormatting sqref="R2:R45">
    <cfRule type="expression" dxfId="78" priority="9">
      <formula>IF($B2="junior",R2&gt;=($AA$11+$AB$11),R2&gt;=($AA$5+$AB$5))</formula>
    </cfRule>
  </conditionalFormatting>
  <conditionalFormatting sqref="S2:S45">
    <cfRule type="expression" dxfId="77" priority="13">
      <formula>IF($B2="junior",S2&gt;=$AA$12+$AB$12,S2&gt;=$AA$6+$AB$6)</formula>
    </cfRule>
  </conditionalFormatting>
  <conditionalFormatting sqref="T2:T45">
    <cfRule type="expression" dxfId="76" priority="7">
      <formula>IF($B2="junior",T2&gt;=$AC$13,T2&gt;=$AC$7)</formula>
    </cfRule>
    <cfRule type="expression" dxfId="75" priority="12">
      <formula>IF($B2="junior",T2&gt;=($AA$13+$AB$13),T2&gt;=($AA$7+$AB$7))</formula>
    </cfRule>
  </conditionalFormatting>
  <conditionalFormatting sqref="V2:V45">
    <cfRule type="expression" dxfId="74" priority="6">
      <formula>IF($B2="junior",V2&gt;=$AA$9+$AB$9,V2&gt;=$AA$3+$AB$3)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65170-45AD-BD40-AEE9-ABCDD4A565AD}">
  <sheetPr codeName="Arkusz9">
    <tabColor theme="5" tint="0.39997558519241921"/>
  </sheetPr>
  <dimension ref="A1:AC62"/>
  <sheetViews>
    <sheetView zoomScale="75" zoomScaleNormal="75" workbookViewId="0">
      <selection activeCell="Y15" sqref="Y15:Y24"/>
    </sheetView>
  </sheetViews>
  <sheetFormatPr defaultColWidth="11" defaultRowHeight="15.75" x14ac:dyDescent="0.25"/>
  <cols>
    <col min="1" max="1" width="21.125" bestFit="1" customWidth="1"/>
    <col min="2" max="2" width="18.5" style="2" bestFit="1" customWidth="1"/>
    <col min="3" max="3" width="17" style="2" bestFit="1" customWidth="1"/>
    <col min="4" max="4" width="25.125" bestFit="1" customWidth="1"/>
    <col min="5" max="5" width="14.125" style="2" customWidth="1"/>
    <col min="6" max="6" width="25" style="4" bestFit="1" customWidth="1"/>
    <col min="7" max="8" width="7.875" style="7" customWidth="1"/>
    <col min="9" max="9" width="7.875" style="4" customWidth="1"/>
    <col min="10" max="11" width="7.875" style="7" customWidth="1"/>
    <col min="12" max="12" width="7.875" style="4" customWidth="1"/>
    <col min="13" max="14" width="7.875" style="7" customWidth="1"/>
    <col min="15" max="15" width="7.875" style="4" customWidth="1"/>
    <col min="16" max="17" width="7.875" style="7" customWidth="1"/>
    <col min="18" max="23" width="7.875" style="2" customWidth="1"/>
    <col min="25" max="25" width="18.5" bestFit="1" customWidth="1"/>
    <col min="26" max="26" width="20" bestFit="1" customWidth="1"/>
  </cols>
  <sheetData>
    <row r="1" spans="1:29" s="2" customFormat="1" x14ac:dyDescent="0.25">
      <c r="A1" s="4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181</v>
      </c>
      <c r="G1" s="2" t="s">
        <v>182</v>
      </c>
      <c r="H1" s="2" t="s">
        <v>183</v>
      </c>
      <c r="I1" s="2" t="s">
        <v>184</v>
      </c>
      <c r="J1" s="2" t="s">
        <v>185</v>
      </c>
      <c r="K1" s="2" t="s">
        <v>186</v>
      </c>
      <c r="L1" s="2" t="s">
        <v>187</v>
      </c>
      <c r="M1" s="2" t="s">
        <v>188</v>
      </c>
      <c r="N1" s="2" t="s">
        <v>189</v>
      </c>
      <c r="O1" s="2" t="s">
        <v>190</v>
      </c>
      <c r="P1" s="2" t="s">
        <v>191</v>
      </c>
      <c r="Q1" s="2" t="s">
        <v>192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</row>
    <row r="2" spans="1:29" x14ac:dyDescent="0.25">
      <c r="A2" t="s">
        <v>63</v>
      </c>
      <c r="B2" s="2" t="s">
        <v>60</v>
      </c>
      <c r="C2" s="2" t="s">
        <v>64</v>
      </c>
      <c r="D2" t="s">
        <v>39</v>
      </c>
      <c r="E2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2" s="4">
        <v>4.8</v>
      </c>
      <c r="G2" s="7">
        <v>8.6999999999999993</v>
      </c>
      <c r="H2" s="7">
        <v>13.5</v>
      </c>
      <c r="I2" s="4">
        <v>5.2</v>
      </c>
      <c r="J2" s="7">
        <v>9.6</v>
      </c>
      <c r="K2" s="7">
        <v>14.8</v>
      </c>
      <c r="L2" s="4">
        <v>5.2</v>
      </c>
      <c r="M2" s="7">
        <v>8.0500000000000007</v>
      </c>
      <c r="N2" s="7">
        <v>13.25</v>
      </c>
      <c r="O2" s="4">
        <v>4.8</v>
      </c>
      <c r="P2" s="7">
        <v>8.3000000000000007</v>
      </c>
      <c r="Q2" s="7">
        <v>13.1</v>
      </c>
      <c r="R2" s="4">
        <f>LARGE(CHOOSE({1;2;3;4},F2,I2,L2,O2),1)+LARGE(CHOOSE({1;2;3;4},F2,I2,L2,O2),2)+LARGE(CHOOSE({1;2;3;4},F2,I2,L2,O2),3)</f>
        <v>15.2</v>
      </c>
      <c r="S2" s="7">
        <f>LARGE(CHOOSE({1;2;3;4},G2,J2,M2,P2),1)+LARGE(CHOOSE({1;2;3;4},G2,J2,M2,P2),2)+LARGE(CHOOSE({1;2;3;4},G2,J2,M2,P2),3)</f>
        <v>26.599999999999998</v>
      </c>
      <c r="T2" s="7">
        <f>LARGE(CHOOSE({1;2;3;4},H2,K2,N2,Q2),1)+LARGE(CHOOSE({1;2;3;4},H2,K2,N2,Q2),2)+LARGE(CHOOSE({1;2;3;4},H2,K2,N2,Q2),3)</f>
        <v>41.55</v>
      </c>
      <c r="U2" s="4" cm="1">
        <f t="array" ref="U2">IF(VT[[#This Row],[Number_of_competition]:[Number_of_competition]]&gt;=3,(LARGE(CHOOSE({1;2;3;4},F2,I2,L2,O2),1)+LARGE(CHOOSE({1;2;3;4},F2,I2,L2,O2),2)+LARGE(CHOOSE({1;2;3;4},F2,I2,L2,O2),3))/3,0)</f>
        <v>5.0666666666666664</v>
      </c>
      <c r="V2" s="7" cm="1">
        <f t="array" ref="V2">IF(VT[[#This Row],[Number_of_competition]:[Number_of_competition]]&gt;=3,(LARGE(CHOOSE({1;2;3;4},G2,J2,M2,P2),1)+LARGE(CHOOSE({1;2;3;4},G2,J2,M2,P2),2)+LARGE(CHOOSE({1;2;3;4},G2,J2,M2,P2),3))/3,0)</f>
        <v>8.8666666666666654</v>
      </c>
      <c r="W2" s="7" cm="1">
        <f t="array" ref="W2">IF(VT[[#This Row],[Number_of_competition]:[Number_of_competition]]&gt;=3,(LARGE(CHOOSE({1;2;3;4},H2,K2,N2,Q2),1)+LARGE(CHOOSE({1;2;3;4},H2,K2,N2,Q2),2)+LARGE(CHOOSE({1;2;3;4},H2,K2,N2,Q2),3))/3,0)</f>
        <v>13.85</v>
      </c>
      <c r="Y2" s="41" t="s">
        <v>60</v>
      </c>
      <c r="Z2" s="20" t="s">
        <v>269</v>
      </c>
      <c r="AA2" s="21" cm="1">
        <f t="array" ref="AA2">SUM(_xlfn._xlws.FILTER(VT[bydgoszcz_VT_Dscore],VT[Category]="senior"),_xlfn._xlws.FILTER(VT[zabrze_VT_Dscore],VT[Category]="senior"),_xlfn._xlws.FILTER(VT[cracow_VT_Dscore],VT[Category]="senior"),_xlfn._xlws.FILTER(VT[gdansk_VT_Dscore],VT[Category]="senior"))/(COUNTIFS(VT[bydgoszcz_VT_Dscore],"&gt;0",VT[Category],"senior")+COUNTIFS(VT[zabrze_VT_Dscore],"&gt;0",VT[Category],"senior")+COUNTIFS(VT[cracow_VT_Dscore],"&gt;0",VT[Category],"senior")+COUNTIFS(VT[gdansk_VT_Dscore],"&gt;0",VT[Category],"senior"))</f>
        <v>3.8000000000000003</v>
      </c>
      <c r="AB2" s="21" cm="1">
        <f t="array" ref="AB2">_xlfn.STDEV.S(_xlfn._xlws.FILTER(VT[bydgoszcz_VT_Dscore],(VT[Category]="senior")*(VT[bydgoszcz_VT_Dscore])&gt;0),_xlfn._xlws.FILTER(VT[zabrze_VT_Dscore],(VT[Category]="senior")*(VT[zabrze_VT_Dscore])&gt;0),_xlfn._xlws.FILTER(VT[cracow_VT_Dscore],(VT[Category]="senior")*(VT[cracow_VT_Dscore])&gt;0),_xlfn._xlws.FILTER(VT[gdansk_VT_Dscore],(VT[Category]="senior")*(VT[gdansk_VT_Dscore])&gt;0))</f>
        <v>0.73678839761300552</v>
      </c>
      <c r="AC2" s="21" cm="1">
        <f t="array" ref="AC2">MAX(_xlfn._xlws.FILTER(VT[bydgoszcz_VT_Dscore],VT[Category]="senior"),_xlfn._xlws.FILTER(VT[zabrze_VT_Dscore],VT[Category]="senior"),_xlfn._xlws.FILTER(VT[cracow_VT_Dscore],VT[Category]="senior"),_xlfn._xlws.FILTER(VT[gdansk_VT_Dscore],VT[Category]="senior"))</f>
        <v>5.2</v>
      </c>
    </row>
    <row r="3" spans="1:29" x14ac:dyDescent="0.25">
      <c r="A3" t="s">
        <v>68</v>
      </c>
      <c r="B3" s="2" t="s">
        <v>60</v>
      </c>
      <c r="C3" s="2" t="s">
        <v>69</v>
      </c>
      <c r="D3" t="s">
        <v>31</v>
      </c>
      <c r="E3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3" s="4">
        <v>0</v>
      </c>
      <c r="G3" s="7">
        <v>0</v>
      </c>
      <c r="H3" s="7">
        <v>0</v>
      </c>
      <c r="I3" s="4">
        <v>4</v>
      </c>
      <c r="J3" s="7">
        <v>9.6</v>
      </c>
      <c r="K3" s="7">
        <v>13.6</v>
      </c>
      <c r="L3" s="4">
        <v>4</v>
      </c>
      <c r="M3" s="7">
        <v>9.35</v>
      </c>
      <c r="N3" s="7">
        <v>13.35</v>
      </c>
      <c r="O3" s="4">
        <v>4</v>
      </c>
      <c r="P3" s="7">
        <v>8.8000000000000007</v>
      </c>
      <c r="Q3" s="7">
        <v>12.8</v>
      </c>
      <c r="R3" s="4">
        <f>LARGE(CHOOSE({1;2;3;4},F3,I3,L3,O3),1)+LARGE(CHOOSE({1;2;3;4},F3,I3,L3,O3),2)+LARGE(CHOOSE({1;2;3;4},F3,I3,L3,O3),3)</f>
        <v>12</v>
      </c>
      <c r="S3" s="7">
        <f>LARGE(CHOOSE({1;2;3;4},G3,J3,M3,P3),1)+LARGE(CHOOSE({1;2;3;4},G3,J3,M3,P3),2)+LARGE(CHOOSE({1;2;3;4},G3,J3,M3,P3),3)</f>
        <v>27.75</v>
      </c>
      <c r="T3" s="7">
        <f>LARGE(CHOOSE({1;2;3;4},H3,K3,N3,Q3),1)+LARGE(CHOOSE({1;2;3;4},H3,K3,N3,Q3),2)+LARGE(CHOOSE({1;2;3;4},H3,K3,N3,Q3),3)</f>
        <v>39.75</v>
      </c>
      <c r="U3" s="4" cm="1">
        <f t="array" ref="U3">IF(VT[[#This Row],[Number_of_competition]:[Number_of_competition]]&gt;=3,(LARGE(CHOOSE({1;2;3;4},F3,I3,L3,O3),1)+LARGE(CHOOSE({1;2;3;4},F3,I3,L3,O3),2)+LARGE(CHOOSE({1;2;3;4},F3,I3,L3,O3),3))/3,0)</f>
        <v>4</v>
      </c>
      <c r="V3" s="7" cm="1">
        <f t="array" ref="V3">IF(VT[[#This Row],[Number_of_competition]:[Number_of_competition]]&gt;=3,(LARGE(CHOOSE({1;2;3;4},G3,J3,M3,P3),1)+LARGE(CHOOSE({1;2;3;4},G3,J3,M3,P3),2)+LARGE(CHOOSE({1;2;3;4},G3,J3,M3,P3),3))/3,0)</f>
        <v>9.25</v>
      </c>
      <c r="W3" s="7" cm="1">
        <f t="array" ref="W3">IF(VT[[#This Row],[Number_of_competition]:[Number_of_competition]]&gt;=3,(LARGE(CHOOSE({1;2;3;4},H3,K3,N3,Q3),1)+LARGE(CHOOSE({1;2;3;4},H3,K3,N3,Q3),2)+LARGE(CHOOSE({1;2;3;4},H3,K3,N3,Q3),3))/3,0)</f>
        <v>13.25</v>
      </c>
      <c r="Y3" s="42"/>
      <c r="Z3" s="20" t="s">
        <v>267</v>
      </c>
      <c r="AA3" s="22" cm="1">
        <f t="array" ref="AA3">SUM(_xlfn._xlws.FILTER(VT[bydgoszcz_VT_Escore],VT[Category]="senior"),_xlfn._xlws.FILTER(VT[zabrze_VT_Escore],VT[Category]="senior"),_xlfn._xlws.FILTER(VT[cracow_VT_Escore],VT[Category]="senior"),_xlfn._xlws.FILTER(VT[gdansk_VT_Escore],VT[Category]="senior"))/(COUNTIFS(VT[bydgoszcz_VT_Escore],"&gt;0",VT[Category],"senior")+COUNTIFS(VT[zabrze_VT_Escore],"&gt;0",VT[Category],"senior")+COUNTIFS(VT[cracow_VT_Escore],"&gt;0",VT[Category],"senior")+COUNTIFS(VT[gdansk_VT_Escore],"&gt;0",VT[Category],"senior"))</f>
        <v>8.7815789473684234</v>
      </c>
      <c r="AB3" s="22" cm="1">
        <f t="array" ref="AB3">_xlfn.STDEV.S(_xlfn._xlws.FILTER(VT[bydgoszcz_VT_Escore],(VT[Category]="senior")*(VT[bydgoszcz_VT_Escore])&gt;0),_xlfn._xlws.FILTER(VT[zabrze_VT_Escore],(VT[Category]="senior")*(VT[zabrze_VT_Escore])&gt;0),_xlfn._xlws.FILTER(VT[cracow_VT_Escore],(VT[Category]="senior")*(VT[cracow_VT_Escore])&gt;0),_xlfn._xlws.FILTER(VT[gdansk_VT_Escore],(VT[Category]="senior")*(VT[gdansk_VT_Escore])&gt;0))</f>
        <v>0.54162714334310735</v>
      </c>
      <c r="AC3" s="22" cm="1">
        <f t="array" ref="AC3">MAX(_xlfn._xlws.FILTER(VT[bydgoszcz_VT_Escore],VT[Category]="senior"),_xlfn._xlws.FILTER(VT[zabrze_VT_Escore],VT[Category]="senior"),_xlfn._xlws.FILTER(VT[cracow_VT_Escore],VT[Category]="senior"),_xlfn._xlws.FILTER(VT[gdansk_VT_Escore],VT[Category]="senior"))</f>
        <v>9.6</v>
      </c>
    </row>
    <row r="4" spans="1:29" x14ac:dyDescent="0.25">
      <c r="A4" t="s">
        <v>59</v>
      </c>
      <c r="B4" s="2" t="s">
        <v>60</v>
      </c>
      <c r="C4" s="2" t="s">
        <v>61</v>
      </c>
      <c r="D4" t="s">
        <v>62</v>
      </c>
      <c r="E4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4" s="4">
        <v>0</v>
      </c>
      <c r="G4" s="7">
        <v>0</v>
      </c>
      <c r="H4" s="7">
        <v>0</v>
      </c>
      <c r="I4" s="4">
        <v>4.4000000000000004</v>
      </c>
      <c r="J4" s="7">
        <v>9.1</v>
      </c>
      <c r="K4" s="7">
        <v>13.5</v>
      </c>
      <c r="L4" s="4">
        <v>4.4000000000000004</v>
      </c>
      <c r="M4" s="7">
        <v>9.15</v>
      </c>
      <c r="N4" s="7">
        <v>13.55</v>
      </c>
      <c r="O4" s="4">
        <v>4.4000000000000004</v>
      </c>
      <c r="P4" s="7">
        <v>8.3000000000000007</v>
      </c>
      <c r="Q4" s="7">
        <v>12.7</v>
      </c>
      <c r="R4" s="4">
        <f>LARGE(CHOOSE({1;2;3;4},F4,I4,L4,O4),1)+LARGE(CHOOSE({1;2;3;4},F4,I4,L4,O4),2)+LARGE(CHOOSE({1;2;3;4},F4,I4,L4,O4),3)</f>
        <v>13.200000000000001</v>
      </c>
      <c r="S4" s="7">
        <f>LARGE(CHOOSE({1;2;3;4},G4,J4,M4,P4),1)+LARGE(CHOOSE({1;2;3;4},G4,J4,M4,P4),2)+LARGE(CHOOSE({1;2;3;4},G4,J4,M4,P4),3)</f>
        <v>26.55</v>
      </c>
      <c r="T4" s="7">
        <f>LARGE(CHOOSE({1;2;3;4},H4,K4,N4,Q4),1)+LARGE(CHOOSE({1;2;3;4},H4,K4,N4,Q4),2)+LARGE(CHOOSE({1;2;3;4},H4,K4,N4,Q4),3)</f>
        <v>39.75</v>
      </c>
      <c r="U4" s="4" cm="1">
        <f t="array" ref="U4">IF(VT[[#This Row],[Number_of_competition]:[Number_of_competition]]&gt;=3,(LARGE(CHOOSE({1;2;3;4},F4,I4,L4,O4),1)+LARGE(CHOOSE({1;2;3;4},F4,I4,L4,O4),2)+LARGE(CHOOSE({1;2;3;4},F4,I4,L4,O4),3))/3,0)</f>
        <v>4.4000000000000004</v>
      </c>
      <c r="V4" s="7" cm="1">
        <f t="array" ref="V4">IF(VT[[#This Row],[Number_of_competition]:[Number_of_competition]]&gt;=3,(LARGE(CHOOSE({1;2;3;4},G4,J4,M4,P4),1)+LARGE(CHOOSE({1;2;3;4},G4,J4,M4,P4),2)+LARGE(CHOOSE({1;2;3;4},G4,J4,M4,P4),3))/3,0)</f>
        <v>8.85</v>
      </c>
      <c r="W4" s="7" cm="1">
        <f t="array" ref="W4">IF(VT[[#This Row],[Number_of_competition]:[Number_of_competition]]&gt;=3,(LARGE(CHOOSE({1;2;3;4},H4,K4,N4,Q4),1)+LARGE(CHOOSE({1;2;3;4},H4,K4,N4,Q4),2)+LARGE(CHOOSE({1;2;3;4},H4,K4,N4,Q4),3))/3,0)</f>
        <v>13.25</v>
      </c>
      <c r="Y4" s="42"/>
      <c r="Z4" s="20" t="s">
        <v>268</v>
      </c>
      <c r="AA4" s="22" cm="1">
        <f t="array" ref="AA4">SUM(_xlfn._xlws.FILTER(VT[bydgoszcz_VT_Total_Score],VT[Category]="senior"),_xlfn._xlws.FILTER(VT[zabrze_VT_Total_Score],VT[Category]="senior"),_xlfn._xlws.FILTER(VT[cracow_VT_Total_Score],VT[Category]="senior"),_xlfn._xlws.FILTER(VT[gdansk_VT_Total_Score],VT[Category]="senior"))/(COUNTIFS(VT[bydgoszcz_VT_Total_Score],"&gt;0",VT[Category],"senior")+COUNTIFS(VT[zabrze_VT_Total_Score],"&gt;0",VT[Category],"senior")+COUNTIFS(VT[cracow_VT_Total_Score],"&gt;0",VT[Category],"senior")+COUNTIFS(VT[gdansk_VT_Total_Score],"&gt;0",VT[Category],"senior"))</f>
        <v>12.581578947368424</v>
      </c>
      <c r="AB4" s="22" cm="1">
        <f t="array" ref="AB4">_xlfn.STDEV.S(_xlfn._xlws.FILTER(VT[bydgoszcz_VT_Total_Score],(VT[Category]="senior")*(VT[bydgoszcz_VT_Total_Score])&gt;0),_xlfn._xlws.FILTER(VT[zabrze_VT_Total_Score],(VT[Category]="senior")*(VT[zabrze_VT_Total_Score])&gt;0),_xlfn._xlws.FILTER(VT[cracow_VT_Total_Score],(VT[Category]="senior")*(VT[cracow_VT_Total_Score])&gt;0),_xlfn._xlws.FILTER(VT[gdansk_VT_Total_Score],(VT[Category]="senior")*(VT[gdansk_VT_Total_Score])&gt;0))</f>
        <v>0.86528440715360067</v>
      </c>
      <c r="AC4" s="22" cm="1">
        <f t="array" ref="AC4">MAX(_xlfn._xlws.FILTER(VT[bydgoszcz_VT_Total_Score],VT[Category]="senior"),_xlfn._xlws.FILTER(VT[zabrze_VT_Total_Score],VT[Category]="senior"),_xlfn._xlws.FILTER(VT[cracow_VT_Total_Score],VT[Category]="senior"),_xlfn._xlws.FILTER(VT[gdansk_VT_Total_Score],VT[Category]="senior"))</f>
        <v>14.8</v>
      </c>
    </row>
    <row r="5" spans="1:29" x14ac:dyDescent="0.25">
      <c r="A5" t="s">
        <v>82</v>
      </c>
      <c r="B5" s="2" t="s">
        <v>60</v>
      </c>
      <c r="C5" s="2" t="s">
        <v>83</v>
      </c>
      <c r="D5" t="s">
        <v>36</v>
      </c>
      <c r="E5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5" s="4">
        <v>0</v>
      </c>
      <c r="G5" s="7">
        <v>0</v>
      </c>
      <c r="H5" s="7">
        <v>0</v>
      </c>
      <c r="I5" s="4">
        <v>4</v>
      </c>
      <c r="J5" s="7">
        <v>9.3000000000000007</v>
      </c>
      <c r="K5" s="7">
        <v>13.3</v>
      </c>
      <c r="L5" s="4">
        <v>4</v>
      </c>
      <c r="M5" s="7">
        <v>9.1</v>
      </c>
      <c r="N5" s="7">
        <v>13.1</v>
      </c>
      <c r="O5" s="4">
        <v>4</v>
      </c>
      <c r="P5" s="7">
        <v>9</v>
      </c>
      <c r="Q5" s="7">
        <v>13</v>
      </c>
      <c r="R5" s="4">
        <f>LARGE(CHOOSE({1;2;3;4},F5,I5,L5,O5),1)+LARGE(CHOOSE({1;2;3;4},F5,I5,L5,O5),2)+LARGE(CHOOSE({1;2;3;4},F5,I5,L5,O5),3)</f>
        <v>12</v>
      </c>
      <c r="S5" s="7">
        <f>LARGE(CHOOSE({1;2;3;4},G5,J5,M5,P5),1)+LARGE(CHOOSE({1;2;3;4},G5,J5,M5,P5),2)+LARGE(CHOOSE({1;2;3;4},G5,J5,M5,P5),3)</f>
        <v>27.4</v>
      </c>
      <c r="T5" s="7">
        <f>LARGE(CHOOSE({1;2;3;4},H5,K5,N5,Q5),1)+LARGE(CHOOSE({1;2;3;4},H5,K5,N5,Q5),2)+LARGE(CHOOSE({1;2;3;4},H5,K5,N5,Q5),3)</f>
        <v>39.4</v>
      </c>
      <c r="U5" s="4" cm="1">
        <f t="array" ref="U5">IF(VT[[#This Row],[Number_of_competition]:[Number_of_competition]]&gt;=3,(LARGE(CHOOSE({1;2;3;4},F5,I5,L5,O5),1)+LARGE(CHOOSE({1;2;3;4},F5,I5,L5,O5),2)+LARGE(CHOOSE({1;2;3;4},F5,I5,L5,O5),3))/3,0)</f>
        <v>4</v>
      </c>
      <c r="V5" s="7" cm="1">
        <f t="array" ref="V5">IF(VT[[#This Row],[Number_of_competition]:[Number_of_competition]]&gt;=3,(LARGE(CHOOSE({1;2;3;4},G5,J5,M5,P5),1)+LARGE(CHOOSE({1;2;3;4},G5,J5,M5,P5),2)+LARGE(CHOOSE({1;2;3;4},G5,J5,M5,P5),3))/3,0)</f>
        <v>9.1333333333333329</v>
      </c>
      <c r="W5" s="7" cm="1">
        <f t="array" ref="W5">IF(VT[[#This Row],[Number_of_competition]:[Number_of_competition]]&gt;=3,(LARGE(CHOOSE({1;2;3;4},H5,K5,N5,Q5),1)+LARGE(CHOOSE({1;2;3;4},H5,K5,N5,Q5),2)+LARGE(CHOOSE({1;2;3;4},H5,K5,N5,Q5),3))/3,0)</f>
        <v>13.133333333333333</v>
      </c>
      <c r="Y5" s="42"/>
      <c r="Z5" s="20" t="s">
        <v>275</v>
      </c>
      <c r="AA5" s="21" cm="1">
        <f t="array" ref="AA5">SUM(_xlfn._xlws.FILTER(VT[Year_Dscore],(VT[Category]="senior")*(VT[Number_of_competition]&gt;=3))/COUNTIFS(VT[Number_of_competition],"&gt;=3",VT[Category],"senior"))</f>
        <v>11.911111111111111</v>
      </c>
      <c r="AB5" s="21" cm="1">
        <f t="array" ref="AB5">_xlfn.STDEV.S(_xlfn._xlws.FILTER(VT[Year_Dscore],(VT[Category]="senior")*(VT[Number_of_competition]&gt;=3)))</f>
        <v>1.6586473739499692</v>
      </c>
      <c r="AC5" s="21" cm="1">
        <f t="array" ref="AC5">MAX(_xlfn._xlws.FILTER(VT[Year_Dscore],VT[Category]="senior"))</f>
        <v>15.2</v>
      </c>
    </row>
    <row r="6" spans="1:29" x14ac:dyDescent="0.25">
      <c r="A6" t="s">
        <v>73</v>
      </c>
      <c r="B6" s="2" t="s">
        <v>60</v>
      </c>
      <c r="C6" s="2" t="s">
        <v>74</v>
      </c>
      <c r="D6" t="s">
        <v>62</v>
      </c>
      <c r="E6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6" s="4">
        <v>4</v>
      </c>
      <c r="G6" s="7">
        <v>8.6</v>
      </c>
      <c r="H6" s="7">
        <v>12.6</v>
      </c>
      <c r="I6" s="4">
        <v>4</v>
      </c>
      <c r="J6" s="7">
        <v>9.1</v>
      </c>
      <c r="K6" s="7">
        <v>13.1</v>
      </c>
      <c r="L6" s="4">
        <v>4</v>
      </c>
      <c r="M6" s="7">
        <v>9.35</v>
      </c>
      <c r="N6" s="7">
        <v>13.35</v>
      </c>
      <c r="O6" s="4">
        <v>4</v>
      </c>
      <c r="P6" s="7">
        <v>8.6999999999999993</v>
      </c>
      <c r="Q6" s="7">
        <v>12.7</v>
      </c>
      <c r="R6" s="4">
        <f>LARGE(CHOOSE({1;2;3;4},F6,I6,L6,O6),1)+LARGE(CHOOSE({1;2;3;4},F6,I6,L6,O6),2)+LARGE(CHOOSE({1;2;3;4},F6,I6,L6,O6),3)</f>
        <v>12</v>
      </c>
      <c r="S6" s="7">
        <f>LARGE(CHOOSE({1;2;3;4},G6,J6,M6,P6),1)+LARGE(CHOOSE({1;2;3;4},G6,J6,M6,P6),2)+LARGE(CHOOSE({1;2;3;4},G6,J6,M6,P6),3)</f>
        <v>27.15</v>
      </c>
      <c r="T6" s="7">
        <f>LARGE(CHOOSE({1;2;3;4},H6,K6,N6,Q6),1)+LARGE(CHOOSE({1;2;3;4},H6,K6,N6,Q6),2)+LARGE(CHOOSE({1;2;3;4},H6,K6,N6,Q6),3)</f>
        <v>39.15</v>
      </c>
      <c r="U6" s="4" cm="1">
        <f t="array" ref="U6">IF(VT[[#This Row],[Number_of_competition]:[Number_of_competition]]&gt;=3,(LARGE(CHOOSE({1;2;3;4},F6,I6,L6,O6),1)+LARGE(CHOOSE({1;2;3;4},F6,I6,L6,O6),2)+LARGE(CHOOSE({1;2;3;4},F6,I6,L6,O6),3))/3,0)</f>
        <v>4</v>
      </c>
      <c r="V6" s="7" cm="1">
        <f t="array" ref="V6">IF(VT[[#This Row],[Number_of_competition]:[Number_of_competition]]&gt;=3,(LARGE(CHOOSE({1;2;3;4},G6,J6,M6,P6),1)+LARGE(CHOOSE({1;2;3;4},G6,J6,M6,P6),2)+LARGE(CHOOSE({1;2;3;4},G6,J6,M6,P6),3))/3,0)</f>
        <v>9.0499999999999989</v>
      </c>
      <c r="W6" s="7" cm="1">
        <f t="array" ref="W6">IF(VT[[#This Row],[Number_of_competition]:[Number_of_competition]]&gt;=3,(LARGE(CHOOSE({1;2;3;4},H6,K6,N6,Q6),1)+LARGE(CHOOSE({1;2;3;4},H6,K6,N6,Q6),2)+LARGE(CHOOSE({1;2;3;4},H6,K6,N6,Q6),3))/3,0)</f>
        <v>13.049999999999999</v>
      </c>
      <c r="Y6" s="42"/>
      <c r="Z6" s="20" t="s">
        <v>276</v>
      </c>
      <c r="AA6" s="22" cm="1">
        <f t="array" ref="AA6">SUM(_xlfn._xlws.FILTER(VT[Year_Escore],(VT[Category]="senior")*(VT[Number_of_competition]&gt;=3))/COUNTIFS(VT[Number_of_competition],"&gt;=3",VT[Category],"senior"))</f>
        <v>26.855555555555554</v>
      </c>
      <c r="AB6" s="22" cm="1">
        <f t="array" ref="AB6">_xlfn.STDEV.S(_xlfn._xlws.FILTER(VT[Year_Escore],(VT[Category]="senior")*(VT[Number_of_competition]&gt;=3)))</f>
        <v>0.77598503708369104</v>
      </c>
      <c r="AC6" s="22" cm="1">
        <f t="array" ref="AC6">MAX(_xlfn._xlws.FILTER(VT[Year_Escore],VT[Category]="senior"))</f>
        <v>27.85</v>
      </c>
    </row>
    <row r="7" spans="1:29" x14ac:dyDescent="0.25">
      <c r="A7" t="s">
        <v>90</v>
      </c>
      <c r="B7" s="2" t="s">
        <v>60</v>
      </c>
      <c r="C7" s="2" t="s">
        <v>91</v>
      </c>
      <c r="D7" t="s">
        <v>36</v>
      </c>
      <c r="E7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7" s="4">
        <v>0</v>
      </c>
      <c r="G7" s="7">
        <v>0</v>
      </c>
      <c r="H7" s="7">
        <v>0</v>
      </c>
      <c r="I7" s="4">
        <v>4</v>
      </c>
      <c r="J7" s="7">
        <v>8.4</v>
      </c>
      <c r="K7" s="7">
        <v>12.4</v>
      </c>
      <c r="L7" s="4">
        <v>4</v>
      </c>
      <c r="M7" s="7">
        <v>9.25</v>
      </c>
      <c r="N7" s="7">
        <v>13.25</v>
      </c>
      <c r="O7" s="4">
        <v>4</v>
      </c>
      <c r="P7" s="7">
        <v>8.9</v>
      </c>
      <c r="Q7" s="7">
        <v>12.9</v>
      </c>
      <c r="R7" s="4">
        <f>LARGE(CHOOSE({1;2;3;4},F7,I7,L7,O7),1)+LARGE(CHOOSE({1;2;3;4},F7,I7,L7,O7),2)+LARGE(CHOOSE({1;2;3;4},F7,I7,L7,O7),3)</f>
        <v>12</v>
      </c>
      <c r="S7" s="7">
        <f>LARGE(CHOOSE({1;2;3;4},G7,J7,M7,P7),1)+LARGE(CHOOSE({1;2;3;4},G7,J7,M7,P7),2)+LARGE(CHOOSE({1;2;3;4},G7,J7,M7,P7),3)</f>
        <v>26.549999999999997</v>
      </c>
      <c r="T7" s="7">
        <f>LARGE(CHOOSE({1;2;3;4},H7,K7,N7,Q7),1)+LARGE(CHOOSE({1;2;3;4},H7,K7,N7,Q7),2)+LARGE(CHOOSE({1;2;3;4},H7,K7,N7,Q7),3)</f>
        <v>38.549999999999997</v>
      </c>
      <c r="U7" s="4" cm="1">
        <f t="array" ref="U7">IF(VT[[#This Row],[Number_of_competition]:[Number_of_competition]]&gt;=3,(LARGE(CHOOSE({1;2;3;4},F7,I7,L7,O7),1)+LARGE(CHOOSE({1;2;3;4},F7,I7,L7,O7),2)+LARGE(CHOOSE({1;2;3;4},F7,I7,L7,O7),3))/3,0)</f>
        <v>4</v>
      </c>
      <c r="V7" s="7" cm="1">
        <f t="array" ref="V7">IF(VT[[#This Row],[Number_of_competition]:[Number_of_competition]]&gt;=3,(LARGE(CHOOSE({1;2;3;4},G7,J7,M7,P7),1)+LARGE(CHOOSE({1;2;3;4},G7,J7,M7,P7),2)+LARGE(CHOOSE({1;2;3;4},G7,J7,M7,P7),3))/3,0)</f>
        <v>8.85</v>
      </c>
      <c r="W7" s="7" cm="1">
        <f t="array" ref="W7">IF(VT[[#This Row],[Number_of_competition]:[Number_of_competition]]&gt;=3,(LARGE(CHOOSE({1;2;3;4},H7,K7,N7,Q7),1)+LARGE(CHOOSE({1;2;3;4},H7,K7,N7,Q7),2)+LARGE(CHOOSE({1;2;3;4},H7,K7,N7,Q7),3))/3,0)</f>
        <v>12.85</v>
      </c>
      <c r="Y7" s="43"/>
      <c r="Z7" s="20" t="s">
        <v>277</v>
      </c>
      <c r="AA7" s="22" cm="1">
        <f t="array" ref="AA7">SUM(_xlfn._xlws.FILTER(VT[Year_Total_Score],(VT[Category]="senior")*(VT[Number_of_competition]&gt;=3))/COUNTIFS(VT[Number_of_competition],"&gt;=3",VT[Category],"senior"))</f>
        <v>38.655555555555559</v>
      </c>
      <c r="AB7" s="22" cm="1">
        <f t="array" ref="AB7">_xlfn.STDEV.S(_xlfn._xlws.FILTER(VT[Year_Total_Score],(VT[Category]="senior")*(VT[Number_of_competition]&gt;=3)))</f>
        <v>1.7740216396024528</v>
      </c>
      <c r="AC7" s="22" cm="1">
        <f t="array" ref="AC7">MAX(_xlfn._xlws.FILTER(VT[Year_Total_Score],VT[Category]="senior"))</f>
        <v>41.55</v>
      </c>
    </row>
    <row r="8" spans="1:29" x14ac:dyDescent="0.25">
      <c r="A8" t="s">
        <v>32</v>
      </c>
      <c r="B8" s="2" t="s">
        <v>26</v>
      </c>
      <c r="C8" s="2" t="s">
        <v>33</v>
      </c>
      <c r="D8" t="s">
        <v>31</v>
      </c>
      <c r="E8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8" s="4">
        <v>3.2</v>
      </c>
      <c r="G8" s="7">
        <v>9</v>
      </c>
      <c r="H8" s="7">
        <v>12.2</v>
      </c>
      <c r="I8" s="4">
        <v>3.2</v>
      </c>
      <c r="J8" s="7">
        <v>9.4499999999999993</v>
      </c>
      <c r="K8" s="7">
        <v>12.65</v>
      </c>
      <c r="L8" s="4">
        <v>3.2</v>
      </c>
      <c r="M8" s="7">
        <v>9.1999999999999993</v>
      </c>
      <c r="N8" s="7">
        <v>12.4</v>
      </c>
      <c r="O8" s="4">
        <v>2.8</v>
      </c>
      <c r="P8" s="7">
        <v>8.8000000000000007</v>
      </c>
      <c r="Q8" s="7">
        <v>11.6</v>
      </c>
      <c r="R8" s="4">
        <f>LARGE(CHOOSE({1;2;3;4},F8,I8,L8,O8),1)+LARGE(CHOOSE({1;2;3;4},F8,I8,L8,O8),2)+LARGE(CHOOSE({1;2;3;4},F8,I8,L8,O8),3)</f>
        <v>9.6000000000000014</v>
      </c>
      <c r="S8" s="7">
        <f>LARGE(CHOOSE({1;2;3;4},G8,J8,M8,P8),1)+LARGE(CHOOSE({1;2;3;4},G8,J8,M8,P8),2)+LARGE(CHOOSE({1;2;3;4},G8,J8,M8,P8),3)</f>
        <v>27.65</v>
      </c>
      <c r="T8" s="7">
        <f>LARGE(CHOOSE({1;2;3;4},H8,K8,N8,Q8),1)+LARGE(CHOOSE({1;2;3;4},H8,K8,N8,Q8),2)+LARGE(CHOOSE({1;2;3;4},H8,K8,N8,Q8),3)</f>
        <v>37.25</v>
      </c>
      <c r="U8" s="4" cm="1">
        <f t="array" ref="U8">IF(VT[[#This Row],[Number_of_competition]:[Number_of_competition]]&gt;=3,(LARGE(CHOOSE({1;2;3;4},F8,I8,L8,O8),1)+LARGE(CHOOSE({1;2;3;4},F8,I8,L8,O8),2)+LARGE(CHOOSE({1;2;3;4},F8,I8,L8,O8),3))/3,0)</f>
        <v>3.2000000000000006</v>
      </c>
      <c r="V8" s="7" cm="1">
        <f t="array" ref="V8">IF(VT[[#This Row],[Number_of_competition]:[Number_of_competition]]&gt;=3,(LARGE(CHOOSE({1;2;3;4},G8,J8,M8,P8),1)+LARGE(CHOOSE({1;2;3;4},G8,J8,M8,P8),2)+LARGE(CHOOSE({1;2;3;4},G8,J8,M8,P8),3))/3,0)</f>
        <v>9.2166666666666668</v>
      </c>
      <c r="W8" s="7" cm="1">
        <f t="array" ref="W8">IF(VT[[#This Row],[Number_of_competition]:[Number_of_competition]]&gt;=3,(LARGE(CHOOSE({1;2;3;4},H8,K8,N8,Q8),1)+LARGE(CHOOSE({1;2;3;4},H8,K8,N8,Q8),2)+LARGE(CHOOSE({1;2;3;4},H8,K8,N8,Q8),3))/3,0)</f>
        <v>12.416666666666666</v>
      </c>
      <c r="Y8" s="41" t="s">
        <v>26</v>
      </c>
      <c r="Z8" s="20" t="s">
        <v>269</v>
      </c>
      <c r="AA8" s="21" cm="1">
        <f t="array" ref="AA8">SUM(_xlfn._xlws.FILTER(VT[bydgoszcz_VT_Dscore],VT[Category]="junior"),_xlfn._xlws.FILTER(VT[zabrze_VT_Dscore],VT[Category]="junior"),_xlfn._xlws.FILTER(VT[cracow_VT_Dscore],VT[Category]="junior"),_xlfn._xlws.FILTER(VT[gdansk_VT_Dscore],VT[Category]="junior"))/(COUNTIFS(VT[bydgoszcz_VT_Dscore],"&gt;0",VT[Category],"junior")+COUNTIFS(VT[zabrze_VT_Dscore],"&gt;0",VT[Category],"junior")+COUNTIFS(VT[cracow_VT_Dscore],"&gt;0",VT[Category],"junior")+COUNTIFS(VT[gdansk_VT_Dscore],"&gt;0",VT[Category],"junior"))</f>
        <v>2.5703703703703704</v>
      </c>
      <c r="AB8" s="21" cm="1">
        <f t="array" ref="AB8">_xlfn.STDEV.S(_xlfn._xlws.FILTER(VT[bydgoszcz_VT_Dscore],(VT[Category]="junior")*(VT[bydgoszcz_VT_Dscore])&gt;0),_xlfn._xlws.FILTER(VT[zabrze_VT_Dscore],(VT[Category]="junior")*(VT[zabrze_VT_Dscore])&gt;0),_xlfn._xlws.FILTER(VT[cracow_VT_Dscore],(VT[Category]="junior")*(VT[cracow_VT_Dscore])&gt;0),_xlfn._xlws.FILTER(VT[gdansk_VT_Dscore],(VT[Category]="junior")*(VT[gdansk_VT_Dscore])&gt;0))</f>
        <v>0.75276336947693678</v>
      </c>
      <c r="AC8" s="21" cm="1">
        <f t="array" ref="AC8">MAX(_xlfn._xlws.FILTER(VT[bydgoszcz_VT_Dscore],VT[Category]="junior"),_xlfn._xlws.FILTER(VT[zabrze_VT_Dscore],VT[Category]="junior"),_xlfn._xlws.FILTER(VT[cracow_VT_Dscore],VT[Category]="junior"),_xlfn._xlws.FILTER(VT[gdansk_VT_Dscore],VT[Category]="junior"))</f>
        <v>4</v>
      </c>
    </row>
    <row r="9" spans="1:29" x14ac:dyDescent="0.25">
      <c r="A9" t="s">
        <v>84</v>
      </c>
      <c r="B9" s="2" t="s">
        <v>60</v>
      </c>
      <c r="C9" s="2" t="s">
        <v>85</v>
      </c>
      <c r="D9" t="s">
        <v>39</v>
      </c>
      <c r="E9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9" s="4">
        <v>3</v>
      </c>
      <c r="G9" s="7">
        <v>9.3000000000000007</v>
      </c>
      <c r="H9" s="7">
        <v>12.3</v>
      </c>
      <c r="I9" s="4">
        <v>3.2</v>
      </c>
      <c r="J9" s="7">
        <v>9.25</v>
      </c>
      <c r="K9" s="7">
        <v>12.45</v>
      </c>
      <c r="L9" s="4">
        <v>3.2</v>
      </c>
      <c r="M9" s="7">
        <v>9.3000000000000007</v>
      </c>
      <c r="N9" s="7">
        <v>12.5</v>
      </c>
      <c r="O9" s="4">
        <v>3.2</v>
      </c>
      <c r="P9" s="7">
        <v>8.3000000000000007</v>
      </c>
      <c r="Q9" s="7">
        <v>11.5</v>
      </c>
      <c r="R9" s="4">
        <f>LARGE(CHOOSE({1;2;3;4},F9,I9,L9,O9),1)+LARGE(CHOOSE({1;2;3;4},F9,I9,L9,O9),2)+LARGE(CHOOSE({1;2;3;4},F9,I9,L9,O9),3)</f>
        <v>9.6000000000000014</v>
      </c>
      <c r="S9" s="7">
        <f>LARGE(CHOOSE({1;2;3;4},G9,J9,M9,P9),1)+LARGE(CHOOSE({1;2;3;4},G9,J9,M9,P9),2)+LARGE(CHOOSE({1;2;3;4},G9,J9,M9,P9),3)</f>
        <v>27.85</v>
      </c>
      <c r="T9" s="7">
        <f>LARGE(CHOOSE({1;2;3;4},H9,K9,N9,Q9),1)+LARGE(CHOOSE({1;2;3;4},H9,K9,N9,Q9),2)+LARGE(CHOOSE({1;2;3;4},H9,K9,N9,Q9),3)</f>
        <v>37.25</v>
      </c>
      <c r="U9" s="4" cm="1">
        <f t="array" ref="U9">IF(VT[[#This Row],[Number_of_competition]:[Number_of_competition]]&gt;=3,(LARGE(CHOOSE({1;2;3;4},F9,I9,L9,O9),1)+LARGE(CHOOSE({1;2;3;4},F9,I9,L9,O9),2)+LARGE(CHOOSE({1;2;3;4},F9,I9,L9,O9),3))/3,0)</f>
        <v>3.2000000000000006</v>
      </c>
      <c r="V9" s="7" cm="1">
        <f t="array" ref="V9">IF(VT[[#This Row],[Number_of_competition]:[Number_of_competition]]&gt;=3,(LARGE(CHOOSE({1;2;3;4},G9,J9,M9,P9),1)+LARGE(CHOOSE({1;2;3;4},G9,J9,M9,P9),2)+LARGE(CHOOSE({1;2;3;4},G9,J9,M9,P9),3))/3,0)</f>
        <v>9.2833333333333332</v>
      </c>
      <c r="W9" s="7" cm="1">
        <f t="array" ref="W9">IF(VT[[#This Row],[Number_of_competition]:[Number_of_competition]]&gt;=3,(LARGE(CHOOSE({1;2;3;4},H9,K9,N9,Q9),1)+LARGE(CHOOSE({1;2;3;4},H9,K9,N9,Q9),2)+LARGE(CHOOSE({1;2;3;4},H9,K9,N9,Q9),3))/3,0)</f>
        <v>12.416666666666666</v>
      </c>
      <c r="Y9" s="42"/>
      <c r="Z9" s="20" t="s">
        <v>267</v>
      </c>
      <c r="AA9" s="22" cm="1">
        <f t="array" ref="AA9">SUM(_xlfn._xlws.FILTER(VT[bydgoszcz_VT_Escore],VT[Category]="junior"),_xlfn._xlws.FILTER(VT[zabrze_VT_Escore],VT[Category]="junior"),_xlfn._xlws.FILTER(VT[cracow_VT_Escore],VT[Category]="junior"),_xlfn._xlws.FILTER(VT[gdansk_VT_Escore],VT[Category]="junior"))/(COUNTIFS(VT[bydgoszcz_VT_Escore],"&gt;0",VT[Category],"junior")+COUNTIFS(VT[zabrze_VT_Escore],"&gt;0",VT[Category],"junior")+COUNTIFS(VT[cracow_VT_Escore],"&gt;0",VT[Category],"junior")+COUNTIFS(VT[gdansk_VT_Escore],"&gt;0",VT[Category],"junior"))</f>
        <v>8.6555555555555568</v>
      </c>
      <c r="AB9" s="22" cm="1">
        <f t="array" ref="AB9">_xlfn.STDEV.S(_xlfn._xlws.FILTER(VT[bydgoszcz_VT_Escore],(VT[Category]="junior")*(VT[bydgoszcz_VT_Escore])&gt;0),_xlfn._xlws.FILTER(VT[zabrze_VT_Escore],(VT[Category]="junior")*(VT[zabrze_VT_Escore])&gt;0),_xlfn._xlws.FILTER(VT[cracow_VT_Escore],(VT[Category]="junior")*(VT[cracow_VT_Escore])&gt;0),_xlfn._xlws.FILTER(VT[gdansk_VT_Escore],(VT[Category]="junior")*(VT[gdansk_VT_Escore])&gt;0))</f>
        <v>0.49560965569448912</v>
      </c>
      <c r="AC9" s="22" cm="1">
        <f t="array" ref="AC9">MAX(_xlfn._xlws.FILTER(VT[bydgoszcz_VT_Escore],VT[Category]="junior"),_xlfn._xlws.FILTER(VT[zabrze_VT_Escore],VT[Category]="junior"),_xlfn._xlws.FILTER(VT[cracow_VT_Escore],VT[Category]="junior"),_xlfn._xlws.FILTER(VT[gdansk_VT_Escore],VT[Category]="junior"))</f>
        <v>9.5</v>
      </c>
    </row>
    <row r="10" spans="1:29" x14ac:dyDescent="0.25">
      <c r="A10" t="s">
        <v>29</v>
      </c>
      <c r="B10" s="2" t="s">
        <v>26</v>
      </c>
      <c r="C10" s="2" t="s">
        <v>30</v>
      </c>
      <c r="D10" t="s">
        <v>31</v>
      </c>
      <c r="E10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10" s="4">
        <v>2.8</v>
      </c>
      <c r="G10" s="7">
        <v>8.6</v>
      </c>
      <c r="H10" s="7">
        <v>11.4</v>
      </c>
      <c r="I10" s="4">
        <v>4</v>
      </c>
      <c r="J10" s="7">
        <v>8.9499999999999993</v>
      </c>
      <c r="K10" s="7">
        <v>12.95</v>
      </c>
      <c r="L10" s="4">
        <v>0</v>
      </c>
      <c r="M10" s="7">
        <v>0</v>
      </c>
      <c r="N10" s="7">
        <v>0</v>
      </c>
      <c r="O10" s="4">
        <v>4</v>
      </c>
      <c r="P10" s="7">
        <v>8.6</v>
      </c>
      <c r="Q10" s="7">
        <v>12.6</v>
      </c>
      <c r="R10" s="4">
        <f>LARGE(CHOOSE({1;2;3;4},F10,I10,L10,O10),1)+LARGE(CHOOSE({1;2;3;4},F10,I10,L10,O10),2)+LARGE(CHOOSE({1;2;3;4},F10,I10,L10,O10),3)</f>
        <v>10.8</v>
      </c>
      <c r="S10" s="7">
        <f>LARGE(CHOOSE({1;2;3;4},G10,J10,M10,P10),1)+LARGE(CHOOSE({1;2;3;4},G10,J10,M10,P10),2)+LARGE(CHOOSE({1;2;3;4},G10,J10,M10,P10),3)</f>
        <v>26.15</v>
      </c>
      <c r="T10" s="7">
        <f>LARGE(CHOOSE({1;2;3;4},H10,K10,N10,Q10),1)+LARGE(CHOOSE({1;2;3;4},H10,K10,N10,Q10),2)+LARGE(CHOOSE({1;2;3;4},H10,K10,N10,Q10),3)</f>
        <v>36.949999999999996</v>
      </c>
      <c r="U10" s="4" cm="1">
        <f t="array" ref="U10">IF(VT[[#This Row],[Number_of_competition]:[Number_of_competition]]&gt;=3,(LARGE(CHOOSE({1;2;3;4},F10,I10,L10,O10),1)+LARGE(CHOOSE({1;2;3;4},F10,I10,L10,O10),2)+LARGE(CHOOSE({1;2;3;4},F10,I10,L10,O10),3))/3,0)</f>
        <v>3.6</v>
      </c>
      <c r="V10" s="7" cm="1">
        <f t="array" ref="V10">IF(VT[[#This Row],[Number_of_competition]:[Number_of_competition]]&gt;=3,(LARGE(CHOOSE({1;2;3;4},G10,J10,M10,P10),1)+LARGE(CHOOSE({1;2;3;4},G10,J10,M10,P10),2)+LARGE(CHOOSE({1;2;3;4},G10,J10,M10,P10),3))/3,0)</f>
        <v>8.7166666666666668</v>
      </c>
      <c r="W10" s="7" cm="1">
        <f t="array" ref="W10">IF(VT[[#This Row],[Number_of_competition]:[Number_of_competition]]&gt;=3,(LARGE(CHOOSE({1;2;3;4},H10,K10,N10,Q10),1)+LARGE(CHOOSE({1;2;3;4},H10,K10,N10,Q10),2)+LARGE(CHOOSE({1;2;3;4},H10,K10,N10,Q10),3))/3,0)</f>
        <v>12.316666666666665</v>
      </c>
      <c r="Y10" s="42"/>
      <c r="Z10" s="20" t="s">
        <v>268</v>
      </c>
      <c r="AA10" s="22" cm="1">
        <f t="array" ref="AA10">SUM(_xlfn._xlws.FILTER(VT[bydgoszcz_VT_Total_Score],VT[Category]="junior"),_xlfn._xlws.FILTER(VT[zabrze_VT_Total_Score],VT[Category]="junior"),_xlfn._xlws.FILTER(VT[cracow_VT_Total_Score],VT[Category]="junior"),_xlfn._xlws.FILTER(VT[gdansk_VT_Total_Score],VT[Category]="junior"))/(COUNTIFS(VT[bydgoszcz_VT_Total_Score],"&gt;0",VT[Category],"junior")+COUNTIFS(VT[zabrze_VT_Total_Score],"&gt;0",VT[Category],"junior")+COUNTIFS(VT[cracow_VT_Total_Score],"&gt;0",VT[Category],"junior")+COUNTIFS(VT[gdansk_VT_Total_Score],"&gt;0",VT[Category],"junior"))</f>
        <v>11.225925925925926</v>
      </c>
      <c r="AB10" s="22" cm="1">
        <f t="array" ref="AB10">_xlfn.STDEV.S(_xlfn._xlws.FILTER(VT[bydgoszcz_VT_Total_Score],(VT[Category]="junior")*(VT[bydgoszcz_VT_Total_Score])&gt;0),_xlfn._xlws.FILTER(VT[zabrze_VT_Total_Score],(VT[Category]="junior")*(VT[zabrze_VT_Total_Score])&gt;0),_xlfn._xlws.FILTER(VT[cracow_VT_Total_Score],(VT[Category]="junior")*(VT[cracow_VT_Total_Score])&gt;0),_xlfn._xlws.FILTER(VT[gdansk_VT_Total_Score],(VT[Category]="junior")*(VT[gdansk_VT_Total_Score])&gt;0))</f>
        <v>0.84394294387873836</v>
      </c>
      <c r="AC10" s="22" cm="1">
        <f t="array" ref="AC10">MAX(_xlfn._xlws.FILTER(VT[bydgoszcz_VT_Total_Score],VT[Category]="junior"),_xlfn._xlws.FILTER(VT[zabrze_VT_Total_Score],VT[Category]="junior"),_xlfn._xlws.FILTER(VT[cracow_VT_Total_Score],VT[Category]="junior"),_xlfn._xlws.FILTER(VT[gdansk_VT_Total_Score],VT[Category]="junior"))</f>
        <v>12.95</v>
      </c>
    </row>
    <row r="11" spans="1:29" x14ac:dyDescent="0.25">
      <c r="A11" t="s">
        <v>80</v>
      </c>
      <c r="B11" s="2" t="s">
        <v>60</v>
      </c>
      <c r="C11" s="2" t="s">
        <v>81</v>
      </c>
      <c r="D11" t="s">
        <v>62</v>
      </c>
      <c r="E11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1" s="4">
        <v>3.6</v>
      </c>
      <c r="G11" s="7">
        <v>8.4</v>
      </c>
      <c r="H11" s="7">
        <v>12</v>
      </c>
      <c r="I11" s="4">
        <v>3.6</v>
      </c>
      <c r="J11" s="7">
        <v>8.15</v>
      </c>
      <c r="K11" s="7">
        <v>11.75</v>
      </c>
      <c r="L11" s="4">
        <v>4</v>
      </c>
      <c r="M11" s="7">
        <v>8.65</v>
      </c>
      <c r="N11" s="7">
        <v>12.65</v>
      </c>
      <c r="O11" s="4">
        <v>2.4</v>
      </c>
      <c r="P11" s="7">
        <v>8.3000000000000007</v>
      </c>
      <c r="Q11" s="7">
        <v>10.7</v>
      </c>
      <c r="R11" s="4">
        <f>LARGE(CHOOSE({1;2;3;4},F11,I11,L11,O11),1)+LARGE(CHOOSE({1;2;3;4},F11,I11,L11,O11),2)+LARGE(CHOOSE({1;2;3;4},F11,I11,L11,O11),3)</f>
        <v>11.2</v>
      </c>
      <c r="S11" s="7">
        <f>LARGE(CHOOSE({1;2;3;4},G11,J11,M11,P11),1)+LARGE(CHOOSE({1;2;3;4},G11,J11,M11,P11),2)+LARGE(CHOOSE({1;2;3;4},G11,J11,M11,P11),3)</f>
        <v>25.35</v>
      </c>
      <c r="T11" s="7">
        <f>LARGE(CHOOSE({1;2;3;4},H11,K11,N11,Q11),1)+LARGE(CHOOSE({1;2;3;4},H11,K11,N11,Q11),2)+LARGE(CHOOSE({1;2;3;4},H11,K11,N11,Q11),3)</f>
        <v>36.4</v>
      </c>
      <c r="U11" s="4" cm="1">
        <f t="array" ref="U11">IF(VT[[#This Row],[Number_of_competition]:[Number_of_competition]]&gt;=3,(LARGE(CHOOSE({1;2;3;4},F11,I11,L11,O11),1)+LARGE(CHOOSE({1;2;3;4},F11,I11,L11,O11),2)+LARGE(CHOOSE({1;2;3;4},F11,I11,L11,O11),3))/3,0)</f>
        <v>3.7333333333333329</v>
      </c>
      <c r="V11" s="7" cm="1">
        <f t="array" ref="V11">IF(VT[[#This Row],[Number_of_competition]:[Number_of_competition]]&gt;=3,(LARGE(CHOOSE({1;2;3;4},G11,J11,M11,P11),1)+LARGE(CHOOSE({1;2;3;4},G11,J11,M11,P11),2)+LARGE(CHOOSE({1;2;3;4},G11,J11,M11,P11),3))/3,0)</f>
        <v>8.4500000000000011</v>
      </c>
      <c r="W11" s="7" cm="1">
        <f t="array" ref="W11">IF(VT[[#This Row],[Number_of_competition]:[Number_of_competition]]&gt;=3,(LARGE(CHOOSE({1;2;3;4},H11,K11,N11,Q11),1)+LARGE(CHOOSE({1;2;3;4},H11,K11,N11,Q11),2)+LARGE(CHOOSE({1;2;3;4},H11,K11,N11,Q11),3))/3,0)</f>
        <v>12.133333333333333</v>
      </c>
      <c r="Y11" s="42"/>
      <c r="Z11" s="20" t="s">
        <v>275</v>
      </c>
      <c r="AA11" s="21" cm="1">
        <f t="array" ref="AA11">SUM(_xlfn._xlws.FILTER(VT[Year_Dscore],(VT[Category]="junior")*(VT[Number_of_competition]&gt;=3))/COUNTIFS(VT[Number_of_competition],"&gt;=3",VT[Category],"junior"))</f>
        <v>7.8833333333333337</v>
      </c>
      <c r="AB11" s="21" cm="1">
        <f t="array" ref="AB11">_xlfn.STDEV.S(_xlfn._xlws.FILTER(VT[Year_Dscore],(VT[Category]="junior")*(VT[Number_of_competition]&gt;=3)))</f>
        <v>1.9935502061002695</v>
      </c>
      <c r="AC11" s="21" cm="1">
        <f t="array" ref="AC11">MAX(_xlfn._xlws.FILTER(VT[Year_Dscore],VT[Category]="junior"))</f>
        <v>10.8</v>
      </c>
    </row>
    <row r="12" spans="1:29" x14ac:dyDescent="0.25">
      <c r="A12" t="s">
        <v>40</v>
      </c>
      <c r="B12" s="2" t="s">
        <v>26</v>
      </c>
      <c r="C12" s="2" t="s">
        <v>41</v>
      </c>
      <c r="D12" t="s">
        <v>39</v>
      </c>
      <c r="E12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12" s="4">
        <v>0</v>
      </c>
      <c r="G12" s="7">
        <v>0</v>
      </c>
      <c r="H12" s="7">
        <v>0</v>
      </c>
      <c r="I12" s="4">
        <v>4</v>
      </c>
      <c r="J12" s="7">
        <v>7.95</v>
      </c>
      <c r="K12" s="7">
        <v>11.95</v>
      </c>
      <c r="L12" s="4">
        <v>4</v>
      </c>
      <c r="M12" s="7">
        <v>8.8000000000000007</v>
      </c>
      <c r="N12" s="7">
        <v>12.8</v>
      </c>
      <c r="O12" s="4">
        <v>2.8</v>
      </c>
      <c r="P12" s="7">
        <v>8.6</v>
      </c>
      <c r="Q12" s="7">
        <v>11.4</v>
      </c>
      <c r="R12" s="4">
        <f>LARGE(CHOOSE({1;2;3;4},F12,I12,L12,O12),1)+LARGE(CHOOSE({1;2;3;4},F12,I12,L12,O12),2)+LARGE(CHOOSE({1;2;3;4},F12,I12,L12,O12),3)</f>
        <v>10.8</v>
      </c>
      <c r="S12" s="7">
        <f>LARGE(CHOOSE({1;2;3;4},G12,J12,M12,P12),1)+LARGE(CHOOSE({1;2;3;4},G12,J12,M12,P12),2)+LARGE(CHOOSE({1;2;3;4},G12,J12,M12,P12),3)</f>
        <v>25.349999999999998</v>
      </c>
      <c r="T12" s="7">
        <f>LARGE(CHOOSE({1;2;3;4},H12,K12,N12,Q12),1)+LARGE(CHOOSE({1;2;3;4},H12,K12,N12,Q12),2)+LARGE(CHOOSE({1;2;3;4},H12,K12,N12,Q12),3)</f>
        <v>36.15</v>
      </c>
      <c r="U12" s="4" cm="1">
        <f t="array" ref="U12">IF(VT[[#This Row],[Number_of_competition]:[Number_of_competition]]&gt;=3,(LARGE(CHOOSE({1;2;3;4},F12,I12,L12,O12),1)+LARGE(CHOOSE({1;2;3;4},F12,I12,L12,O12),2)+LARGE(CHOOSE({1;2;3;4},F12,I12,L12,O12),3))/3,0)</f>
        <v>3.6</v>
      </c>
      <c r="V12" s="7" cm="1">
        <f t="array" ref="V12">IF(VT[[#This Row],[Number_of_competition]:[Number_of_competition]]&gt;=3,(LARGE(CHOOSE({1;2;3;4},G12,J12,M12,P12),1)+LARGE(CHOOSE({1;2;3;4},G12,J12,M12,P12),2)+LARGE(CHOOSE({1;2;3;4},G12,J12,M12,P12),3))/3,0)</f>
        <v>8.4499999999999993</v>
      </c>
      <c r="W12" s="7" cm="1">
        <f t="array" ref="W12">IF(VT[[#This Row],[Number_of_competition]:[Number_of_competition]]&gt;=3,(LARGE(CHOOSE({1;2;3;4},H12,K12,N12,Q12),1)+LARGE(CHOOSE({1;2;3;4},H12,K12,N12,Q12),2)+LARGE(CHOOSE({1;2;3;4},H12,K12,N12,Q12),3))/3,0)</f>
        <v>12.049999999999999</v>
      </c>
      <c r="Y12" s="42"/>
      <c r="Z12" s="20" t="s">
        <v>276</v>
      </c>
      <c r="AA12" s="22" cm="1">
        <f t="array" ref="AA12">SUM(_xlfn._xlws.FILTER(VT[Year_Escore],(VT[Category]="junior")*(VT[Number_of_competition]&gt;=3))/COUNTIFS(VT[Number_of_competition],"&gt;=3",VT[Category],"junior"))</f>
        <v>26.416666666666671</v>
      </c>
      <c r="AB12" s="22" cm="1">
        <f t="array" ref="AB12">_xlfn.STDEV.S(_xlfn._xlws.FILTER(VT[Year_Escore],(VT[Category]="junior")*(VT[Number_of_competition]&gt;=3)))</f>
        <v>0.73525917920557926</v>
      </c>
      <c r="AC12" s="22" cm="1">
        <f t="array" ref="AC12">MAX(_xlfn._xlws.FILTER(VT[Year_Escore],VT[Category]="junior"))</f>
        <v>27.65</v>
      </c>
    </row>
    <row r="13" spans="1:29" x14ac:dyDescent="0.25">
      <c r="A13" t="s">
        <v>77</v>
      </c>
      <c r="B13" s="2" t="s">
        <v>60</v>
      </c>
      <c r="C13" s="2" t="s">
        <v>78</v>
      </c>
      <c r="D13" t="s">
        <v>79</v>
      </c>
      <c r="E13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3" s="4">
        <v>3.6</v>
      </c>
      <c r="G13" s="7">
        <v>7.8</v>
      </c>
      <c r="H13" s="7">
        <v>11.4</v>
      </c>
      <c r="I13" s="4">
        <v>3.2</v>
      </c>
      <c r="J13" s="7">
        <v>9.15</v>
      </c>
      <c r="K13" s="7">
        <v>12.35</v>
      </c>
      <c r="L13" s="4">
        <v>3.2</v>
      </c>
      <c r="M13" s="7">
        <v>9.0500000000000007</v>
      </c>
      <c r="N13" s="7">
        <v>12.25</v>
      </c>
      <c r="O13" s="4">
        <v>3.2</v>
      </c>
      <c r="P13" s="7">
        <v>8.3000000000000007</v>
      </c>
      <c r="Q13" s="7">
        <v>11.5</v>
      </c>
      <c r="R13" s="4">
        <f>LARGE(CHOOSE({1;2;3;4},F13,I13,L13,O13),1)+LARGE(CHOOSE({1;2;3;4},F13,I13,L13,O13),2)+LARGE(CHOOSE({1;2;3;4},F13,I13,L13,O13),3)</f>
        <v>10</v>
      </c>
      <c r="S13" s="7">
        <f>LARGE(CHOOSE({1;2;3;4},G13,J13,M13,P13),1)+LARGE(CHOOSE({1;2;3;4},G13,J13,M13,P13),2)+LARGE(CHOOSE({1;2;3;4},G13,J13,M13,P13),3)</f>
        <v>26.500000000000004</v>
      </c>
      <c r="T13" s="7">
        <f>LARGE(CHOOSE({1;2;3;4},H13,K13,N13,Q13),1)+LARGE(CHOOSE({1;2;3;4},H13,K13,N13,Q13),2)+LARGE(CHOOSE({1;2;3;4},H13,K13,N13,Q13),3)</f>
        <v>36.1</v>
      </c>
      <c r="U13" s="4" cm="1">
        <f t="array" ref="U13">IF(VT[[#This Row],[Number_of_competition]:[Number_of_competition]]&gt;=3,(LARGE(CHOOSE({1;2;3;4},F13,I13,L13,O13),1)+LARGE(CHOOSE({1;2;3;4},F13,I13,L13,O13),2)+LARGE(CHOOSE({1;2;3;4},F13,I13,L13,O13),3))/3,0)</f>
        <v>3.3333333333333335</v>
      </c>
      <c r="V13" s="7" cm="1">
        <f t="array" ref="V13">IF(VT[[#This Row],[Number_of_competition]:[Number_of_competition]]&gt;=3,(LARGE(CHOOSE({1;2;3;4},G13,J13,M13,P13),1)+LARGE(CHOOSE({1;2;3;4},G13,J13,M13,P13),2)+LARGE(CHOOSE({1;2;3;4},G13,J13,M13,P13),3))/3,0)</f>
        <v>8.8333333333333339</v>
      </c>
      <c r="W13" s="7" cm="1">
        <f t="array" ref="W13">IF(VT[[#This Row],[Number_of_competition]:[Number_of_competition]]&gt;=3,(LARGE(CHOOSE({1;2;3;4},H13,K13,N13,Q13),1)+LARGE(CHOOSE({1;2;3;4},H13,K13,N13,Q13),2)+LARGE(CHOOSE({1;2;3;4},H13,K13,N13,Q13),3))/3,0)</f>
        <v>12.033333333333333</v>
      </c>
      <c r="Y13" s="43"/>
      <c r="Z13" s="20" t="s">
        <v>277</v>
      </c>
      <c r="AA13" s="22" cm="1">
        <f t="array" ref="AA13">SUM(_xlfn._xlws.FILTER(VT[Year_Total_Score],(VT[Category]="junior")*(VT[Number_of_competition]&gt;=3))/COUNTIFS(VT[Number_of_competition],"&gt;=3",VT[Category],"junior"))</f>
        <v>34.133333333333333</v>
      </c>
      <c r="AB13" s="22" cm="1">
        <f t="array" ref="AB13">_xlfn.STDEV.S(_xlfn._xlws.FILTER(VT[Year_Total_Score],(VT[Category]="junior")*(VT[Number_of_competition]&gt;=3)))</f>
        <v>1.9981051630042499</v>
      </c>
      <c r="AC13" s="22" cm="1">
        <f t="array" ref="AC13">MAX(_xlfn._xlws.FILTER(VT[Year_Total_Score],VT[Category]="junior"))</f>
        <v>37.25</v>
      </c>
    </row>
    <row r="14" spans="1:29" x14ac:dyDescent="0.25">
      <c r="A14" t="s">
        <v>42</v>
      </c>
      <c r="B14" s="2" t="s">
        <v>26</v>
      </c>
      <c r="C14" s="2" t="s">
        <v>43</v>
      </c>
      <c r="D14" t="s">
        <v>36</v>
      </c>
      <c r="E14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4" s="4">
        <v>4</v>
      </c>
      <c r="G14" s="7">
        <v>7.9</v>
      </c>
      <c r="H14" s="7">
        <v>11.9</v>
      </c>
      <c r="I14" s="4">
        <v>2.8</v>
      </c>
      <c r="J14" s="7">
        <v>9.0500000000000007</v>
      </c>
      <c r="K14" s="7">
        <v>11.85</v>
      </c>
      <c r="L14" s="4">
        <v>2.8</v>
      </c>
      <c r="M14" s="7">
        <v>9.1999999999999993</v>
      </c>
      <c r="N14" s="7">
        <v>12</v>
      </c>
      <c r="O14" s="4">
        <v>2.8</v>
      </c>
      <c r="P14" s="7">
        <v>8.4</v>
      </c>
      <c r="Q14" s="7">
        <v>11.2</v>
      </c>
      <c r="R14" s="4">
        <f>LARGE(CHOOSE({1;2;3;4},F14,I14,L14,O14),1)+LARGE(CHOOSE({1;2;3;4},F14,I14,L14,O14),2)+LARGE(CHOOSE({1;2;3;4},F14,I14,L14,O14),3)</f>
        <v>9.6</v>
      </c>
      <c r="S14" s="7">
        <f>LARGE(CHOOSE({1;2;3;4},G14,J14,M14,P14),1)+LARGE(CHOOSE({1;2;3;4},G14,J14,M14,P14),2)+LARGE(CHOOSE({1;2;3;4},G14,J14,M14,P14),3)</f>
        <v>26.65</v>
      </c>
      <c r="T14" s="7">
        <f>LARGE(CHOOSE({1;2;3;4},H14,K14,N14,Q14),1)+LARGE(CHOOSE({1;2;3;4},H14,K14,N14,Q14),2)+LARGE(CHOOSE({1;2;3;4},H14,K14,N14,Q14),3)</f>
        <v>35.75</v>
      </c>
      <c r="U14" s="4" cm="1">
        <f t="array" ref="U14">IF(VT[[#This Row],[Number_of_competition]:[Number_of_competition]]&gt;=3,(LARGE(CHOOSE({1;2;3;4},F14,I14,L14,O14),1)+LARGE(CHOOSE({1;2;3;4},F14,I14,L14,O14),2)+LARGE(CHOOSE({1;2;3;4},F14,I14,L14,O14),3))/3,0)</f>
        <v>3.1999999999999997</v>
      </c>
      <c r="V14" s="7" cm="1">
        <f t="array" ref="V14">IF(VT[[#This Row],[Number_of_competition]:[Number_of_competition]]&gt;=3,(LARGE(CHOOSE({1;2;3;4},G14,J14,M14,P14),1)+LARGE(CHOOSE({1;2;3;4},G14,J14,M14,P14),2)+LARGE(CHOOSE({1;2;3;4},G14,J14,M14,P14),3))/3,0)</f>
        <v>8.8833333333333329</v>
      </c>
      <c r="W14" s="7" cm="1">
        <f t="array" ref="W14">IF(VT[[#This Row],[Number_of_competition]:[Number_of_competition]]&gt;=3,(LARGE(CHOOSE({1;2;3;4},H14,K14,N14,Q14),1)+LARGE(CHOOSE({1;2;3;4},H14,K14,N14,Q14),2)+LARGE(CHOOSE({1;2;3;4},H14,K14,N14,Q14),3))/3,0)</f>
        <v>11.916666666666666</v>
      </c>
    </row>
    <row r="15" spans="1:29" x14ac:dyDescent="0.25">
      <c r="A15" t="s">
        <v>44</v>
      </c>
      <c r="B15" s="2" t="s">
        <v>26</v>
      </c>
      <c r="C15" s="2" t="s">
        <v>45</v>
      </c>
      <c r="D15" t="s">
        <v>39</v>
      </c>
      <c r="E15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5" s="4">
        <v>2.8</v>
      </c>
      <c r="G15" s="7">
        <v>8.5</v>
      </c>
      <c r="H15" s="7">
        <v>11.3</v>
      </c>
      <c r="I15" s="4">
        <v>2.4</v>
      </c>
      <c r="J15" s="7">
        <v>8.9</v>
      </c>
      <c r="K15" s="7">
        <v>11.3</v>
      </c>
      <c r="L15" s="4">
        <v>2.8</v>
      </c>
      <c r="M15" s="7">
        <v>8.75</v>
      </c>
      <c r="N15" s="7">
        <v>11.55</v>
      </c>
      <c r="O15" s="4">
        <v>2.4</v>
      </c>
      <c r="P15" s="7">
        <v>8.4</v>
      </c>
      <c r="Q15" s="7">
        <v>10.8</v>
      </c>
      <c r="R15" s="4">
        <f>LARGE(CHOOSE({1;2;3;4},F15,I15,L15,O15),1)+LARGE(CHOOSE({1;2;3;4},F15,I15,L15,O15),2)+LARGE(CHOOSE({1;2;3;4},F15,I15,L15,O15),3)</f>
        <v>8</v>
      </c>
      <c r="S15" s="7">
        <f>LARGE(CHOOSE({1;2;3;4},G15,J15,M15,P15),1)+LARGE(CHOOSE({1;2;3;4},G15,J15,M15,P15),2)+LARGE(CHOOSE({1;2;3;4},G15,J15,M15,P15),3)</f>
        <v>26.15</v>
      </c>
      <c r="T15" s="7">
        <f>LARGE(CHOOSE({1;2;3;4},H15,K15,N15,Q15),1)+LARGE(CHOOSE({1;2;3;4},H15,K15,N15,Q15),2)+LARGE(CHOOSE({1;2;3;4},H15,K15,N15,Q15),3)</f>
        <v>34.150000000000006</v>
      </c>
      <c r="U15" s="4" cm="1">
        <f t="array" ref="U15">IF(VT[[#This Row],[Number_of_competition]:[Number_of_competition]]&gt;=3,(LARGE(CHOOSE({1;2;3;4},F15,I15,L15,O15),1)+LARGE(CHOOSE({1;2;3;4},F15,I15,L15,O15),2)+LARGE(CHOOSE({1;2;3;4},F15,I15,L15,O15),3))/3,0)</f>
        <v>2.6666666666666665</v>
      </c>
      <c r="V15" s="7" cm="1">
        <f t="array" ref="V15">IF(VT[[#This Row],[Number_of_competition]:[Number_of_competition]]&gt;=3,(LARGE(CHOOSE({1;2;3;4},G15,J15,M15,P15),1)+LARGE(CHOOSE({1;2;3;4},G15,J15,M15,P15),2)+LARGE(CHOOSE({1;2;3;4},G15,J15,M15,P15),3))/3,0)</f>
        <v>8.7166666666666668</v>
      </c>
      <c r="W15" s="7" cm="1">
        <f t="array" ref="W15">IF(VT[[#This Row],[Number_of_competition]:[Number_of_competition]]&gt;=3,(LARGE(CHOOSE({1;2;3;4},H15,K15,N15,Q15),1)+LARGE(CHOOSE({1;2;3;4},H15,K15,N15,Q15),2)+LARGE(CHOOSE({1;2;3;4},H15,K15,N15,Q15),3))/3,0)</f>
        <v>11.383333333333335</v>
      </c>
      <c r="Y15" s="28" t="s">
        <v>296</v>
      </c>
    </row>
    <row r="16" spans="1:29" x14ac:dyDescent="0.25">
      <c r="A16" t="s">
        <v>25</v>
      </c>
      <c r="B16" s="2" t="s">
        <v>26</v>
      </c>
      <c r="C16" s="2" t="s">
        <v>27</v>
      </c>
      <c r="D16" t="s">
        <v>28</v>
      </c>
      <c r="E16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6" s="4">
        <v>2.2000000000000002</v>
      </c>
      <c r="G16" s="7">
        <v>9.4</v>
      </c>
      <c r="H16" s="7">
        <v>11.6</v>
      </c>
      <c r="I16" s="4">
        <v>2.2000000000000002</v>
      </c>
      <c r="J16" s="7">
        <v>9.0500000000000007</v>
      </c>
      <c r="K16" s="7">
        <v>11.25</v>
      </c>
      <c r="L16" s="4">
        <v>2.2000000000000002</v>
      </c>
      <c r="M16" s="7">
        <v>9.0500000000000007</v>
      </c>
      <c r="N16" s="7">
        <v>11.25</v>
      </c>
      <c r="O16" s="4">
        <v>2.2000000000000002</v>
      </c>
      <c r="P16" s="7">
        <v>8.3000000000000007</v>
      </c>
      <c r="Q16" s="7">
        <v>10.5</v>
      </c>
      <c r="R16" s="4">
        <f>LARGE(CHOOSE({1;2;3;4},F16,I16,L16,O16),1)+LARGE(CHOOSE({1;2;3;4},F16,I16,L16,O16),2)+LARGE(CHOOSE({1;2;3;4},F16,I16,L16,O16),3)</f>
        <v>6.6000000000000005</v>
      </c>
      <c r="S16" s="7">
        <f>LARGE(CHOOSE({1;2;3;4},G16,J16,M16,P16),1)+LARGE(CHOOSE({1;2;3;4},G16,J16,M16,P16),2)+LARGE(CHOOSE({1;2;3;4},G16,J16,M16,P16),3)</f>
        <v>27.500000000000004</v>
      </c>
      <c r="T16" s="7">
        <f>LARGE(CHOOSE({1;2;3;4},H16,K16,N16,Q16),1)+LARGE(CHOOSE({1;2;3;4},H16,K16,N16,Q16),2)+LARGE(CHOOSE({1;2;3;4},H16,K16,N16,Q16),3)</f>
        <v>34.1</v>
      </c>
      <c r="U16" s="4" cm="1">
        <f t="array" ref="U16">IF(VT[[#This Row],[Number_of_competition]:[Number_of_competition]]&gt;=3,(LARGE(CHOOSE({1;2;3;4},F16,I16,L16,O16),1)+LARGE(CHOOSE({1;2;3;4},F16,I16,L16,O16),2)+LARGE(CHOOSE({1;2;3;4},F16,I16,L16,O16),3))/3,0)</f>
        <v>2.2000000000000002</v>
      </c>
      <c r="V16" s="7" cm="1">
        <f t="array" ref="V16">IF(VT[[#This Row],[Number_of_competition]:[Number_of_competition]]&gt;=3,(LARGE(CHOOSE({1;2;3;4},G16,J16,M16,P16),1)+LARGE(CHOOSE({1;2;3;4},G16,J16,M16,P16),2)+LARGE(CHOOSE({1;2;3;4},G16,J16,M16,P16),3))/3,0)</f>
        <v>9.1666666666666679</v>
      </c>
      <c r="W16" s="7" cm="1">
        <f t="array" ref="W16">IF(VT[[#This Row],[Number_of_competition]:[Number_of_competition]]&gt;=3,(LARGE(CHOOSE({1;2;3;4},H16,K16,N16,Q16),1)+LARGE(CHOOSE({1;2;3;4},H16,K16,N16,Q16),2)+LARGE(CHOOSE({1;2;3;4},H16,K16,N16,Q16),3))/3,0)</f>
        <v>11.366666666666667</v>
      </c>
      <c r="Y16" s="29" t="s">
        <v>297</v>
      </c>
    </row>
    <row r="17" spans="1:25" x14ac:dyDescent="0.25">
      <c r="A17" t="s">
        <v>37</v>
      </c>
      <c r="B17" s="2" t="s">
        <v>26</v>
      </c>
      <c r="C17" s="2" t="s">
        <v>38</v>
      </c>
      <c r="D17" t="s">
        <v>39</v>
      </c>
      <c r="E17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7" s="4">
        <v>2.4</v>
      </c>
      <c r="G17" s="7">
        <v>8.85</v>
      </c>
      <c r="H17" s="7">
        <v>11.25</v>
      </c>
      <c r="I17" s="4">
        <v>3.2</v>
      </c>
      <c r="J17" s="7">
        <v>8.6</v>
      </c>
      <c r="K17" s="7">
        <v>11.8</v>
      </c>
      <c r="L17" s="4">
        <v>2.4</v>
      </c>
      <c r="M17" s="7">
        <v>8.3000000000000007</v>
      </c>
      <c r="N17" s="7">
        <v>10.7</v>
      </c>
      <c r="O17" s="4">
        <v>2.4</v>
      </c>
      <c r="P17" s="7">
        <v>8.1999999999999993</v>
      </c>
      <c r="Q17" s="7">
        <v>10.6</v>
      </c>
      <c r="R17" s="4">
        <f>LARGE(CHOOSE({1;2;3;4},F17,I17,L17,O17),1)+LARGE(CHOOSE({1;2;3;4},F17,I17,L17,O17),2)+LARGE(CHOOSE({1;2;3;4},F17,I17,L17,O17),3)</f>
        <v>8</v>
      </c>
      <c r="S17" s="7">
        <f>LARGE(CHOOSE({1;2;3;4},G17,J17,M17,P17),1)+LARGE(CHOOSE({1;2;3;4},G17,J17,M17,P17),2)+LARGE(CHOOSE({1;2;3;4},G17,J17,M17,P17),3)</f>
        <v>25.75</v>
      </c>
      <c r="T17" s="7">
        <f>LARGE(CHOOSE({1;2;3;4},H17,K17,N17,Q17),1)+LARGE(CHOOSE({1;2;3;4},H17,K17,N17,Q17),2)+LARGE(CHOOSE({1;2;3;4},H17,K17,N17,Q17),3)</f>
        <v>33.75</v>
      </c>
      <c r="U17" s="4" cm="1">
        <f t="array" ref="U17">IF(VT[[#This Row],[Number_of_competition]:[Number_of_competition]]&gt;=3,(LARGE(CHOOSE({1;2;3;4},F17,I17,L17,O17),1)+LARGE(CHOOSE({1;2;3;4},F17,I17,L17,O17),2)+LARGE(CHOOSE({1;2;3;4},F17,I17,L17,O17),3))/3,0)</f>
        <v>2.6666666666666665</v>
      </c>
      <c r="V17" s="7" cm="1">
        <f t="array" ref="V17">IF(VT[[#This Row],[Number_of_competition]:[Number_of_competition]]&gt;=3,(LARGE(CHOOSE({1;2;3;4},G17,J17,M17,P17),1)+LARGE(CHOOSE({1;2;3;4},G17,J17,M17,P17),2)+LARGE(CHOOSE({1;2;3;4},G17,J17,M17,P17),3))/3,0)</f>
        <v>8.5833333333333339</v>
      </c>
      <c r="W17" s="7" cm="1">
        <f t="array" ref="W17">IF(VT[[#This Row],[Number_of_competition]:[Number_of_competition]]&gt;=3,(LARGE(CHOOSE({1;2;3;4},H17,K17,N17,Q17),1)+LARGE(CHOOSE({1;2;3;4},H17,K17,N17,Q17),2)+LARGE(CHOOSE({1;2;3;4},H17,K17,N17,Q17),3))/3,0)</f>
        <v>11.25</v>
      </c>
      <c r="Y17" s="30" t="s">
        <v>298</v>
      </c>
    </row>
    <row r="18" spans="1:25" x14ac:dyDescent="0.25">
      <c r="A18" t="s">
        <v>34</v>
      </c>
      <c r="B18" s="2" t="s">
        <v>26</v>
      </c>
      <c r="C18" s="2" t="s">
        <v>35</v>
      </c>
      <c r="D18" t="s">
        <v>36</v>
      </c>
      <c r="E18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8" s="4">
        <v>1.6</v>
      </c>
      <c r="G18" s="7">
        <v>8.8000000000000007</v>
      </c>
      <c r="H18" s="7">
        <v>10.4</v>
      </c>
      <c r="I18" s="4">
        <v>2.4</v>
      </c>
      <c r="J18" s="7">
        <v>8.9</v>
      </c>
      <c r="K18" s="7">
        <v>11.3</v>
      </c>
      <c r="L18" s="4">
        <v>3.2</v>
      </c>
      <c r="M18" s="7">
        <v>8.6999999999999993</v>
      </c>
      <c r="N18" s="7">
        <v>11.9</v>
      </c>
      <c r="O18" s="4">
        <v>2.4</v>
      </c>
      <c r="P18" s="7">
        <v>7.2</v>
      </c>
      <c r="Q18" s="7">
        <v>9.6</v>
      </c>
      <c r="R18" s="4">
        <f>LARGE(CHOOSE({1;2;3;4},F18,I18,L18,O18),1)+LARGE(CHOOSE({1;2;3;4},F18,I18,L18,O18),2)+LARGE(CHOOSE({1;2;3;4},F18,I18,L18,O18),3)</f>
        <v>8</v>
      </c>
      <c r="S18" s="7">
        <f>LARGE(CHOOSE({1;2;3;4},G18,J18,M18,P18),1)+LARGE(CHOOSE({1;2;3;4},G18,J18,M18,P18),2)+LARGE(CHOOSE({1;2;3;4},G18,J18,M18,P18),3)</f>
        <v>26.400000000000002</v>
      </c>
      <c r="T18" s="7">
        <f>LARGE(CHOOSE({1;2;3;4},H18,K18,N18,Q18),1)+LARGE(CHOOSE({1;2;3;4},H18,K18,N18,Q18),2)+LARGE(CHOOSE({1;2;3;4},H18,K18,N18,Q18),3)</f>
        <v>33.6</v>
      </c>
      <c r="U18" s="4" cm="1">
        <f t="array" ref="U18">IF(VT[[#This Row],[Number_of_competition]:[Number_of_competition]]&gt;=3,(LARGE(CHOOSE({1;2;3;4},F18,I18,L18,O18),1)+LARGE(CHOOSE({1;2;3;4},F18,I18,L18,O18),2)+LARGE(CHOOSE({1;2;3;4},F18,I18,L18,O18),3))/3,0)</f>
        <v>2.6666666666666665</v>
      </c>
      <c r="V18" s="7" cm="1">
        <f t="array" ref="V18">IF(VT[[#This Row],[Number_of_competition]:[Number_of_competition]]&gt;=3,(LARGE(CHOOSE({1;2;3;4},G18,J18,M18,P18),1)+LARGE(CHOOSE({1;2;3;4},G18,J18,M18,P18),2)+LARGE(CHOOSE({1;2;3;4},G18,J18,M18,P18),3))/3,0)</f>
        <v>8.8000000000000007</v>
      </c>
      <c r="W18" s="7" cm="1">
        <f t="array" ref="W18">IF(VT[[#This Row],[Number_of_competition]:[Number_of_competition]]&gt;=3,(LARGE(CHOOSE({1;2;3;4},H18,K18,N18,Q18),1)+LARGE(CHOOSE({1;2;3;4},H18,K18,N18,Q18),2)+LARGE(CHOOSE({1;2;3;4},H18,K18,N18,Q18),3))/3,0)</f>
        <v>11.200000000000001</v>
      </c>
      <c r="Y18" s="31" t="s">
        <v>300</v>
      </c>
    </row>
    <row r="19" spans="1:25" x14ac:dyDescent="0.25">
      <c r="A19" t="s">
        <v>48</v>
      </c>
      <c r="B19" s="2" t="s">
        <v>26</v>
      </c>
      <c r="C19" s="2" t="s">
        <v>49</v>
      </c>
      <c r="D19" t="s">
        <v>36</v>
      </c>
      <c r="E19" s="6">
        <f>COUNTIF(VT[[#This Row],[bydgoszcz_VT_Total_Score]],"&gt;0")+COUNTIF(VT[[#This Row],[zabrze_VT_Total_Score]],"&gt;0")+COUNTIF(VT[[#This Row],[cracow_VT_Total_Score]],"&gt;0")+COUNTIF(VT[[#This Row],[gdansk_VT_Total_Score]],"&gt;0")</f>
        <v>4</v>
      </c>
      <c r="F19" s="4">
        <v>2.4</v>
      </c>
      <c r="G19" s="7">
        <v>7.8</v>
      </c>
      <c r="H19" s="7">
        <v>10.199999999999999</v>
      </c>
      <c r="I19" s="4">
        <v>1.6</v>
      </c>
      <c r="J19" s="7">
        <v>9.5</v>
      </c>
      <c r="K19" s="7">
        <v>11.1</v>
      </c>
      <c r="L19" s="4">
        <v>2.4</v>
      </c>
      <c r="M19" s="7">
        <v>8.85</v>
      </c>
      <c r="N19" s="7">
        <v>11.25</v>
      </c>
      <c r="O19" s="4">
        <v>1.6</v>
      </c>
      <c r="P19" s="7">
        <v>8.5</v>
      </c>
      <c r="Q19" s="7">
        <v>10.1</v>
      </c>
      <c r="R19" s="4">
        <f>LARGE(CHOOSE({1;2;3;4},F19,I19,L19,O19),1)+LARGE(CHOOSE({1;2;3;4},F19,I19,L19,O19),2)+LARGE(CHOOSE({1;2;3;4},F19,I19,L19,O19),3)</f>
        <v>6.4</v>
      </c>
      <c r="S19" s="7">
        <f>LARGE(CHOOSE({1;2;3;4},G19,J19,M19,P19),1)+LARGE(CHOOSE({1;2;3;4},G19,J19,M19,P19),2)+LARGE(CHOOSE({1;2;3;4},G19,J19,M19,P19),3)</f>
        <v>26.85</v>
      </c>
      <c r="T19" s="7">
        <f>LARGE(CHOOSE({1;2;3;4},H19,K19,N19,Q19),1)+LARGE(CHOOSE({1;2;3;4},H19,K19,N19,Q19),2)+LARGE(CHOOSE({1;2;3;4},H19,K19,N19,Q19),3)</f>
        <v>32.549999999999997</v>
      </c>
      <c r="U19" s="4" cm="1">
        <f t="array" ref="U19">IF(VT[[#This Row],[Number_of_competition]:[Number_of_competition]]&gt;=3,(LARGE(CHOOSE({1;2;3;4},F19,I19,L19,O19),1)+LARGE(CHOOSE({1;2;3;4},F19,I19,L19,O19),2)+LARGE(CHOOSE({1;2;3;4},F19,I19,L19,O19),3))/3,0)</f>
        <v>2.1333333333333333</v>
      </c>
      <c r="V19" s="7" cm="1">
        <f t="array" ref="V19">IF(VT[[#This Row],[Number_of_competition]:[Number_of_competition]]&gt;=3,(LARGE(CHOOSE({1;2;3;4},G19,J19,M19,P19),1)+LARGE(CHOOSE({1;2;3;4},G19,J19,M19,P19),2)+LARGE(CHOOSE({1;2;3;4},G19,J19,M19,P19),3))/3,0)</f>
        <v>8.9500000000000011</v>
      </c>
      <c r="W19" s="7" cm="1">
        <f t="array" ref="W19">IF(VT[[#This Row],[Number_of_competition]:[Number_of_competition]]&gt;=3,(LARGE(CHOOSE({1;2;3;4},H19,K19,N19,Q19),1)+LARGE(CHOOSE({1;2;3;4},H19,K19,N19,Q19),2)+LARGE(CHOOSE({1;2;3;4},H19,K19,N19,Q19),3))/3,0)</f>
        <v>10.85</v>
      </c>
      <c r="Y19" s="32" t="s">
        <v>299</v>
      </c>
    </row>
    <row r="20" spans="1:25" x14ac:dyDescent="0.25">
      <c r="A20" t="s">
        <v>114</v>
      </c>
      <c r="B20" s="2" t="s">
        <v>26</v>
      </c>
      <c r="C20" s="2" t="s">
        <v>115</v>
      </c>
      <c r="D20" t="s">
        <v>36</v>
      </c>
      <c r="E20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20" s="4">
        <v>2.4</v>
      </c>
      <c r="G20" s="7">
        <v>8.8000000000000007</v>
      </c>
      <c r="H20" s="7">
        <v>11.2</v>
      </c>
      <c r="I20" s="4">
        <v>0</v>
      </c>
      <c r="J20" s="7">
        <v>0</v>
      </c>
      <c r="K20" s="7">
        <v>0</v>
      </c>
      <c r="L20" s="4">
        <v>1.6</v>
      </c>
      <c r="M20" s="7">
        <v>8.8000000000000007</v>
      </c>
      <c r="N20" s="7">
        <v>10.4</v>
      </c>
      <c r="O20" s="4">
        <v>1.6</v>
      </c>
      <c r="P20" s="7">
        <v>8.8000000000000007</v>
      </c>
      <c r="Q20" s="7">
        <v>10.4</v>
      </c>
      <c r="R20" s="4">
        <f>LARGE(CHOOSE({1;2;3;4},F20,I20,L20,O20),1)+LARGE(CHOOSE({1;2;3;4},F20,I20,L20,O20),2)+LARGE(CHOOSE({1;2;3;4},F20,I20,L20,O20),3)</f>
        <v>5.6</v>
      </c>
      <c r="S20" s="7">
        <f>LARGE(CHOOSE({1;2;3;4},G20,J20,M20,P20),1)+LARGE(CHOOSE({1;2;3;4},G20,J20,M20,P20),2)+LARGE(CHOOSE({1;2;3;4},G20,J20,M20,P20),3)</f>
        <v>26.400000000000002</v>
      </c>
      <c r="T20" s="7">
        <f>LARGE(CHOOSE({1;2;3;4},H20,K20,N20,Q20),1)+LARGE(CHOOSE({1;2;3;4},H20,K20,N20,Q20),2)+LARGE(CHOOSE({1;2;3;4},H20,K20,N20,Q20),3)</f>
        <v>32</v>
      </c>
      <c r="U20" s="4" cm="1">
        <f t="array" ref="U20">IF(VT[[#This Row],[Number_of_competition]:[Number_of_competition]]&gt;=3,(LARGE(CHOOSE({1;2;3;4},F20,I20,L20,O20),1)+LARGE(CHOOSE({1;2;3;4},F20,I20,L20,O20),2)+LARGE(CHOOSE({1;2;3;4},F20,I20,L20,O20),3))/3,0)</f>
        <v>1.8666666666666665</v>
      </c>
      <c r="V20" s="7" cm="1">
        <f t="array" ref="V20">IF(VT[[#This Row],[Number_of_competition]:[Number_of_competition]]&gt;=3,(LARGE(CHOOSE({1;2;3;4},G20,J20,M20,P20),1)+LARGE(CHOOSE({1;2;3;4},G20,J20,M20,P20),2)+LARGE(CHOOSE({1;2;3;4},G20,J20,M20,P20),3))/3,0)</f>
        <v>8.8000000000000007</v>
      </c>
      <c r="W20" s="7" cm="1">
        <f t="array" ref="W20">IF(VT[[#This Row],[Number_of_competition]:[Number_of_competition]]&gt;=3,(LARGE(CHOOSE({1;2;3;4},H20,K20,N20,Q20),1)+LARGE(CHOOSE({1;2;3;4},H20,K20,N20,Q20),2)+LARGE(CHOOSE({1;2;3;4},H20,K20,N20,Q20),3))/3,0)</f>
        <v>10.666666666666666</v>
      </c>
      <c r="Y20" s="33" t="s">
        <v>252</v>
      </c>
    </row>
    <row r="21" spans="1:25" x14ac:dyDescent="0.25">
      <c r="A21" t="s">
        <v>52</v>
      </c>
      <c r="B21" s="2" t="s">
        <v>26</v>
      </c>
      <c r="C21" s="2" t="s">
        <v>53</v>
      </c>
      <c r="D21" t="s">
        <v>36</v>
      </c>
      <c r="E21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21" s="4">
        <v>2.4</v>
      </c>
      <c r="G21" s="7">
        <v>7.7</v>
      </c>
      <c r="H21" s="7">
        <v>10.1</v>
      </c>
      <c r="I21" s="4">
        <v>0</v>
      </c>
      <c r="J21" s="7">
        <v>0</v>
      </c>
      <c r="K21" s="7">
        <v>0</v>
      </c>
      <c r="L21" s="4">
        <v>1.6</v>
      </c>
      <c r="M21" s="7">
        <v>9.4499999999999993</v>
      </c>
      <c r="N21" s="7">
        <v>11.05</v>
      </c>
      <c r="O21" s="4">
        <v>2.4</v>
      </c>
      <c r="P21" s="7">
        <v>8.1999999999999993</v>
      </c>
      <c r="Q21" s="7">
        <v>10.6</v>
      </c>
      <c r="R21" s="4">
        <f>LARGE(CHOOSE({1;2;3;4},F21,I21,L21,O21),1)+LARGE(CHOOSE({1;2;3;4},F21,I21,L21,O21),2)+LARGE(CHOOSE({1;2;3;4},F21,I21,L21,O21),3)</f>
        <v>6.4</v>
      </c>
      <c r="S21" s="7">
        <f>LARGE(CHOOSE({1;2;3;4},G21,J21,M21,P21),1)+LARGE(CHOOSE({1;2;3;4},G21,J21,M21,P21),2)+LARGE(CHOOSE({1;2;3;4},G21,J21,M21,P21),3)</f>
        <v>25.349999999999998</v>
      </c>
      <c r="T21" s="7">
        <f>LARGE(CHOOSE({1;2;3;4},H21,K21,N21,Q21),1)+LARGE(CHOOSE({1;2;3;4},H21,K21,N21,Q21),2)+LARGE(CHOOSE({1;2;3;4},H21,K21,N21,Q21),3)</f>
        <v>31.75</v>
      </c>
      <c r="U21" s="4" cm="1">
        <f t="array" ref="U21">IF(VT[[#This Row],[Number_of_competition]:[Number_of_competition]]&gt;=3,(LARGE(CHOOSE({1;2;3;4},F21,I21,L21,O21),1)+LARGE(CHOOSE({1;2;3;4},F21,I21,L21,O21),2)+LARGE(CHOOSE({1;2;3;4},F21,I21,L21,O21),3))/3,0)</f>
        <v>2.1333333333333333</v>
      </c>
      <c r="V21" s="7" cm="1">
        <f t="array" ref="V21">IF(VT[[#This Row],[Number_of_competition]:[Number_of_competition]]&gt;=3,(LARGE(CHOOSE({1;2;3;4},G21,J21,M21,P21),1)+LARGE(CHOOSE({1;2;3;4},G21,J21,M21,P21),2)+LARGE(CHOOSE({1;2;3;4},G21,J21,M21,P21),3))/3,0)</f>
        <v>8.4499999999999993</v>
      </c>
      <c r="W21" s="7" cm="1">
        <f t="array" ref="W21">IF(VT[[#This Row],[Number_of_competition]:[Number_of_competition]]&gt;=3,(LARGE(CHOOSE({1;2;3;4},H21,K21,N21,Q21),1)+LARGE(CHOOSE({1;2;3;4},H21,K21,N21,Q21),2)+LARGE(CHOOSE({1;2;3;4},H21,K21,N21,Q21),3))/3,0)</f>
        <v>10.583333333333334</v>
      </c>
      <c r="Y21" s="34" t="s">
        <v>301</v>
      </c>
    </row>
    <row r="22" spans="1:25" x14ac:dyDescent="0.25">
      <c r="A22" t="s">
        <v>46</v>
      </c>
      <c r="B22" s="2" t="s">
        <v>26</v>
      </c>
      <c r="C22" s="2" t="s">
        <v>47</v>
      </c>
      <c r="D22" t="s">
        <v>36</v>
      </c>
      <c r="E22" s="6">
        <f>COUNTIF(VT[[#This Row],[bydgoszcz_VT_Total_Score]],"&gt;0")+COUNTIF(VT[[#This Row],[zabrze_VT_Total_Score]],"&gt;0")+COUNTIF(VT[[#This Row],[cracow_VT_Total_Score]],"&gt;0")+COUNTIF(VT[[#This Row],[gdansk_VT_Total_Score]],"&gt;0")</f>
        <v>3</v>
      </c>
      <c r="F22" s="4">
        <v>0</v>
      </c>
      <c r="G22" s="7">
        <v>0</v>
      </c>
      <c r="H22" s="7">
        <v>0</v>
      </c>
      <c r="I22" s="4">
        <v>1.6</v>
      </c>
      <c r="J22" s="7">
        <v>9</v>
      </c>
      <c r="K22" s="7">
        <v>10.6</v>
      </c>
      <c r="L22" s="4">
        <v>1.6</v>
      </c>
      <c r="M22" s="7">
        <v>9</v>
      </c>
      <c r="N22" s="7">
        <v>10.6</v>
      </c>
      <c r="O22" s="4">
        <v>1.6</v>
      </c>
      <c r="P22" s="7">
        <v>8.8000000000000007</v>
      </c>
      <c r="Q22" s="7">
        <v>10.4</v>
      </c>
      <c r="R22" s="4">
        <f>LARGE(CHOOSE({1;2;3;4},F22,I22,L22,O22),1)+LARGE(CHOOSE({1;2;3;4},F22,I22,L22,O22),2)+LARGE(CHOOSE({1;2;3;4},F22,I22,L22,O22),3)</f>
        <v>4.8000000000000007</v>
      </c>
      <c r="S22" s="7">
        <f>LARGE(CHOOSE({1;2;3;4},G22,J22,M22,P22),1)+LARGE(CHOOSE({1;2;3;4},G22,J22,M22,P22),2)+LARGE(CHOOSE({1;2;3;4},G22,J22,M22,P22),3)</f>
        <v>26.8</v>
      </c>
      <c r="T22" s="7">
        <f>LARGE(CHOOSE({1;2;3;4},H22,K22,N22,Q22),1)+LARGE(CHOOSE({1;2;3;4},H22,K22,N22,Q22),2)+LARGE(CHOOSE({1;2;3;4},H22,K22,N22,Q22),3)</f>
        <v>31.6</v>
      </c>
      <c r="U22" s="4" cm="1">
        <f t="array" ref="U22">IF(VT[[#This Row],[Number_of_competition]:[Number_of_competition]]&gt;=3,(LARGE(CHOOSE({1;2;3;4},F22,I22,L22,O22),1)+LARGE(CHOOSE({1;2;3;4},F22,I22,L22,O22),2)+LARGE(CHOOSE({1;2;3;4},F22,I22,L22,O22),3))/3,0)</f>
        <v>1.6000000000000003</v>
      </c>
      <c r="V22" s="7" cm="1">
        <f t="array" ref="V22">IF(VT[[#This Row],[Number_of_competition]:[Number_of_competition]]&gt;=3,(LARGE(CHOOSE({1;2;3;4},G22,J22,M22,P22),1)+LARGE(CHOOSE({1;2;3;4},G22,J22,M22,P22),2)+LARGE(CHOOSE({1;2;3;4},G22,J22,M22,P22),3))/3,0)</f>
        <v>8.9333333333333336</v>
      </c>
      <c r="W22" s="7" cm="1">
        <f t="array" ref="W22">IF(VT[[#This Row],[Number_of_competition]:[Number_of_competition]]&gt;=3,(LARGE(CHOOSE({1;2;3;4},H22,K22,N22,Q22),1)+LARGE(CHOOSE({1;2;3;4},H22,K22,N22,Q22),2)+LARGE(CHOOSE({1;2;3;4},H22,K22,N22,Q22),3))/3,0)</f>
        <v>10.533333333333333</v>
      </c>
      <c r="Y22" s="37" t="s">
        <v>304</v>
      </c>
    </row>
    <row r="23" spans="1:25" x14ac:dyDescent="0.25">
      <c r="A23" t="s">
        <v>92</v>
      </c>
      <c r="B23" s="2" t="s">
        <v>60</v>
      </c>
      <c r="C23" s="2" t="s">
        <v>93</v>
      </c>
      <c r="D23" t="s">
        <v>39</v>
      </c>
      <c r="E23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3" s="4">
        <v>0</v>
      </c>
      <c r="G23" s="7">
        <v>0</v>
      </c>
      <c r="H23" s="7">
        <v>0</v>
      </c>
      <c r="I23" s="4">
        <v>4</v>
      </c>
      <c r="J23" s="7">
        <v>8.9</v>
      </c>
      <c r="K23" s="7">
        <v>12.9</v>
      </c>
      <c r="L23" s="4">
        <v>4.4000000000000004</v>
      </c>
      <c r="M23" s="7">
        <v>9.35</v>
      </c>
      <c r="N23" s="7">
        <v>13.75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8.4</v>
      </c>
      <c r="S23" s="7">
        <f>LARGE(CHOOSE({1;2;3;4},G23,J23,M23,P23),1)+LARGE(CHOOSE({1;2;3;4},G23,J23,M23,P23),2)+LARGE(CHOOSE({1;2;3;4},G23,J23,M23,P23),3)</f>
        <v>18.25</v>
      </c>
      <c r="T23" s="7">
        <f>LARGE(CHOOSE({1;2;3;4},H23,K23,N23,Q23),1)+LARGE(CHOOSE({1;2;3;4},H23,K23,N23,Q23),2)+LARGE(CHOOSE({1;2;3;4},H23,K23,N23,Q23),3)</f>
        <v>26.65</v>
      </c>
      <c r="U23" s="4" cm="1">
        <f t="array" ref="U23">IF(VT[[#This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IF(VT[[#This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IF(VT[[#This Row],[Number_of_competition]:[Number_of_competition]]&gt;=3,(LARGE(CHOOSE({1;2;3;4},H23,K23,N23,Q23),1)+LARGE(CHOOSE({1;2;3;4},H23,K23,N23,Q23),2)+LARGE(CHOOSE({1;2;3;4},H23,K23,N23,Q23),3))/3,0)</f>
        <v>0</v>
      </c>
      <c r="Y23" s="35" t="s">
        <v>302</v>
      </c>
    </row>
    <row r="24" spans="1:25" x14ac:dyDescent="0.25">
      <c r="A24" t="s">
        <v>116</v>
      </c>
      <c r="B24" s="2" t="s">
        <v>60</v>
      </c>
      <c r="C24" s="2" t="s">
        <v>117</v>
      </c>
      <c r="D24" t="s">
        <v>62</v>
      </c>
      <c r="E24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4" s="4">
        <v>0</v>
      </c>
      <c r="G24" s="7">
        <v>0</v>
      </c>
      <c r="H24" s="7">
        <v>0</v>
      </c>
      <c r="I24" s="4">
        <v>0</v>
      </c>
      <c r="J24" s="7">
        <v>0</v>
      </c>
      <c r="K24" s="7">
        <v>0</v>
      </c>
      <c r="L24" s="4">
        <v>5.2</v>
      </c>
      <c r="M24" s="7">
        <v>8.1</v>
      </c>
      <c r="N24" s="7">
        <v>13.3</v>
      </c>
      <c r="O24" s="4">
        <v>5.2</v>
      </c>
      <c r="P24" s="7">
        <v>8</v>
      </c>
      <c r="Q24" s="7">
        <v>13.2</v>
      </c>
      <c r="R24" s="4">
        <f>LARGE(CHOOSE({1;2;3;4},F24,I24,L24,O24),1)+LARGE(CHOOSE({1;2;3;4},F24,I24,L24,O24),2)+LARGE(CHOOSE({1;2;3;4},F24,I24,L24,O24),3)</f>
        <v>10.4</v>
      </c>
      <c r="S24" s="7">
        <f>LARGE(CHOOSE({1;2;3;4},G24,J24,M24,P24),1)+LARGE(CHOOSE({1;2;3;4},G24,J24,M24,P24),2)+LARGE(CHOOSE({1;2;3;4},G24,J24,M24,P24),3)</f>
        <v>16.100000000000001</v>
      </c>
      <c r="T24" s="7">
        <f>LARGE(CHOOSE({1;2;3;4},H24,K24,N24,Q24),1)+LARGE(CHOOSE({1;2;3;4},H24,K24,N24,Q24),2)+LARGE(CHOOSE({1;2;3;4},H24,K24,N24,Q24),3)</f>
        <v>26.5</v>
      </c>
      <c r="U24" s="4" cm="1">
        <f t="array" ref="U24">IF(VT[[#This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IF(VT[[#This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IF(VT[[#This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</row>
    <row r="25" spans="1:25" x14ac:dyDescent="0.25">
      <c r="A25" t="s">
        <v>70</v>
      </c>
      <c r="B25" s="2" t="s">
        <v>60</v>
      </c>
      <c r="C25" s="2" t="s">
        <v>71</v>
      </c>
      <c r="D25" t="s">
        <v>72</v>
      </c>
      <c r="E25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5" s="4">
        <v>0</v>
      </c>
      <c r="G25" s="7">
        <v>0</v>
      </c>
      <c r="H25" s="7">
        <v>0</v>
      </c>
      <c r="I25" s="4">
        <v>5.2</v>
      </c>
      <c r="J25" s="7">
        <v>8.25</v>
      </c>
      <c r="K25" s="7">
        <v>13.45</v>
      </c>
      <c r="L25" s="4">
        <v>5.2</v>
      </c>
      <c r="M25" s="7">
        <v>7.65</v>
      </c>
      <c r="N25" s="7">
        <v>12.85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10.4</v>
      </c>
      <c r="S25" s="7">
        <f>LARGE(CHOOSE({1;2;3;4},G25,J25,M25,P25),1)+LARGE(CHOOSE({1;2;3;4},G25,J25,M25,P25),2)+LARGE(CHOOSE({1;2;3;4},G25,J25,M25,P25),3)</f>
        <v>15.9</v>
      </c>
      <c r="T25" s="7">
        <f>LARGE(CHOOSE({1;2;3;4},H25,K25,N25,Q25),1)+LARGE(CHOOSE({1;2;3;4},H25,K25,N25,Q25),2)+LARGE(CHOOSE({1;2;3;4},H25,K25,N25,Q25),3)</f>
        <v>26.299999999999997</v>
      </c>
      <c r="U25" s="4" cm="1">
        <f t="array" ref="U25">IF(VT[[#This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IF(VT[[#This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IF(VT[[#This Row],[Number_of_competition]:[Number_of_competition]]&gt;=3,(LARGE(CHOOSE({1;2;3;4},H25,K25,N25,Q25),1)+LARGE(CHOOSE({1;2;3;4},H25,K25,N25,Q25),2)+LARGE(CHOOSE({1;2;3;4},H25,K25,N25,Q25),3))/3,0)</f>
        <v>0</v>
      </c>
    </row>
    <row r="26" spans="1:25" x14ac:dyDescent="0.25">
      <c r="A26" t="s">
        <v>127</v>
      </c>
      <c r="B26" s="2" t="s">
        <v>60</v>
      </c>
      <c r="C26" s="2" t="s">
        <v>128</v>
      </c>
      <c r="D26" t="s">
        <v>72</v>
      </c>
      <c r="E26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6" s="4">
        <v>4</v>
      </c>
      <c r="G26" s="7">
        <v>9</v>
      </c>
      <c r="H26" s="7">
        <v>13</v>
      </c>
      <c r="I26" s="4">
        <v>0</v>
      </c>
      <c r="J26" s="7">
        <v>0</v>
      </c>
      <c r="K26" s="7">
        <v>0</v>
      </c>
      <c r="L26" s="4">
        <v>4</v>
      </c>
      <c r="M26" s="7">
        <v>9.15</v>
      </c>
      <c r="N26" s="7">
        <v>13.15</v>
      </c>
      <c r="O26" s="4">
        <v>0</v>
      </c>
      <c r="P26" s="7">
        <v>0</v>
      </c>
      <c r="Q26" s="7">
        <v>0</v>
      </c>
      <c r="R26" s="4">
        <f>LARGE(CHOOSE({1;2;3;4},F26,I26,L26,O26),1)+LARGE(CHOOSE({1;2;3;4},F26,I26,L26,O26),2)+LARGE(CHOOSE({1;2;3;4},F26,I26,L26,O26),3)</f>
        <v>8</v>
      </c>
      <c r="S26" s="7">
        <f>LARGE(CHOOSE({1;2;3;4},G26,J26,M26,P26),1)+LARGE(CHOOSE({1;2;3;4},G26,J26,M26,P26),2)+LARGE(CHOOSE({1;2;3;4},G26,J26,M26,P26),3)</f>
        <v>18.149999999999999</v>
      </c>
      <c r="T26" s="7">
        <f>LARGE(CHOOSE({1;2;3;4},H26,K26,N26,Q26),1)+LARGE(CHOOSE({1;2;3;4},H26,K26,N26,Q26),2)+LARGE(CHOOSE({1;2;3;4},H26,K26,N26,Q26),3)</f>
        <v>26.15</v>
      </c>
      <c r="U26" s="4" cm="1">
        <f t="array" ref="U26">IF(VT[[#This Row],[Number_of_competition]:[Number_of_competition]]&gt;=3,(LARGE(CHOOSE({1;2;3;4},F26,I26,L26,O26),1)+LARGE(CHOOSE({1;2;3;4},F26,I26,L26,O26),2)+LARGE(CHOOSE({1;2;3;4},F26,I26,L26,O26),3))/3,0)</f>
        <v>0</v>
      </c>
      <c r="V26" s="7" cm="1">
        <f t="array" ref="V26">IF(VT[[#This Row],[Number_of_competition]:[Number_of_competition]]&gt;=3,(LARGE(CHOOSE({1;2;3;4},G26,J26,M26,P26),1)+LARGE(CHOOSE({1;2;3;4},G26,J26,M26,P26),2)+LARGE(CHOOSE({1;2;3;4},G26,J26,M26,P26),3))/3,0)</f>
        <v>0</v>
      </c>
      <c r="W26" s="7" cm="1">
        <f t="array" ref="W26">IF(VT[[#This Row],[Number_of_competition]:[Number_of_competition]]&gt;=3,(LARGE(CHOOSE({1;2;3;4},H26,K26,N26,Q26),1)+LARGE(CHOOSE({1;2;3;4},H26,K26,N26,Q26),2)+LARGE(CHOOSE({1;2;3;4},H26,K26,N26,Q26),3))/3,0)</f>
        <v>0</v>
      </c>
    </row>
    <row r="27" spans="1:25" x14ac:dyDescent="0.25">
      <c r="A27" t="s">
        <v>65</v>
      </c>
      <c r="B27" s="2" t="s">
        <v>60</v>
      </c>
      <c r="C27" s="2" t="s">
        <v>66</v>
      </c>
      <c r="D27" t="s">
        <v>67</v>
      </c>
      <c r="E27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7" s="4">
        <v>0</v>
      </c>
      <c r="G27" s="7">
        <v>0</v>
      </c>
      <c r="H27" s="7">
        <v>0</v>
      </c>
      <c r="I27" s="4">
        <v>4</v>
      </c>
      <c r="J27" s="7">
        <v>9.1</v>
      </c>
      <c r="K27" s="7">
        <v>13.1</v>
      </c>
      <c r="L27" s="4">
        <v>0</v>
      </c>
      <c r="M27" s="7">
        <v>0</v>
      </c>
      <c r="N27" s="7">
        <v>0</v>
      </c>
      <c r="O27" s="4">
        <v>4</v>
      </c>
      <c r="P27" s="7">
        <v>8.6999999999999993</v>
      </c>
      <c r="Q27" s="7">
        <v>12.7</v>
      </c>
      <c r="R27" s="4">
        <f>LARGE(CHOOSE({1;2;3;4},F27,I27,L27,O27),1)+LARGE(CHOOSE({1;2;3;4},F27,I27,L27,O27),2)+LARGE(CHOOSE({1;2;3;4},F27,I27,L27,O27),3)</f>
        <v>8</v>
      </c>
      <c r="S27" s="7">
        <f>LARGE(CHOOSE({1;2;3;4},G27,J27,M27,P27),1)+LARGE(CHOOSE({1;2;3;4},G27,J27,M27,P27),2)+LARGE(CHOOSE({1;2;3;4},G27,J27,M27,P27),3)</f>
        <v>17.799999999999997</v>
      </c>
      <c r="T27" s="7">
        <f>LARGE(CHOOSE({1;2;3;4},H27,K27,N27,Q27),1)+LARGE(CHOOSE({1;2;3;4},H27,K27,N27,Q27),2)+LARGE(CHOOSE({1;2;3;4},H27,K27,N27,Q27),3)</f>
        <v>25.799999999999997</v>
      </c>
      <c r="U27" s="4" cm="1">
        <f t="array" ref="U27">IF(VT[[#This Row],[Number_of_competition]:[Number_of_competition]]&gt;=3,(LARGE(CHOOSE({1;2;3;4},F27,I27,L27,O27),1)+LARGE(CHOOSE({1;2;3;4},F27,I27,L27,O27),2)+LARGE(CHOOSE({1;2;3;4},F27,I27,L27,O27),3))/3,0)</f>
        <v>0</v>
      </c>
      <c r="V27" s="7" cm="1">
        <f t="array" ref="V27">IF(VT[[#This Row],[Number_of_competition]:[Number_of_competition]]&gt;=3,(LARGE(CHOOSE({1;2;3;4},G27,J27,M27,P27),1)+LARGE(CHOOSE({1;2;3;4},G27,J27,M27,P27),2)+LARGE(CHOOSE({1;2;3;4},G27,J27,M27,P27),3))/3,0)</f>
        <v>0</v>
      </c>
      <c r="W27" s="7" cm="1">
        <f t="array" ref="W27">IF(VT[[#This Row],[Number_of_competition]:[Number_of_competition]]&gt;=3,(LARGE(CHOOSE({1;2;3;4},H27,K27,N27,Q27),1)+LARGE(CHOOSE({1;2;3;4},H27,K27,N27,Q27),2)+LARGE(CHOOSE({1;2;3;4},H27,K27,N27,Q27),3))/3,0)</f>
        <v>0</v>
      </c>
    </row>
    <row r="28" spans="1:25" x14ac:dyDescent="0.25">
      <c r="A28" t="s">
        <v>112</v>
      </c>
      <c r="B28" s="2" t="s">
        <v>26</v>
      </c>
      <c r="C28" s="2" t="s">
        <v>113</v>
      </c>
      <c r="D28" t="s">
        <v>31</v>
      </c>
      <c r="E28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8" s="4">
        <v>4</v>
      </c>
      <c r="G28" s="7">
        <v>8.5</v>
      </c>
      <c r="H28" s="7">
        <v>12.5</v>
      </c>
      <c r="I28" s="4">
        <v>0</v>
      </c>
      <c r="J28" s="7">
        <v>0</v>
      </c>
      <c r="K28" s="7">
        <v>0</v>
      </c>
      <c r="L28" s="4">
        <v>0</v>
      </c>
      <c r="M28" s="7">
        <v>0</v>
      </c>
      <c r="N28" s="7">
        <v>0</v>
      </c>
      <c r="O28" s="4">
        <v>4</v>
      </c>
      <c r="P28" s="7">
        <v>8.9</v>
      </c>
      <c r="Q28" s="7">
        <v>12.9</v>
      </c>
      <c r="R28" s="4">
        <f>LARGE(CHOOSE({1;2;3;4},F28,I28,L28,O28),1)+LARGE(CHOOSE({1;2;3;4},F28,I28,L28,O28),2)+LARGE(CHOOSE({1;2;3;4},F28,I28,L28,O28),3)</f>
        <v>8</v>
      </c>
      <c r="S28" s="7">
        <f>LARGE(CHOOSE({1;2;3;4},G28,J28,M28,P28),1)+LARGE(CHOOSE({1;2;3;4},G28,J28,M28,P28),2)+LARGE(CHOOSE({1;2;3;4},G28,J28,M28,P28),3)</f>
        <v>17.399999999999999</v>
      </c>
      <c r="T28" s="7">
        <f>LARGE(CHOOSE({1;2;3;4},H28,K28,N28,Q28),1)+LARGE(CHOOSE({1;2;3;4},H28,K28,N28,Q28),2)+LARGE(CHOOSE({1;2;3;4},H28,K28,N28,Q28),3)</f>
        <v>25.4</v>
      </c>
      <c r="U28" s="4" cm="1">
        <f t="array" ref="U28">IF(VT[[#This Row],[Number_of_competition]:[Number_of_competition]]&gt;=3,(LARGE(CHOOSE({1;2;3;4},F28,I28,L28,O28),1)+LARGE(CHOOSE({1;2;3;4},F28,I28,L28,O28),2)+LARGE(CHOOSE({1;2;3;4},F28,I28,L28,O28),3))/3,0)</f>
        <v>0</v>
      </c>
      <c r="V28" s="7" cm="1">
        <f t="array" ref="V28">IF(VT[[#This Row],[Number_of_competition]:[Number_of_competition]]&gt;=3,(LARGE(CHOOSE({1;2;3;4},G28,J28,M28,P28),1)+LARGE(CHOOSE({1;2;3;4},G28,J28,M28,P28),2)+LARGE(CHOOSE({1;2;3;4},G28,J28,M28,P28),3))/3,0)</f>
        <v>0</v>
      </c>
      <c r="W28" s="7" cm="1">
        <f t="array" ref="W28">IF(VT[[#This Row],[Number_of_competition]:[Number_of_competition]]&gt;=3,(LARGE(CHOOSE({1;2;3;4},H28,K28,N28,Q28),1)+LARGE(CHOOSE({1;2;3;4},H28,K28,N28,Q28),2)+LARGE(CHOOSE({1;2;3;4},H28,K28,N28,Q28),3))/3,0)</f>
        <v>0</v>
      </c>
    </row>
    <row r="29" spans="1:25" x14ac:dyDescent="0.25">
      <c r="A29" t="s">
        <v>75</v>
      </c>
      <c r="B29" s="2" t="s">
        <v>60</v>
      </c>
      <c r="C29" s="2" t="s">
        <v>76</v>
      </c>
      <c r="D29" t="s">
        <v>28</v>
      </c>
      <c r="E29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29" s="4">
        <v>0</v>
      </c>
      <c r="G29" s="7">
        <v>0</v>
      </c>
      <c r="H29" s="7">
        <v>0</v>
      </c>
      <c r="I29" s="4">
        <v>3.2</v>
      </c>
      <c r="J29" s="7">
        <v>9.4499999999999993</v>
      </c>
      <c r="K29" s="7">
        <v>12.65</v>
      </c>
      <c r="L29" s="4">
        <v>3.2</v>
      </c>
      <c r="M29" s="7">
        <v>9.0500000000000007</v>
      </c>
      <c r="N29" s="7">
        <v>12.25</v>
      </c>
      <c r="O29" s="4">
        <v>0</v>
      </c>
      <c r="P29" s="7">
        <v>0</v>
      </c>
      <c r="Q29" s="7">
        <v>0</v>
      </c>
      <c r="R29" s="4">
        <f>LARGE(CHOOSE({1;2;3;4},F29,I29,L29,O29),1)+LARGE(CHOOSE({1;2;3;4},F29,I29,L29,O29),2)+LARGE(CHOOSE({1;2;3;4},F29,I29,L29,O29),3)</f>
        <v>6.4</v>
      </c>
      <c r="S29" s="7">
        <f>LARGE(CHOOSE({1;2;3;4},G29,J29,M29,P29),1)+LARGE(CHOOSE({1;2;3;4},G29,J29,M29,P29),2)+LARGE(CHOOSE({1;2;3;4},G29,J29,M29,P29),3)</f>
        <v>18.5</v>
      </c>
      <c r="T29" s="7">
        <f>LARGE(CHOOSE({1;2;3;4},H29,K29,N29,Q29),1)+LARGE(CHOOSE({1;2;3;4},H29,K29,N29,Q29),2)+LARGE(CHOOSE({1;2;3;4},H29,K29,N29,Q29),3)</f>
        <v>24.9</v>
      </c>
      <c r="U29" s="4" cm="1">
        <f t="array" ref="U29">IF(VT[[#This Row],[Number_of_competition]:[Number_of_competition]]&gt;=3,(LARGE(CHOOSE({1;2;3;4},F29,I29,L29,O29),1)+LARGE(CHOOSE({1;2;3;4},F29,I29,L29,O29),2)+LARGE(CHOOSE({1;2;3;4},F29,I29,L29,O29),3))/3,0)</f>
        <v>0</v>
      </c>
      <c r="V29" s="7" cm="1">
        <f t="array" ref="V29">IF(VT[[#This Row],[Number_of_competition]:[Number_of_competition]]&gt;=3,(LARGE(CHOOSE({1;2;3;4},G29,J29,M29,P29),1)+LARGE(CHOOSE({1;2;3;4},G29,J29,M29,P29),2)+LARGE(CHOOSE({1;2;3;4},G29,J29,M29,P29),3))/3,0)</f>
        <v>0</v>
      </c>
      <c r="W29" s="7" cm="1">
        <f t="array" ref="W29">IF(VT[[#This Row],[Number_of_competition]:[Number_of_competition]]&gt;=3,(LARGE(CHOOSE({1;2;3;4},H29,K29,N29,Q29),1)+LARGE(CHOOSE({1;2;3;4},H29,K29,N29,Q29),2)+LARGE(CHOOSE({1;2;3;4},H29,K29,N29,Q29),3))/3,0)</f>
        <v>0</v>
      </c>
    </row>
    <row r="30" spans="1:25" x14ac:dyDescent="0.25">
      <c r="A30" t="s">
        <v>94</v>
      </c>
      <c r="B30" s="2" t="s">
        <v>60</v>
      </c>
      <c r="C30" s="2" t="s">
        <v>95</v>
      </c>
      <c r="D30" t="s">
        <v>72</v>
      </c>
      <c r="E30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0" s="4">
        <v>0</v>
      </c>
      <c r="G30" s="7">
        <v>0</v>
      </c>
      <c r="H30" s="7">
        <v>0</v>
      </c>
      <c r="I30" s="4">
        <v>2.8</v>
      </c>
      <c r="J30" s="7">
        <v>9.4</v>
      </c>
      <c r="K30" s="7">
        <v>12.2</v>
      </c>
      <c r="L30" s="4">
        <v>2.8</v>
      </c>
      <c r="M30" s="7">
        <v>9.1</v>
      </c>
      <c r="N30" s="7">
        <v>11.9</v>
      </c>
      <c r="O30" s="4">
        <v>0</v>
      </c>
      <c r="P30" s="7">
        <v>0</v>
      </c>
      <c r="Q30" s="7">
        <v>0</v>
      </c>
      <c r="R30" s="4">
        <f>LARGE(CHOOSE({1;2;3;4},F30,I30,L30,O30),1)+LARGE(CHOOSE({1;2;3;4},F30,I30,L30,O30),2)+LARGE(CHOOSE({1;2;3;4},F30,I30,L30,O30),3)</f>
        <v>5.6</v>
      </c>
      <c r="S30" s="7">
        <f>LARGE(CHOOSE({1;2;3;4},G30,J30,M30,P30),1)+LARGE(CHOOSE({1;2;3;4},G30,J30,M30,P30),2)+LARGE(CHOOSE({1;2;3;4},G30,J30,M30,P30),3)</f>
        <v>18.5</v>
      </c>
      <c r="T30" s="7">
        <f>LARGE(CHOOSE({1;2;3;4},H30,K30,N30,Q30),1)+LARGE(CHOOSE({1;2;3;4},H30,K30,N30,Q30),2)+LARGE(CHOOSE({1;2;3;4},H30,K30,N30,Q30),3)</f>
        <v>24.1</v>
      </c>
      <c r="U30" s="4" cm="1">
        <f t="array" ref="U30">IF(VT[[#This Row],[Number_of_competition]:[Number_of_competition]]&gt;=3,(LARGE(CHOOSE({1;2;3;4},F30,I30,L30,O30),1)+LARGE(CHOOSE({1;2;3;4},F30,I30,L30,O30),2)+LARGE(CHOOSE({1;2;3;4},F30,I30,L30,O30),3))/3,0)</f>
        <v>0</v>
      </c>
      <c r="V30" s="7" cm="1">
        <f t="array" ref="V30">IF(VT[[#This Row],[Number_of_competition]:[Number_of_competition]]&gt;=3,(LARGE(CHOOSE({1;2;3;4},G30,J30,M30,P30),1)+LARGE(CHOOSE({1;2;3;4},G30,J30,M30,P30),2)+LARGE(CHOOSE({1;2;3;4},G30,J30,M30,P30),3))/3,0)</f>
        <v>0</v>
      </c>
      <c r="W30" s="7" cm="1">
        <f t="array" ref="W30">IF(VT[[#This Row],[Number_of_competition]:[Number_of_competition]]&gt;=3,(LARGE(CHOOSE({1;2;3;4},H30,K30,N30,Q30),1)+LARGE(CHOOSE({1;2;3;4},H30,K30,N30,Q30),2)+LARGE(CHOOSE({1;2;3;4},H30,K30,N30,Q30),3))/3,0)</f>
        <v>0</v>
      </c>
    </row>
    <row r="31" spans="1:25" x14ac:dyDescent="0.25">
      <c r="A31" t="s">
        <v>86</v>
      </c>
      <c r="B31" s="2" t="s">
        <v>60</v>
      </c>
      <c r="C31" s="2" t="s">
        <v>87</v>
      </c>
      <c r="D31" t="s">
        <v>72</v>
      </c>
      <c r="E31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1" s="4">
        <v>2.8</v>
      </c>
      <c r="G31" s="7">
        <v>9.1999999999999993</v>
      </c>
      <c r="H31" s="7">
        <v>12</v>
      </c>
      <c r="I31" s="4">
        <v>0</v>
      </c>
      <c r="J31" s="7">
        <v>0</v>
      </c>
      <c r="K31" s="7">
        <v>0</v>
      </c>
      <c r="L31" s="4">
        <v>0</v>
      </c>
      <c r="M31" s="7">
        <v>0</v>
      </c>
      <c r="N31" s="7">
        <v>0</v>
      </c>
      <c r="O31" s="4">
        <v>2.8</v>
      </c>
      <c r="P31" s="7">
        <v>8.3000000000000007</v>
      </c>
      <c r="Q31" s="7">
        <v>11.1</v>
      </c>
      <c r="R31" s="4">
        <f>LARGE(CHOOSE({1;2;3;4},F31,I31,L31,O31),1)+LARGE(CHOOSE({1;2;3;4},F31,I31,L31,O31),2)+LARGE(CHOOSE({1;2;3;4},F31,I31,L31,O31),3)</f>
        <v>5.6</v>
      </c>
      <c r="S31" s="7">
        <f>LARGE(CHOOSE({1;2;3;4},G31,J31,M31,P31),1)+LARGE(CHOOSE({1;2;3;4},G31,J31,M31,P31),2)+LARGE(CHOOSE({1;2;3;4},G31,J31,M31,P31),3)</f>
        <v>17.5</v>
      </c>
      <c r="T31" s="7">
        <f>LARGE(CHOOSE({1;2;3;4},H31,K31,N31,Q31),1)+LARGE(CHOOSE({1;2;3;4},H31,K31,N31,Q31),2)+LARGE(CHOOSE({1;2;3;4},H31,K31,N31,Q31),3)</f>
        <v>23.1</v>
      </c>
      <c r="U31" s="4" cm="1">
        <f t="array" ref="U31">IF(VT[[#This Row],[Number_of_competition]:[Number_of_competition]]&gt;=3,(LARGE(CHOOSE({1;2;3;4},F31,I31,L31,O31),1)+LARGE(CHOOSE({1;2;3;4},F31,I31,L31,O31),2)+LARGE(CHOOSE({1;2;3;4},F31,I31,L31,O31),3))/3,0)</f>
        <v>0</v>
      </c>
      <c r="V31" s="7" cm="1">
        <f t="array" ref="V31">IF(VT[[#This Row],[Number_of_competition]:[Number_of_competition]]&gt;=3,(LARGE(CHOOSE({1;2;3;4},G31,J31,M31,P31),1)+LARGE(CHOOSE({1;2;3;4},G31,J31,M31,P31),2)+LARGE(CHOOSE({1;2;3;4},G31,J31,M31,P31),3))/3,0)</f>
        <v>0</v>
      </c>
      <c r="W31" s="7" cm="1">
        <f t="array" ref="W31">IF(VT[[#This Row],[Number_of_competition]:[Number_of_competition]]&gt;=3,(LARGE(CHOOSE({1;2;3;4},H31,K31,N31,Q31),1)+LARGE(CHOOSE({1;2;3;4},H31,K31,N31,Q31),2)+LARGE(CHOOSE({1;2;3;4},H31,K31,N31,Q31),3))/3,0)</f>
        <v>0</v>
      </c>
    </row>
    <row r="32" spans="1:25" x14ac:dyDescent="0.25">
      <c r="A32" t="s">
        <v>106</v>
      </c>
      <c r="B32" s="2" t="s">
        <v>60</v>
      </c>
      <c r="C32" s="2" t="s">
        <v>107</v>
      </c>
      <c r="D32" t="s">
        <v>31</v>
      </c>
      <c r="E32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2" s="4">
        <v>0</v>
      </c>
      <c r="G32" s="7">
        <v>0</v>
      </c>
      <c r="H32" s="7">
        <v>0</v>
      </c>
      <c r="I32" s="4">
        <v>3.2</v>
      </c>
      <c r="J32" s="7">
        <v>9.0500000000000007</v>
      </c>
      <c r="K32" s="7">
        <v>12.25</v>
      </c>
      <c r="L32" s="4">
        <v>3.2</v>
      </c>
      <c r="M32" s="7">
        <v>7.4</v>
      </c>
      <c r="N32" s="7">
        <v>10.6</v>
      </c>
      <c r="O32" s="4">
        <v>0</v>
      </c>
      <c r="P32" s="7">
        <v>0</v>
      </c>
      <c r="Q32" s="7">
        <v>0</v>
      </c>
      <c r="R32" s="4">
        <f>LARGE(CHOOSE({1;2;3;4},F32,I32,L32,O32),1)+LARGE(CHOOSE({1;2;3;4},F32,I32,L32,O32),2)+LARGE(CHOOSE({1;2;3;4},F32,I32,L32,O32),3)</f>
        <v>6.4</v>
      </c>
      <c r="S32" s="7">
        <f>LARGE(CHOOSE({1;2;3;4},G32,J32,M32,P32),1)+LARGE(CHOOSE({1;2;3;4},G32,J32,M32,P32),2)+LARGE(CHOOSE({1;2;3;4},G32,J32,M32,P32),3)</f>
        <v>16.450000000000003</v>
      </c>
      <c r="T32" s="7">
        <f>LARGE(CHOOSE({1;2;3;4},H32,K32,N32,Q32),1)+LARGE(CHOOSE({1;2;3;4},H32,K32,N32,Q32),2)+LARGE(CHOOSE({1;2;3;4},H32,K32,N32,Q32),3)</f>
        <v>22.85</v>
      </c>
      <c r="U32" s="4" cm="1">
        <f t="array" ref="U32">IF(VT[[#This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IF(VT[[#This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IF(VT[[#This Row],[Number_of_competition]:[Number_of_competition]]&gt;=3,(LARGE(CHOOSE({1;2;3;4},H32,K32,N32,Q32),1)+LARGE(CHOOSE({1;2;3;4},H32,K32,N32,Q32),2)+LARGE(CHOOSE({1;2;3;4},H32,K32,N32,Q32),3))/3,0)</f>
        <v>0</v>
      </c>
    </row>
    <row r="33" spans="1:23" x14ac:dyDescent="0.25">
      <c r="A33" t="s">
        <v>120</v>
      </c>
      <c r="B33" s="2" t="s">
        <v>26</v>
      </c>
      <c r="C33" s="2" t="s">
        <v>121</v>
      </c>
      <c r="D33" t="s">
        <v>39</v>
      </c>
      <c r="E33" s="6">
        <f>COUNTIF(VT[[#This Row],[bydgoszcz_VT_Total_Score]],"&gt;0")+COUNTIF(VT[[#This Row],[zabrze_VT_Total_Score]],"&gt;0")+COUNTIF(VT[[#This Row],[cracow_VT_Total_Score]],"&gt;0")+COUNTIF(VT[[#This Row],[gdansk_VT_Total_Score]],"&gt;0")</f>
        <v>2</v>
      </c>
      <c r="F33" s="4">
        <v>3.2</v>
      </c>
      <c r="G33" s="7">
        <v>9</v>
      </c>
      <c r="H33" s="7">
        <v>12.2</v>
      </c>
      <c r="I33" s="4">
        <v>0</v>
      </c>
      <c r="J33" s="7">
        <v>0</v>
      </c>
      <c r="K33" s="7">
        <v>0</v>
      </c>
      <c r="L33" s="4">
        <v>2.4</v>
      </c>
      <c r="M33" s="7">
        <v>7.8</v>
      </c>
      <c r="N33" s="7">
        <v>10.199999999999999</v>
      </c>
      <c r="O33" s="4">
        <v>0</v>
      </c>
      <c r="P33" s="7">
        <v>0</v>
      </c>
      <c r="Q33" s="7">
        <v>0</v>
      </c>
      <c r="R33" s="4">
        <f>LARGE(CHOOSE({1;2;3;4},F33,I33,L33,O33),1)+LARGE(CHOOSE({1;2;3;4},F33,I33,L33,O33),2)+LARGE(CHOOSE({1;2;3;4},F33,I33,L33,O33),3)</f>
        <v>5.6</v>
      </c>
      <c r="S33" s="7">
        <f>LARGE(CHOOSE({1;2;3;4},G33,J33,M33,P33),1)+LARGE(CHOOSE({1;2;3;4},G33,J33,M33,P33),2)+LARGE(CHOOSE({1;2;3;4},G33,J33,M33,P33),3)</f>
        <v>16.8</v>
      </c>
      <c r="T33" s="7">
        <f>LARGE(CHOOSE({1;2;3;4},H33,K33,N33,Q33),1)+LARGE(CHOOSE({1;2;3;4},H33,K33,N33,Q33),2)+LARGE(CHOOSE({1;2;3;4},H33,K33,N33,Q33),3)</f>
        <v>22.4</v>
      </c>
      <c r="U33" s="4" cm="1">
        <f t="array" ref="U33">IF(VT[[#This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IF(VT[[#This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IF(VT[[#This Row],[Number_of_competition]:[Number_of_competition]]&gt;=3,(LARGE(CHOOSE({1;2;3;4},H33,K33,N33,Q33),1)+LARGE(CHOOSE({1;2;3;4},H33,K33,N33,Q33),2)+LARGE(CHOOSE({1;2;3;4},H33,K33,N33,Q33),3))/3,0)</f>
        <v>0</v>
      </c>
    </row>
    <row r="34" spans="1:23" x14ac:dyDescent="0.25">
      <c r="A34" t="s">
        <v>118</v>
      </c>
      <c r="B34" s="2" t="s">
        <v>60</v>
      </c>
      <c r="C34" s="2" t="s">
        <v>119</v>
      </c>
      <c r="D34" t="s">
        <v>31</v>
      </c>
      <c r="E34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4" s="4">
        <v>0</v>
      </c>
      <c r="G34" s="7">
        <v>0</v>
      </c>
      <c r="H34" s="7">
        <v>0</v>
      </c>
      <c r="I34" s="4">
        <v>0</v>
      </c>
      <c r="J34" s="7">
        <v>0</v>
      </c>
      <c r="K34" s="7">
        <v>0</v>
      </c>
      <c r="L34" s="4">
        <v>4</v>
      </c>
      <c r="M34" s="7">
        <v>9.3000000000000007</v>
      </c>
      <c r="N34" s="7">
        <v>13.3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4</v>
      </c>
      <c r="S34" s="7">
        <f>LARGE(CHOOSE({1;2;3;4},G34,J34,M34,P34),1)+LARGE(CHOOSE({1;2;3;4},G34,J34,M34,P34),2)+LARGE(CHOOSE({1;2;3;4},G34,J34,M34,P34),3)</f>
        <v>9.3000000000000007</v>
      </c>
      <c r="T34" s="7">
        <f>LARGE(CHOOSE({1;2;3;4},H34,K34,N34,Q34),1)+LARGE(CHOOSE({1;2;3;4},H34,K34,N34,Q34),2)+LARGE(CHOOSE({1;2;3;4},H34,K34,N34,Q34),3)</f>
        <v>13.3</v>
      </c>
      <c r="U34" s="4" cm="1">
        <f t="array" ref="U34">IF(VT[[#This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IF(VT[[#This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IF(VT[[#This Row],[Number_of_competition]:[Number_of_competition]]&gt;=3,(LARGE(CHOOSE({1;2;3;4},H34,K34,N34,Q34),1)+LARGE(CHOOSE({1;2;3;4},H34,K34,N34,Q34),2)+LARGE(CHOOSE({1;2;3;4},H34,K34,N34,Q34),3))/3,0)</f>
        <v>0</v>
      </c>
    </row>
    <row r="35" spans="1:23" x14ac:dyDescent="0.25">
      <c r="A35" t="s">
        <v>102</v>
      </c>
      <c r="B35" s="2" t="s">
        <v>60</v>
      </c>
      <c r="C35" s="2" t="s">
        <v>103</v>
      </c>
      <c r="D35" t="s">
        <v>31</v>
      </c>
      <c r="E35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5" s="4">
        <v>0</v>
      </c>
      <c r="G35" s="7">
        <v>0</v>
      </c>
      <c r="H35" s="7">
        <v>0</v>
      </c>
      <c r="I35" s="4">
        <v>4</v>
      </c>
      <c r="J35" s="7">
        <v>8.85</v>
      </c>
      <c r="K35" s="7">
        <v>12.85</v>
      </c>
      <c r="L35" s="4">
        <v>0</v>
      </c>
      <c r="M35" s="7">
        <v>0</v>
      </c>
      <c r="N35" s="7">
        <v>0</v>
      </c>
      <c r="O35" s="4">
        <v>0</v>
      </c>
      <c r="P35" s="7">
        <v>0</v>
      </c>
      <c r="Q35" s="7">
        <v>0</v>
      </c>
      <c r="R35" s="4">
        <f>LARGE(CHOOSE({1;2;3;4},F35,I35,L35,O35),1)+LARGE(CHOOSE({1;2;3;4},F35,I35,L35,O35),2)+LARGE(CHOOSE({1;2;3;4},F35,I35,L35,O35),3)</f>
        <v>4</v>
      </c>
      <c r="S35" s="7">
        <f>LARGE(CHOOSE({1;2;3;4},G35,J35,M35,P35),1)+LARGE(CHOOSE({1;2;3;4},G35,J35,M35,P35),2)+LARGE(CHOOSE({1;2;3;4},G35,J35,M35,P35),3)</f>
        <v>8.85</v>
      </c>
      <c r="T35" s="7">
        <f>LARGE(CHOOSE({1;2;3;4},H35,K35,N35,Q35),1)+LARGE(CHOOSE({1;2;3;4},H35,K35,N35,Q35),2)+LARGE(CHOOSE({1;2;3;4},H35,K35,N35,Q35),3)</f>
        <v>12.85</v>
      </c>
      <c r="U35" s="4" cm="1">
        <f t="array" ref="U35">IF(VT[[#This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IF(VT[[#This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IF(VT[[#This Row],[Number_of_competition]:[Number_of_competition]]&gt;=3,(LARGE(CHOOSE({1;2;3;4},H35,K35,N35,Q35),1)+LARGE(CHOOSE({1;2;3;4},H35,K35,N35,Q35),2)+LARGE(CHOOSE({1;2;3;4},H35,K35,N35,Q35),3))/3,0)</f>
        <v>0</v>
      </c>
    </row>
    <row r="36" spans="1:23" x14ac:dyDescent="0.25">
      <c r="A36" t="s">
        <v>142</v>
      </c>
      <c r="B36" s="2" t="s">
        <v>60</v>
      </c>
      <c r="C36" s="2" t="s">
        <v>143</v>
      </c>
      <c r="D36" t="s">
        <v>62</v>
      </c>
      <c r="E36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6" s="4">
        <v>3.2</v>
      </c>
      <c r="G36" s="7">
        <v>9.5</v>
      </c>
      <c r="H36" s="7">
        <v>12.7</v>
      </c>
      <c r="I36" s="4">
        <v>0</v>
      </c>
      <c r="J36" s="7">
        <v>0</v>
      </c>
      <c r="K36" s="7">
        <v>0</v>
      </c>
      <c r="L36" s="4">
        <v>0</v>
      </c>
      <c r="M36" s="7">
        <v>0</v>
      </c>
      <c r="N36" s="7">
        <v>0</v>
      </c>
      <c r="O36" s="4">
        <v>0</v>
      </c>
      <c r="P36" s="7">
        <v>0</v>
      </c>
      <c r="Q36" s="7">
        <v>0</v>
      </c>
      <c r="R36" s="4">
        <f>LARGE(CHOOSE({1;2;3;4},F36,I36,L36,O36),1)+LARGE(CHOOSE({1;2;3;4},F36,I36,L36,O36),2)+LARGE(CHOOSE({1;2;3;4},F36,I36,L36,O36),3)</f>
        <v>3.2</v>
      </c>
      <c r="S36" s="7">
        <f>LARGE(CHOOSE({1;2;3;4},G36,J36,M36,P36),1)+LARGE(CHOOSE({1;2;3;4},G36,J36,M36,P36),2)+LARGE(CHOOSE({1;2;3;4},G36,J36,M36,P36),3)</f>
        <v>9.5</v>
      </c>
      <c r="T36" s="7">
        <f>LARGE(CHOOSE({1;2;3;4},H36,K36,N36,Q36),1)+LARGE(CHOOSE({1;2;3;4},H36,K36,N36,Q36),2)+LARGE(CHOOSE({1;2;3;4},H36,K36,N36,Q36),3)</f>
        <v>12.7</v>
      </c>
      <c r="U36" s="4" cm="1">
        <f t="array" ref="U36">IF(VT[[#This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IF(VT[[#This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IF(VT[[#This Row],[Number_of_competition]:[Number_of_competition]]&gt;=3,(LARGE(CHOOSE({1;2;3;4},H36,K36,N36,Q36),1)+LARGE(CHOOSE({1;2;3;4},H36,K36,N36,Q36),2)+LARGE(CHOOSE({1;2;3;4},H36,K36,N36,Q36),3))/3,0)</f>
        <v>0</v>
      </c>
    </row>
    <row r="37" spans="1:23" x14ac:dyDescent="0.25">
      <c r="A37" t="s">
        <v>104</v>
      </c>
      <c r="B37" s="2" t="s">
        <v>60</v>
      </c>
      <c r="C37" s="2" t="s">
        <v>105</v>
      </c>
      <c r="D37" t="s">
        <v>28</v>
      </c>
      <c r="E37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7" s="4">
        <v>0</v>
      </c>
      <c r="G37" s="7">
        <v>0</v>
      </c>
      <c r="H37" s="7">
        <v>0</v>
      </c>
      <c r="I37" s="4">
        <v>3.2</v>
      </c>
      <c r="J37" s="7">
        <v>8.8000000000000007</v>
      </c>
      <c r="K37" s="7">
        <v>12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3.2</v>
      </c>
      <c r="S37" s="7">
        <f>LARGE(CHOOSE({1;2;3;4},G37,J37,M37,P37),1)+LARGE(CHOOSE({1;2;3;4},G37,J37,M37,P37),2)+LARGE(CHOOSE({1;2;3;4},G37,J37,M37,P37),3)</f>
        <v>8.8000000000000007</v>
      </c>
      <c r="T37" s="7">
        <f>LARGE(CHOOSE({1;2;3;4},H37,K37,N37,Q37),1)+LARGE(CHOOSE({1;2;3;4},H37,K37,N37,Q37),2)+LARGE(CHOOSE({1;2;3;4},H37,K37,N37,Q37),3)</f>
        <v>12</v>
      </c>
      <c r="U37" s="4" cm="1">
        <f t="array" ref="U37">IF(VT[[#This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IF(VT[[#This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IF(VT[[#This Row],[Number_of_competition]:[Number_of_competition]]&gt;=3,(LARGE(CHOOSE({1;2;3;4},H37,K37,N37,Q37),1)+LARGE(CHOOSE({1;2;3;4},H37,K37,N37,Q37),2)+LARGE(CHOOSE({1;2;3;4},H37,K37,N37,Q37),3))/3,0)</f>
        <v>0</v>
      </c>
    </row>
    <row r="38" spans="1:23" x14ac:dyDescent="0.25">
      <c r="A38" t="s">
        <v>125</v>
      </c>
      <c r="B38" s="2" t="s">
        <v>26</v>
      </c>
      <c r="C38" s="2" t="s">
        <v>126</v>
      </c>
      <c r="D38" t="s">
        <v>67</v>
      </c>
      <c r="E38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8" s="4">
        <v>0</v>
      </c>
      <c r="G38" s="7">
        <v>0</v>
      </c>
      <c r="H38" s="7">
        <v>0</v>
      </c>
      <c r="I38" s="4">
        <v>0</v>
      </c>
      <c r="J38" s="7">
        <v>0</v>
      </c>
      <c r="K38" s="7">
        <v>0</v>
      </c>
      <c r="L38" s="4">
        <v>3.2</v>
      </c>
      <c r="M38" s="7">
        <v>8.1999999999999993</v>
      </c>
      <c r="N38" s="7">
        <v>11.4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3.2</v>
      </c>
      <c r="S38" s="7">
        <f>LARGE(CHOOSE({1;2;3;4},G38,J38,M38,P38),1)+LARGE(CHOOSE({1;2;3;4},G38,J38,M38,P38),2)+LARGE(CHOOSE({1;2;3;4},G38,J38,M38,P38),3)</f>
        <v>8.1999999999999993</v>
      </c>
      <c r="T38" s="7">
        <f>LARGE(CHOOSE({1;2;3;4},H38,K38,N38,Q38),1)+LARGE(CHOOSE({1;2;3;4},H38,K38,N38,Q38),2)+LARGE(CHOOSE({1;2;3;4},H38,K38,N38,Q38),3)</f>
        <v>11.4</v>
      </c>
      <c r="U38" s="4" cm="1">
        <f t="array" ref="U38">IF(VT[[#This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IF(VT[[#This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IF(VT[[#This Row],[Number_of_competition]:[Number_of_competition]]&gt;=3,(LARGE(CHOOSE({1;2;3;4},H38,K38,N38,Q38),1)+LARGE(CHOOSE({1;2;3;4},H38,K38,N38,Q38),2)+LARGE(CHOOSE({1;2;3;4},H38,K38,N38,Q38),3))/3,0)</f>
        <v>0</v>
      </c>
    </row>
    <row r="39" spans="1:23" x14ac:dyDescent="0.25">
      <c r="A39" t="s">
        <v>129</v>
      </c>
      <c r="B39" s="2" t="s">
        <v>60</v>
      </c>
      <c r="C39" s="2" t="s">
        <v>130</v>
      </c>
      <c r="D39" t="s">
        <v>72</v>
      </c>
      <c r="E39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39" s="4">
        <v>0</v>
      </c>
      <c r="G39" s="7">
        <v>0</v>
      </c>
      <c r="H39" s="7">
        <v>0</v>
      </c>
      <c r="I39" s="4">
        <v>0</v>
      </c>
      <c r="J39" s="7">
        <v>0</v>
      </c>
      <c r="K39" s="7">
        <v>0</v>
      </c>
      <c r="L39" s="4">
        <v>2.8</v>
      </c>
      <c r="M39" s="7">
        <v>8.5500000000000007</v>
      </c>
      <c r="N39" s="7">
        <v>11.35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2.8</v>
      </c>
      <c r="S39" s="7">
        <f>LARGE(CHOOSE({1;2;3;4},G39,J39,M39,P39),1)+LARGE(CHOOSE({1;2;3;4},G39,J39,M39,P39),2)+LARGE(CHOOSE({1;2;3;4},G39,J39,M39,P39),3)</f>
        <v>8.5500000000000007</v>
      </c>
      <c r="T39" s="7">
        <f>LARGE(CHOOSE({1;2;3;4},H39,K39,N39,Q39),1)+LARGE(CHOOSE({1;2;3;4},H39,K39,N39,Q39),2)+LARGE(CHOOSE({1;2;3;4},H39,K39,N39,Q39),3)</f>
        <v>11.35</v>
      </c>
      <c r="U39" s="4" cm="1">
        <f t="array" ref="U39">IF(VT[[#This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IF(VT[[#This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IF(VT[[#This Row],[Number_of_competition]:[Number_of_competition]]&gt;=3,(LARGE(CHOOSE({1;2;3;4},H39,K39,N39,Q39),1)+LARGE(CHOOSE({1;2;3;4},H39,K39,N39,Q39),2)+LARGE(CHOOSE({1;2;3;4},H39,K39,N39,Q39),3))/3,0)</f>
        <v>0</v>
      </c>
    </row>
    <row r="40" spans="1:23" x14ac:dyDescent="0.25">
      <c r="A40" t="s">
        <v>132</v>
      </c>
      <c r="B40" s="2" t="s">
        <v>26</v>
      </c>
      <c r="C40" s="2" t="s">
        <v>133</v>
      </c>
      <c r="D40" t="s">
        <v>39</v>
      </c>
      <c r="E40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0" s="4">
        <v>2.2000000000000002</v>
      </c>
      <c r="G40" s="7">
        <v>9.1</v>
      </c>
      <c r="H40" s="7">
        <v>11.3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2.2000000000000002</v>
      </c>
      <c r="S40" s="7">
        <f>LARGE(CHOOSE({1;2;3;4},G40,J40,M40,P40),1)+LARGE(CHOOSE({1;2;3;4},G40,J40,M40,P40),2)+LARGE(CHOOSE({1;2;3;4},G40,J40,M40,P40),3)</f>
        <v>9.1</v>
      </c>
      <c r="T40" s="7">
        <f>LARGE(CHOOSE({1;2;3;4},H40,K40,N40,Q40),1)+LARGE(CHOOSE({1;2;3;4},H40,K40,N40,Q40),2)+LARGE(CHOOSE({1;2;3;4},H40,K40,N40,Q40),3)</f>
        <v>11.3</v>
      </c>
      <c r="U40" s="4" cm="1">
        <f t="array" ref="U40">IF(VT[[#This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IF(VT[[#This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IF(VT[[#This Row],[Number_of_competition]:[Number_of_competition]]&gt;=3,(LARGE(CHOOSE({1;2;3;4},H40,K40,N40,Q40),1)+LARGE(CHOOSE({1;2;3;4},H40,K40,N40,Q40),2)+LARGE(CHOOSE({1;2;3;4},H40,K40,N40,Q40),3))/3,0)</f>
        <v>0</v>
      </c>
    </row>
    <row r="41" spans="1:23" x14ac:dyDescent="0.25">
      <c r="A41" t="s">
        <v>100</v>
      </c>
      <c r="B41" s="2" t="s">
        <v>60</v>
      </c>
      <c r="C41" s="2" t="s">
        <v>101</v>
      </c>
      <c r="D41" t="s">
        <v>31</v>
      </c>
      <c r="E41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1" s="4">
        <v>3.2</v>
      </c>
      <c r="G41" s="7">
        <v>7.8</v>
      </c>
      <c r="H41" s="7">
        <v>11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3.2</v>
      </c>
      <c r="S41" s="7">
        <f>LARGE(CHOOSE({1;2;3;4},G41,J41,M41,P41),1)+LARGE(CHOOSE({1;2;3;4},G41,J41,M41,P41),2)+LARGE(CHOOSE({1;2;3;4},G41,J41,M41,P41),3)</f>
        <v>7.8</v>
      </c>
      <c r="T41" s="7">
        <f>LARGE(CHOOSE({1;2;3;4},H41,K41,N41,Q41),1)+LARGE(CHOOSE({1;2;3;4},H41,K41,N41,Q41),2)+LARGE(CHOOSE({1;2;3;4},H41,K41,N41,Q41),3)</f>
        <v>11</v>
      </c>
      <c r="U41" s="4" cm="1">
        <f t="array" ref="U41">IF(VT[[#This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IF(VT[[#This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IF(VT[[#This Row],[Number_of_competition]:[Number_of_competition]]&gt;=3,(LARGE(CHOOSE({1;2;3;4},H41,K41,N41,Q41),1)+LARGE(CHOOSE({1;2;3;4},H41,K41,N41,Q41),2)+LARGE(CHOOSE({1;2;3;4},H41,K41,N41,Q41),3))/3,0)</f>
        <v>0</v>
      </c>
    </row>
    <row r="42" spans="1:23" x14ac:dyDescent="0.25">
      <c r="A42" t="s">
        <v>122</v>
      </c>
      <c r="B42" s="2" t="s">
        <v>26</v>
      </c>
      <c r="C42" s="2" t="s">
        <v>123</v>
      </c>
      <c r="D42" t="s">
        <v>124</v>
      </c>
      <c r="E42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2" s="4">
        <v>0</v>
      </c>
      <c r="G42" s="7">
        <v>0</v>
      </c>
      <c r="H42" s="7">
        <v>0</v>
      </c>
      <c r="I42" s="4">
        <v>0</v>
      </c>
      <c r="J42" s="7">
        <v>0</v>
      </c>
      <c r="K42" s="7">
        <v>0</v>
      </c>
      <c r="L42" s="4">
        <v>2.2000000000000002</v>
      </c>
      <c r="M42" s="7">
        <v>8.8000000000000007</v>
      </c>
      <c r="N42" s="7">
        <v>11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2.2000000000000002</v>
      </c>
      <c r="S42" s="7">
        <f>LARGE(CHOOSE({1;2;3;4},G42,J42,M42,P42),1)+LARGE(CHOOSE({1;2;3;4},G42,J42,M42,P42),2)+LARGE(CHOOSE({1;2;3;4},G42,J42,M42,P42),3)</f>
        <v>8.8000000000000007</v>
      </c>
      <c r="T42" s="7">
        <f>LARGE(CHOOSE({1;2;3;4},H42,K42,N42,Q42),1)+LARGE(CHOOSE({1;2;3;4},H42,K42,N42,Q42),2)+LARGE(CHOOSE({1;2;3;4},H42,K42,N42,Q42),3)</f>
        <v>11</v>
      </c>
      <c r="U42" s="4" cm="1">
        <f t="array" ref="U42">IF(VT[[#This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IF(VT[[#This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IF(VT[[#This Row],[Number_of_competition]:[Number_of_competition]]&gt;=3,(LARGE(CHOOSE({1;2;3;4},H42,K42,N42,Q42),1)+LARGE(CHOOSE({1;2;3;4},H42,K42,N42,Q42),2)+LARGE(CHOOSE({1;2;3;4},H42,K42,N42,Q42),3))/3,0)</f>
        <v>0</v>
      </c>
    </row>
    <row r="43" spans="1:23" x14ac:dyDescent="0.25">
      <c r="A43" t="s">
        <v>137</v>
      </c>
      <c r="B43" s="2" t="s">
        <v>26</v>
      </c>
      <c r="C43" s="2" t="s">
        <v>138</v>
      </c>
      <c r="D43" t="s">
        <v>124</v>
      </c>
      <c r="E43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3" s="4">
        <v>1.6</v>
      </c>
      <c r="G43" s="7">
        <v>9</v>
      </c>
      <c r="H43" s="7">
        <v>10.6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1.6</v>
      </c>
      <c r="S43" s="7">
        <f>LARGE(CHOOSE({1;2;3;4},G43,J43,M43,P43),1)+LARGE(CHOOSE({1;2;3;4},G43,J43,M43,P43),2)+LARGE(CHOOSE({1;2;3;4},G43,J43,M43,P43),3)</f>
        <v>9</v>
      </c>
      <c r="T43" s="7">
        <f>LARGE(CHOOSE({1;2;3;4},H43,K43,N43,Q43),1)+LARGE(CHOOSE({1;2;3;4},H43,K43,N43,Q43),2)+LARGE(CHOOSE({1;2;3;4},H43,K43,N43,Q43),3)</f>
        <v>10.6</v>
      </c>
      <c r="U43" s="4" cm="1">
        <f t="array" ref="U43">IF(VT[[#This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IF(VT[[#This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IF(VT[[#This Row],[Number_of_competition]:[Number_of_competition]]&gt;=3,(LARGE(CHOOSE({1;2;3;4},H43,K43,N43,Q43),1)+LARGE(CHOOSE({1;2;3;4},H43,K43,N43,Q43),2)+LARGE(CHOOSE({1;2;3;4},H43,K43,N43,Q43),3))/3,0)</f>
        <v>0</v>
      </c>
    </row>
    <row r="44" spans="1:23" x14ac:dyDescent="0.25">
      <c r="A44" t="s">
        <v>88</v>
      </c>
      <c r="B44" s="2" t="s">
        <v>60</v>
      </c>
      <c r="C44" s="2" t="s">
        <v>89</v>
      </c>
      <c r="D44" t="s">
        <v>36</v>
      </c>
      <c r="E44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4" s="4">
        <v>0</v>
      </c>
      <c r="G44" s="7">
        <v>0</v>
      </c>
      <c r="H44" s="7">
        <v>0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2.4</v>
      </c>
      <c r="P44" s="7">
        <v>8</v>
      </c>
      <c r="Q44" s="7">
        <v>10.4</v>
      </c>
      <c r="R44" s="4">
        <f>LARGE(CHOOSE({1;2;3;4},F44,I44,L44,O44),1)+LARGE(CHOOSE({1;2;3;4},F44,I44,L44,O44),2)+LARGE(CHOOSE({1;2;3;4},F44,I44,L44,O44),3)</f>
        <v>2.4</v>
      </c>
      <c r="S44" s="7">
        <f>LARGE(CHOOSE({1;2;3;4},G44,J44,M44,P44),1)+LARGE(CHOOSE({1;2;3;4},G44,J44,M44,P44),2)+LARGE(CHOOSE({1;2;3;4},G44,J44,M44,P44),3)</f>
        <v>8</v>
      </c>
      <c r="T44" s="7">
        <f>LARGE(CHOOSE({1;2;3;4},H44,K44,N44,Q44),1)+LARGE(CHOOSE({1;2;3;4},H44,K44,N44,Q44),2)+LARGE(CHOOSE({1;2;3;4},H44,K44,N44,Q44),3)</f>
        <v>10.4</v>
      </c>
      <c r="U44" s="4" cm="1">
        <f t="array" ref="U44">IF(VT[[#This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IF(VT[[#This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IF(VT[[#This Row],[Number_of_competition]:[Number_of_competition]]&gt;=3,(LARGE(CHOOSE({1;2;3;4},H44,K44,N44,Q44),1)+LARGE(CHOOSE({1;2;3;4},H44,K44,N44,Q44),2)+LARGE(CHOOSE({1;2;3;4},H44,K44,N44,Q44),3))/3,0)</f>
        <v>0</v>
      </c>
    </row>
    <row r="45" spans="1:23" x14ac:dyDescent="0.25">
      <c r="A45" t="s">
        <v>57</v>
      </c>
      <c r="B45" s="2" t="s">
        <v>26</v>
      </c>
      <c r="C45" s="2" t="s">
        <v>58</v>
      </c>
      <c r="D45" t="s">
        <v>36</v>
      </c>
      <c r="E45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5" s="4">
        <v>1.6</v>
      </c>
      <c r="G45" s="7">
        <v>8.6999999999999993</v>
      </c>
      <c r="H45" s="7">
        <v>10.3</v>
      </c>
      <c r="I45" s="4">
        <v>0</v>
      </c>
      <c r="J45" s="7">
        <v>0</v>
      </c>
      <c r="K45" s="7">
        <v>0</v>
      </c>
      <c r="L45" s="4">
        <v>0</v>
      </c>
      <c r="M45" s="7">
        <v>0</v>
      </c>
      <c r="N45" s="7">
        <v>0</v>
      </c>
      <c r="O45" s="4">
        <v>0</v>
      </c>
      <c r="P45" s="7">
        <v>0</v>
      </c>
      <c r="Q45" s="7">
        <v>0</v>
      </c>
      <c r="R45" s="4">
        <f>LARGE(CHOOSE({1;2;3;4},F45,I45,L45,O45),1)+LARGE(CHOOSE({1;2;3;4},F45,I45,L45,O45),2)+LARGE(CHOOSE({1;2;3;4},F45,I45,L45,O45),3)</f>
        <v>1.6</v>
      </c>
      <c r="S45" s="7">
        <f>LARGE(CHOOSE({1;2;3;4},G45,J45,M45,P45),1)+LARGE(CHOOSE({1;2;3;4},G45,J45,M45,P45),2)+LARGE(CHOOSE({1;2;3;4},G45,J45,M45,P45),3)</f>
        <v>8.6999999999999993</v>
      </c>
      <c r="T45" s="7">
        <f>LARGE(CHOOSE({1;2;3;4},H45,K45,N45,Q45),1)+LARGE(CHOOSE({1;2;3;4},H45,K45,N45,Q45),2)+LARGE(CHOOSE({1;2;3;4},H45,K45,N45,Q45),3)</f>
        <v>10.3</v>
      </c>
      <c r="U45" s="4" cm="1">
        <f t="array" ref="U45">IF(VT[[#This Row],[Number_of_competition]:[Number_of_competition]]&gt;=3,(LARGE(CHOOSE({1;2;3;4},F45,I45,L45,O45),1)+LARGE(CHOOSE({1;2;3;4},F45,I45,L45,O45),2)+LARGE(CHOOSE({1;2;3;4},F45,I45,L45,O45),3))/3,0)</f>
        <v>0</v>
      </c>
      <c r="V45" s="7" cm="1">
        <f t="array" ref="V45">IF(VT[[#This Row],[Number_of_competition]:[Number_of_competition]]&gt;=3,(LARGE(CHOOSE({1;2;3;4},G45,J45,M45,P45),1)+LARGE(CHOOSE({1;2;3;4},G45,J45,M45,P45),2)+LARGE(CHOOSE({1;2;3;4},G45,J45,M45,P45),3))/3,0)</f>
        <v>0</v>
      </c>
      <c r="W45" s="7" cm="1">
        <f t="array" ref="W45">IF(VT[[#This Row],[Number_of_competition]:[Number_of_competition]]&gt;=3,(LARGE(CHOOSE({1;2;3;4},H45,K45,N45,Q45),1)+LARGE(CHOOSE({1;2;3;4},H45,K45,N45,Q45),2)+LARGE(CHOOSE({1;2;3;4},H45,K45,N45,Q45),3))/3,0)</f>
        <v>0</v>
      </c>
    </row>
    <row r="46" spans="1:23" x14ac:dyDescent="0.25">
      <c r="A46" t="s">
        <v>135</v>
      </c>
      <c r="B46" s="2" t="s">
        <v>26</v>
      </c>
      <c r="C46" s="2" t="s">
        <v>136</v>
      </c>
      <c r="D46" t="s">
        <v>124</v>
      </c>
      <c r="E46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6" s="4">
        <v>2.4</v>
      </c>
      <c r="G46" s="7">
        <v>7.5</v>
      </c>
      <c r="H46" s="7">
        <v>9.9</v>
      </c>
      <c r="I46" s="4">
        <v>0</v>
      </c>
      <c r="J46" s="7">
        <v>0</v>
      </c>
      <c r="K46" s="7">
        <v>0</v>
      </c>
      <c r="L46" s="4">
        <v>0</v>
      </c>
      <c r="M46" s="7">
        <v>0</v>
      </c>
      <c r="N46" s="7">
        <v>0</v>
      </c>
      <c r="O46" s="4">
        <v>0</v>
      </c>
      <c r="P46" s="7">
        <v>0</v>
      </c>
      <c r="Q46" s="7">
        <v>0</v>
      </c>
      <c r="R46" s="4">
        <f>LARGE(CHOOSE({1;2;3;4},F46,I46,L46,O46),1)+LARGE(CHOOSE({1;2;3;4},F46,I46,L46,O46),2)+LARGE(CHOOSE({1;2;3;4},F46,I46,L46,O46),3)</f>
        <v>2.4</v>
      </c>
      <c r="S46" s="7">
        <f>LARGE(CHOOSE({1;2;3;4},G46,J46,M46,P46),1)+LARGE(CHOOSE({1;2;3;4},G46,J46,M46,P46),2)+LARGE(CHOOSE({1;2;3;4},G46,J46,M46,P46),3)</f>
        <v>7.5</v>
      </c>
      <c r="T46" s="7">
        <f>LARGE(CHOOSE({1;2;3;4},H46,K46,N46,Q46),1)+LARGE(CHOOSE({1;2;3;4},H46,K46,N46,Q46),2)+LARGE(CHOOSE({1;2;3;4},H46,K46,N46,Q46),3)</f>
        <v>9.9</v>
      </c>
      <c r="U46" s="4" cm="1">
        <f t="array" ref="U46">IF(VT[[#This Row],[Number_of_competition]:[Number_of_competition]]&gt;=3,(LARGE(CHOOSE({1;2;3;4},F46,I46,L46,O46),1)+LARGE(CHOOSE({1;2;3;4},F46,I46,L46,O46),2)+LARGE(CHOOSE({1;2;3;4},F46,I46,L46,O46),3))/3,0)</f>
        <v>0</v>
      </c>
      <c r="V46" s="7" cm="1">
        <f t="array" ref="V46">IF(VT[[#This Row],[Number_of_competition]:[Number_of_competition]]&gt;=3,(LARGE(CHOOSE({1;2;3;4},G46,J46,M46,P46),1)+LARGE(CHOOSE({1;2;3;4},G46,J46,M46,P46),2)+LARGE(CHOOSE({1;2;3;4},G46,J46,M46,P46),3))/3,0)</f>
        <v>0</v>
      </c>
      <c r="W46" s="7" cm="1">
        <f t="array" ref="W46">IF(VT[[#This Row],[Number_of_competition]:[Number_of_competition]]&gt;=3,(LARGE(CHOOSE({1;2;3;4},H46,K46,N46,Q46),1)+LARGE(CHOOSE({1;2;3;4},H46,K46,N46,Q46),2)+LARGE(CHOOSE({1;2;3;4},H46,K46,N46,Q46),3))/3,0)</f>
        <v>0</v>
      </c>
    </row>
    <row r="47" spans="1:23" x14ac:dyDescent="0.25">
      <c r="A47" t="s">
        <v>54</v>
      </c>
      <c r="B47" s="2" t="s">
        <v>26</v>
      </c>
      <c r="C47" s="2" t="s">
        <v>55</v>
      </c>
      <c r="D47" t="s">
        <v>56</v>
      </c>
      <c r="E47" s="6">
        <f>COUNTIF(VT[[#This Row],[bydgoszcz_VT_Total_Score]],"&gt;0")+COUNTIF(VT[[#This Row],[zabrze_VT_Total_Score]],"&gt;0")+COUNTIF(VT[[#This Row],[cracow_VT_Total_Score]],"&gt;0")+COUNTIF(VT[[#This Row],[gdansk_VT_Total_Score]],"&gt;0")</f>
        <v>1</v>
      </c>
      <c r="F47" s="4">
        <v>0</v>
      </c>
      <c r="G47" s="7">
        <v>0</v>
      </c>
      <c r="H47" s="7">
        <v>0</v>
      </c>
      <c r="I47" s="4">
        <v>1.6</v>
      </c>
      <c r="J47" s="7">
        <v>8.3000000000000007</v>
      </c>
      <c r="K47" s="7">
        <v>9.9</v>
      </c>
      <c r="L47" s="4">
        <v>0</v>
      </c>
      <c r="M47" s="7">
        <v>0</v>
      </c>
      <c r="N47" s="7">
        <v>0</v>
      </c>
      <c r="O47" s="4">
        <v>0</v>
      </c>
      <c r="P47" s="7">
        <v>0</v>
      </c>
      <c r="Q47" s="7">
        <v>0</v>
      </c>
      <c r="R47" s="4">
        <f>LARGE(CHOOSE({1;2;3;4},F47,I47,L47,O47),1)+LARGE(CHOOSE({1;2;3;4},F47,I47,L47,O47),2)+LARGE(CHOOSE({1;2;3;4},F47,I47,L47,O47),3)</f>
        <v>1.6</v>
      </c>
      <c r="S47" s="7">
        <f>LARGE(CHOOSE({1;2;3;4},G47,J47,M47,P47),1)+LARGE(CHOOSE({1;2;3;4},G47,J47,M47,P47),2)+LARGE(CHOOSE({1;2;3;4},G47,J47,M47,P47),3)</f>
        <v>8.3000000000000007</v>
      </c>
      <c r="T47" s="7">
        <f>LARGE(CHOOSE({1;2;3;4},H47,K47,N47,Q47),1)+LARGE(CHOOSE({1;2;3;4},H47,K47,N47,Q47),2)+LARGE(CHOOSE({1;2;3;4},H47,K47,N47,Q47),3)</f>
        <v>9.9</v>
      </c>
      <c r="U47" s="4" cm="1">
        <f t="array" ref="U47">IF(VT[[#This Row],[Number_of_competition]:[Number_of_competition]]&gt;=3,(LARGE(CHOOSE({1;2;3;4},F47,I47,L47,O47),1)+LARGE(CHOOSE({1;2;3;4},F47,I47,L47,O47),2)+LARGE(CHOOSE({1;2;3;4},F47,I47,L47,O47),3))/3,0)</f>
        <v>0</v>
      </c>
      <c r="V47" s="7" cm="1">
        <f t="array" ref="V47">IF(VT[[#This Row],[Number_of_competition]:[Number_of_competition]]&gt;=3,(LARGE(CHOOSE({1;2;3;4},G47,J47,M47,P47),1)+LARGE(CHOOSE({1;2;3;4},G47,J47,M47,P47),2)+LARGE(CHOOSE({1;2;3;4},G47,J47,M47,P47),3))/3,0)</f>
        <v>0</v>
      </c>
      <c r="W47" s="7" cm="1">
        <f t="array" ref="W47">IF(VT[[#This Row],[Number_of_competition]:[Number_of_competition]]&gt;=3,(LARGE(CHOOSE({1;2;3;4},H47,K47,N47,Q47),1)+LARGE(CHOOSE({1;2;3;4},H47,K47,N47,Q47),2)+LARGE(CHOOSE({1;2;3;4},H47,K47,N47,Q47),3))/3,0)</f>
        <v>0</v>
      </c>
    </row>
    <row r="50" spans="1:16" x14ac:dyDescent="0.25">
      <c r="A50" s="16" t="s">
        <v>2</v>
      </c>
      <c r="B50" s="16" t="s">
        <v>266</v>
      </c>
      <c r="C50" s="16" t="s">
        <v>271</v>
      </c>
      <c r="D50" s="17" t="s">
        <v>272</v>
      </c>
      <c r="E50" s="17" t="s">
        <v>270</v>
      </c>
      <c r="F50" s="18" t="s">
        <v>253</v>
      </c>
      <c r="M50" s="2"/>
      <c r="O50" s="7"/>
      <c r="P50" s="2"/>
    </row>
    <row r="51" spans="1:16" x14ac:dyDescent="0.25">
      <c r="A51" s="15" t="s">
        <v>60</v>
      </c>
      <c r="B51" s="15" t="s">
        <v>269</v>
      </c>
      <c r="C51" s="4" cm="1">
        <f t="array" ref="C51">SUM(_xlfn._xlws.FILTER(VT[bydgoszcz_VT_Dscore],VT[Category]="senior"),_xlfn._xlws.FILTER(VT[zabrze_VT_Dscore],VT[Category]="senior"),_xlfn._xlws.FILTER(VT[cracow_VT_Dscore],VT[Category]="senior"),_xlfn._xlws.FILTER(VT[gdansk_VT_Dscore],VT[Category]="senior"))/(COUNTIFS(VT[bydgoszcz_VT_Dscore],"&gt;0",VT[Category],"senior")+COUNTIFS(VT[zabrze_VT_Dscore],"&gt;0",VT[Category],"senior")+COUNTIFS(VT[cracow_VT_Dscore],"&gt;0",VT[Category],"senior")+COUNTIFS(VT[gdansk_VT_Dscore],"&gt;0",VT[Category],"senior"))</f>
        <v>3.8000000000000003</v>
      </c>
      <c r="D51" s="4" cm="1">
        <f t="array" ref="D51">_xlfn.STDEV.S(_xlfn._xlws.FILTER(VT[bydgoszcz_VT_Dscore],(VT[Category]="senior")*(VT[bydgoszcz_VT_Dscore])&gt;0),_xlfn._xlws.FILTER(VT[zabrze_VT_Dscore],(VT[Category]="senior")*(VT[zabrze_VT_Dscore])&gt;0),_xlfn._xlws.FILTER(VT[cracow_VT_Dscore],(VT[Category]="senior")*(VT[cracow_VT_Dscore])&gt;0),_xlfn._xlws.FILTER(VT[gdansk_VT_Dscore],(VT[Category]="senior")*(VT[gdansk_VT_Dscore])&gt;0))</f>
        <v>0.73678839761300552</v>
      </c>
      <c r="E51" s="4" cm="1">
        <f t="array" ref="E51">MAX(_xlfn._xlws.FILTER(VT[bydgoszcz_VT_Dscore],VT[Category]="senior"),_xlfn._xlws.FILTER(VT[zabrze_VT_Dscore],VT[Category]="senior"),_xlfn._xlws.FILTER(VT[cracow_VT_Dscore],VT[Category]="senior"),_xlfn._xlws.FILTER(VT[gdansk_VT_Dscore],VT[Category]="senior"))</f>
        <v>5.2</v>
      </c>
      <c r="F51" s="2" t="str" cm="1">
        <f t="array" ref="F51">_xlfn.XLOOKUP(E51,_xlfn._xlws.FILTER(VT[bydgoszcz_VT_Dscore],VT[Category]="senior"),_xlfn._xlws.FILTER(VT[Name],VT[Category]="senior"),_xlfn.XLOOKUP(E51,_xlfn._xlws.FILTER(VT[zabrze_VT_Dscore],VT[Category]="senior"),_xlfn._xlws.FILTER(VT[Name],VT[Category]="senior"),_xlfn.XLOOKUP(E51,_xlfn._xlws.FILTER(VT[cracow_VT_Dscore],VT[Category]="senior"),_xlfn._xlws.FILTER(VT[Name],VT[Category]="senior"),_xlfn.XLOOKUP(E51,_xlfn._xlws.FILTER(VT[gdansk_VT_Dscore],VT[Category]="senior"),_xlfn._xlws.FILTER(VT[Name],VT[Category]="senior")))))</f>
        <v>SASNAL Filip</v>
      </c>
      <c r="M51" s="4"/>
      <c r="N51" s="4"/>
      <c r="P51" s="2"/>
    </row>
    <row r="52" spans="1:16" x14ac:dyDescent="0.25">
      <c r="A52" s="15" t="s">
        <v>60</v>
      </c>
      <c r="B52" s="15" t="s">
        <v>267</v>
      </c>
      <c r="C52" s="7" cm="1">
        <f t="array" ref="C52">SUM(_xlfn._xlws.FILTER(VT[bydgoszcz_VT_Escore],VT[Category]="senior"),_xlfn._xlws.FILTER(VT[zabrze_VT_Escore],VT[Category]="senior"),_xlfn._xlws.FILTER(VT[cracow_VT_Escore],VT[Category]="senior"),_xlfn._xlws.FILTER(VT[gdansk_VT_Escore],VT[Category]="senior"))/(COUNTIFS(VT[bydgoszcz_VT_Escore],"&gt;0",VT[Category],"senior")+COUNTIFS(VT[zabrze_VT_Escore],"&gt;0",VT[Category],"senior")+COUNTIFS(VT[cracow_VT_Escore],"&gt;0",VT[Category],"senior")+COUNTIFS(VT[gdansk_VT_Escore],"&gt;0",VT[Category],"senior"))</f>
        <v>8.7815789473684234</v>
      </c>
      <c r="D52" s="7" cm="1">
        <f t="array" ref="D52">_xlfn.STDEV.S(_xlfn._xlws.FILTER(VT[bydgoszcz_VT_Escore],(VT[Category]="senior")*(VT[bydgoszcz_VT_Escore])&gt;0),_xlfn._xlws.FILTER(VT[zabrze_VT_Escore],(VT[Category]="senior")*(VT[zabrze_VT_Escore])&gt;0),_xlfn._xlws.FILTER(VT[cracow_VT_Escore],(VT[Category]="senior")*(VT[cracow_VT_Escore])&gt;0),_xlfn._xlws.FILTER(VT[gdansk_VT_Escore],(VT[Category]="senior")*(VT[gdansk_VT_Escore])&gt;0))</f>
        <v>0.54162714334310735</v>
      </c>
      <c r="E52" s="7" cm="1">
        <f t="array" ref="E52">MAX(_xlfn._xlws.FILTER(VT[bydgoszcz_VT_Escore],VT[Category]="senior"),_xlfn._xlws.FILTER(VT[zabrze_VT_Escore],VT[Category]="senior"),_xlfn._xlws.FILTER(VT[cracow_VT_Escore],VT[Category]="senior"),_xlfn._xlws.FILTER(VT[gdansk_VT_Escore],VT[Category]="senior"))</f>
        <v>9.6</v>
      </c>
      <c r="F52" s="2" t="str" cm="1">
        <f t="array" ref="F52">_xlfn.XLOOKUP(E52,_xlfn._xlws.FILTER(VT[bydgoszcz_VT_Escore],VT[Category]="senior"),_xlfn._xlws.FILTER(VT[Name],VT[Category]="senior"),_xlfn.XLOOKUP(E52,_xlfn._xlws.FILTER(VT[zabrze_VT_Escore],VT[Category]="senior"),_xlfn._xlws.FILTER(VT[Name],VT[Category]="senior"),_xlfn.XLOOKUP(E52,_xlfn._xlws.FILTER(VT[cracow_VT_Escore],VT[Category]="senior"),_xlfn._xlws.FILTER(VT[Name],VT[Category]="senior"),_xlfn.XLOOKUP(E52,_xlfn._xlws.FILTER(VT[gdansk_VT_Escore],VT[Category]="senior"),_xlfn._xlws.FILTER(VT[Name],VT[Category]="senior")))))</f>
        <v>SASNAL Filip</v>
      </c>
      <c r="M52" s="4"/>
      <c r="N52" s="4"/>
      <c r="P52" s="2"/>
    </row>
    <row r="53" spans="1:16" x14ac:dyDescent="0.25">
      <c r="A53" s="15" t="s">
        <v>60</v>
      </c>
      <c r="B53" s="15" t="s">
        <v>268</v>
      </c>
      <c r="C53" s="7" cm="1">
        <f t="array" ref="C53">SUM(_xlfn._xlws.FILTER(VT[bydgoszcz_VT_Total_Score],VT[Category]="senior"),_xlfn._xlws.FILTER(VT[zabrze_VT_Total_Score],VT[Category]="senior"),_xlfn._xlws.FILTER(VT[cracow_VT_Total_Score],VT[Category]="senior"),_xlfn._xlws.FILTER(VT[gdansk_VT_Total_Score],VT[Category]="senior"))/(COUNTIFS(VT[bydgoszcz_VT_Total_Score],"&gt;0",VT[Category],"senior")+COUNTIFS(VT[zabrze_VT_Total_Score],"&gt;0",VT[Category],"senior")+COUNTIFS(VT[cracow_VT_Total_Score],"&gt;0",VT[Category],"senior")+COUNTIFS(VT[gdansk_VT_Total_Score],"&gt;0",VT[Category],"senior"))</f>
        <v>12.581578947368424</v>
      </c>
      <c r="D53" s="7" cm="1">
        <f t="array" ref="D53">_xlfn.STDEV.S(_xlfn._xlws.FILTER(VT[bydgoszcz_VT_Total_Score],(VT[Category]="senior")*(VT[bydgoszcz_VT_Total_Score])&gt;0),_xlfn._xlws.FILTER(VT[zabrze_VT_Total_Score],(VT[Category]="senior")*(VT[zabrze_VT_Total_Score])&gt;0),_xlfn._xlws.FILTER(VT[cracow_VT_Total_Score],(VT[Category]="senior")*(VT[cracow_VT_Total_Score])&gt;0),_xlfn._xlws.FILTER(VT[gdansk_VT_Total_Score],(VT[Category]="senior")*(VT[gdansk_VT_Total_Score])&gt;0))</f>
        <v>0.86528440715360067</v>
      </c>
      <c r="E53" s="7" cm="1">
        <f t="array" ref="E53">MAX(_xlfn._xlws.FILTER(VT[bydgoszcz_VT_Total_Score],VT[Category]="senior"),_xlfn._xlws.FILTER(VT[zabrze_VT_Total_Score],VT[Category]="senior"),_xlfn._xlws.FILTER(VT[cracow_VT_Total_Score],VT[Category]="senior"),_xlfn._xlws.FILTER(VT[gdansk_VT_Total_Score],VT[Category]="senior"))</f>
        <v>14.8</v>
      </c>
      <c r="F53" s="2" t="str" cm="1">
        <f t="array" ref="F53">_xlfn.XLOOKUP(E53,_xlfn._xlws.FILTER(VT[bydgoszcz_VT_Total_Score],VT[Category]="senior"),_xlfn._xlws.FILTER(VT[Name],VT[Category]="senior"),_xlfn.XLOOKUP(E53,_xlfn._xlws.FILTER(VT[zabrze_VT_Total_Score],VT[Category]="senior"),_xlfn._xlws.FILTER(VT[Name],VT[Category]="senior"),_xlfn.XLOOKUP(E53,_xlfn._xlws.FILTER(VT[cracow_VT_Total_Score],VT[Category]="senior"),_xlfn._xlws.FILTER(VT[Name],VT[Category]="senior"),_xlfn.XLOOKUP(E53,_xlfn._xlws.FILTER(VT[gdansk_VT_Total_Score],VT[Category]="senior"),_xlfn._xlws.FILTER(VT[Name],VT[Category]="senior")))))</f>
        <v>SASNAL Filip</v>
      </c>
      <c r="M53" s="2"/>
      <c r="N53"/>
      <c r="O53" s="3"/>
      <c r="P53" s="5"/>
    </row>
    <row r="54" spans="1:16" x14ac:dyDescent="0.25">
      <c r="A54" s="15" t="s">
        <v>60</v>
      </c>
      <c r="B54" s="15" t="s">
        <v>275</v>
      </c>
      <c r="C54" s="4" cm="1">
        <f t="array" ref="C54">SUM(_xlfn._xlws.FILTER(VT[Year_Dscore],(VT[Category]="senior")*(VT[Number_of_competition]&gt;=3))/COUNTIFS(VT[Number_of_competition],"&gt;=3",VT[Category],"senior"))</f>
        <v>11.911111111111111</v>
      </c>
      <c r="D54" s="4" cm="1">
        <f t="array" ref="D54">_xlfn.STDEV.S(_xlfn._xlws.FILTER(VT[Year_Dscore],(VT[Category]="senior")*(VT[Number_of_competition]&gt;=3)))</f>
        <v>1.6586473739499692</v>
      </c>
      <c r="E54" s="4" cm="1">
        <f t="array" ref="E54">MAX(_xlfn._xlws.FILTER(VT[Year_Dscore],VT[Category]="senior"))</f>
        <v>15.2</v>
      </c>
      <c r="F54" s="2" t="str" cm="1">
        <f t="array" ref="F54">_xlfn.XLOOKUP(VT_Calculation[[#This Row],[Top]],_xlfn._xlws.FILTER(VT[Year_Dscore],VT[Category]="senior"),_xlfn._xlws.FILTER(VT[Name],VT[Category]="senior"))</f>
        <v>SASNAL Filip</v>
      </c>
      <c r="M54" s="2"/>
      <c r="O54" s="7"/>
      <c r="P54" s="2"/>
    </row>
    <row r="55" spans="1:16" x14ac:dyDescent="0.25">
      <c r="A55" s="15" t="s">
        <v>60</v>
      </c>
      <c r="B55" s="15" t="s">
        <v>276</v>
      </c>
      <c r="C55" s="7" cm="1">
        <f t="array" ref="C55">SUM(_xlfn._xlws.FILTER(VT[Year_Escore],(VT[Category]="senior")*(VT[Number_of_competition]&gt;=3))/COUNTIFS(VT[Number_of_competition],"&gt;=3",VT[Category],"senior"))</f>
        <v>26.855555555555554</v>
      </c>
      <c r="D55" s="7" cm="1">
        <f t="array" ref="D55">_xlfn.STDEV.S(_xlfn._xlws.FILTER(VT[Year_Escore],(VT[Category]="senior")*(VT[Number_of_competition]&gt;=3)))</f>
        <v>0.77598503708369104</v>
      </c>
      <c r="E55" s="7" cm="1">
        <f t="array" ref="E55">MAX(_xlfn._xlws.FILTER(VT[Year_Escore],VT[Category]="senior"))</f>
        <v>27.85</v>
      </c>
      <c r="F55" s="2" t="str" cm="1">
        <f t="array" ref="F55">_xlfn.XLOOKUP(VT_Calculation[[#This Row],[Top]],_xlfn._xlws.FILTER(VT[Year_Escore],VT[Category]="senior"),_xlfn._xlws.FILTER(VT[Name],VT[Category]="senior"))</f>
        <v>CHRUŚCIEL Szymon</v>
      </c>
      <c r="O55" s="7"/>
      <c r="P55" s="2"/>
    </row>
    <row r="56" spans="1:16" x14ac:dyDescent="0.25">
      <c r="A56" s="15" t="s">
        <v>60</v>
      </c>
      <c r="B56" s="15" t="s">
        <v>277</v>
      </c>
      <c r="C56" s="7" cm="1">
        <f t="array" ref="C56">SUM(_xlfn._xlws.FILTER(VT[Year_Total_Score],(VT[Category]="senior")*(VT[Number_of_competition]&gt;=3))/COUNTIFS(VT[Number_of_competition],"&gt;=3",VT[Category],"senior"))</f>
        <v>38.655555555555559</v>
      </c>
      <c r="D56" s="7" cm="1">
        <f t="array" ref="D56">_xlfn.STDEV.S(_xlfn._xlws.FILTER(VT[Year_Total_Score],(VT[Category]="senior")*(VT[Number_of_competition]&gt;=3)))</f>
        <v>1.7740216396024528</v>
      </c>
      <c r="E56" s="7" cm="1">
        <f t="array" ref="E56">MAX(_xlfn._xlws.FILTER(VT[Year_Total_Score],VT[Category]="senior"))</f>
        <v>41.55</v>
      </c>
      <c r="F56" s="2" t="str" cm="1">
        <f t="array" ref="F56">_xlfn.XLOOKUP(VT_Calculation[[#This Row],[Top]],_xlfn._xlws.FILTER(VT[Year_Total_Score],VT[Category]="senior"),_xlfn._xlws.FILTER(VT[Name],VT[Category]="senior"))</f>
        <v>SASNAL Filip</v>
      </c>
      <c r="O56" s="7"/>
      <c r="P56" s="2"/>
    </row>
    <row r="57" spans="1:16" x14ac:dyDescent="0.25">
      <c r="A57" s="14" t="s">
        <v>26</v>
      </c>
      <c r="B57" s="14" t="s">
        <v>269</v>
      </c>
      <c r="C57" s="4" cm="1">
        <f t="array" ref="C57">SUM(_xlfn._xlws.FILTER(VT[bydgoszcz_VT_Dscore],VT[Category]="junior"),_xlfn._xlws.FILTER(VT[zabrze_VT_Dscore],VT[Category]="junior"),_xlfn._xlws.FILTER(VT[cracow_VT_Dscore],VT[Category]="junior"),_xlfn._xlws.FILTER(VT[gdansk_VT_Dscore],VT[Category]="junior"))/(COUNTIFS(VT[bydgoszcz_VT_Dscore],"&gt;0",VT[Category],"junior")+COUNTIFS(VT[zabrze_VT_Dscore],"&gt;0",VT[Category],"junior")+COUNTIFS(VT[cracow_VT_Dscore],"&gt;0",VT[Category],"junior")+COUNTIFS(VT[gdansk_VT_Dscore],"&gt;0",VT[Category],"junior"))</f>
        <v>2.5703703703703704</v>
      </c>
      <c r="D57" s="4" cm="1">
        <f t="array" ref="D57">_xlfn.STDEV.S(_xlfn._xlws.FILTER(VT[bydgoszcz_VT_Dscore],(VT[Category]="junior")*(VT[bydgoszcz_VT_Dscore])&gt;0),_xlfn._xlws.FILTER(VT[zabrze_VT_Dscore],(VT[Category]="junior")*(VT[zabrze_VT_Dscore])&gt;0),_xlfn._xlws.FILTER(VT[cracow_VT_Dscore],(VT[Category]="junior")*(VT[cracow_VT_Dscore])&gt;0),_xlfn._xlws.FILTER(VT[gdansk_VT_Dscore],(VT[Category]="junior")*(VT[gdansk_VT_Dscore])&gt;0))</f>
        <v>0.75276336947693678</v>
      </c>
      <c r="E57" s="4" cm="1">
        <f t="array" ref="E57">MAX(_xlfn._xlws.FILTER(VT[bydgoszcz_VT_Dscore],VT[Category]="junior"),_xlfn._xlws.FILTER(VT[zabrze_VT_Dscore],VT[Category]="junior"),_xlfn._xlws.FILTER(VT[cracow_VT_Dscore],VT[Category]="junior"),_xlfn._xlws.FILTER(VT[gdansk_VT_Dscore],VT[Category]="junior"))</f>
        <v>4</v>
      </c>
      <c r="F57" s="2" t="str" cm="1">
        <f t="array" ref="F57">_xlfn.XLOOKUP(E57,_xlfn._xlws.FILTER(VT[bydgoszcz_VT_Dscore],VT[Category]="junior"),_xlfn._xlws.FILTER(VT[Name],VT[Category]="junior"),_xlfn.XLOOKUP(E57,_xlfn._xlws.FILTER(VT[zabrze_VT_Dscore],VT[Category]="junior"),_xlfn._xlws.FILTER(VT[Name],VT[Category]="junior"),_xlfn.XLOOKUP(E57,_xlfn._xlws.FILTER(VT[cracow_VT_Dscore],VT[Category]="junior"),_xlfn._xlws.FILTER(VT[Name],VT[Category]="junior"),_xlfn.XLOOKUP(E57,_xlfn._xlws.FILTER(VT[gdansk_VT_Dscore],VT[Category]="junior"),_xlfn._xlws.FILTER(VT[Name],VT[Category]="junior")))))</f>
        <v>JANKOWSKI Dominik</v>
      </c>
      <c r="M57" s="2"/>
      <c r="N57"/>
      <c r="O57" s="3"/>
      <c r="P57" s="5"/>
    </row>
    <row r="58" spans="1:16" x14ac:dyDescent="0.25">
      <c r="A58" s="14" t="s">
        <v>26</v>
      </c>
      <c r="B58" s="14" t="s">
        <v>267</v>
      </c>
      <c r="C58" s="7" cm="1">
        <f t="array" ref="C58">SUM(_xlfn._xlws.FILTER(VT[bydgoszcz_VT_Escore],VT[Category]="junior"),_xlfn._xlws.FILTER(VT[zabrze_VT_Escore],VT[Category]="junior"),_xlfn._xlws.FILTER(VT[cracow_VT_Escore],VT[Category]="junior"),_xlfn._xlws.FILTER(VT[gdansk_VT_Escore],VT[Category]="junior"))/(COUNTIFS(VT[bydgoszcz_VT_Escore],"&gt;0",VT[Category],"junior")+COUNTIFS(VT[zabrze_VT_Escore],"&gt;0",VT[Category],"junior")+COUNTIFS(VT[cracow_VT_Escore],"&gt;0",VT[Category],"junior")+COUNTIFS(VT[gdansk_VT_Escore],"&gt;0",VT[Category],"junior"))</f>
        <v>8.6555555555555568</v>
      </c>
      <c r="D58" s="7" cm="1">
        <f t="array" ref="D58">_xlfn.STDEV.S(_xlfn._xlws.FILTER(VT[bydgoszcz_VT_Escore],(VT[Category]="junior")*(VT[bydgoszcz_VT_Escore])&gt;0),_xlfn._xlws.FILTER(VT[zabrze_VT_Escore],(VT[Category]="junior")*(VT[zabrze_VT_Escore])&gt;0),_xlfn._xlws.FILTER(VT[cracow_VT_Escore],(VT[Category]="junior")*(VT[cracow_VT_Escore])&gt;0),_xlfn._xlws.FILTER(VT[gdansk_VT_Escore],(VT[Category]="junior")*(VT[gdansk_VT_Escore])&gt;0))</f>
        <v>0.49560965569448912</v>
      </c>
      <c r="E58" s="7" cm="1">
        <f t="array" ref="E58">MAX(_xlfn._xlws.FILTER(VT[bydgoszcz_VT_Escore],VT[Category]="junior"),_xlfn._xlws.FILTER(VT[zabrze_VT_Escore],VT[Category]="junior"),_xlfn._xlws.FILTER(VT[cracow_VT_Escore],VT[Category]="junior"),_xlfn._xlws.FILTER(VT[gdansk_VT_Escore],VT[Category]="junior"))</f>
        <v>9.5</v>
      </c>
      <c r="F58" s="2" t="str" cm="1">
        <f t="array" ref="F58">_xlfn.XLOOKUP(E58,_xlfn._xlws.FILTER(VT[bydgoszcz_VT_Escore],VT[Category]="junior"),_xlfn._xlws.FILTER(VT[Name],VT[Category]="junior"),_xlfn.XLOOKUP(E58,_xlfn._xlws.FILTER(VT[zabrze_VT_Escore],VT[Category]="junior"),_xlfn._xlws.FILTER(VT[Name],VT[Category]="junior"),_xlfn.XLOOKUP(E58,_xlfn._xlws.FILTER(VT[cracow_VT_Escore],VT[Category]="junior"),_xlfn._xlws.FILTER(VT[Name],VT[Category]="junior"),_xlfn.XLOOKUP(E58,_xlfn._xlws.FILTER(VT[gdansk_VT_Escore],VT[Category]="junior"),_xlfn._xlws.FILTER(VT[Name],VT[Category]="junior")))))</f>
        <v>MOSKAL Błażej</v>
      </c>
      <c r="M58" s="2"/>
      <c r="N58" s="2"/>
      <c r="O58" s="7"/>
      <c r="P58" s="2"/>
    </row>
    <row r="59" spans="1:16" x14ac:dyDescent="0.25">
      <c r="A59" s="14" t="s">
        <v>26</v>
      </c>
      <c r="B59" s="14" t="s">
        <v>268</v>
      </c>
      <c r="C59" s="7" cm="1">
        <f t="array" ref="C59">SUM(_xlfn._xlws.FILTER(VT[bydgoszcz_VT_Total_Score],VT[Category]="junior"),_xlfn._xlws.FILTER(VT[zabrze_VT_Total_Score],VT[Category]="junior"),_xlfn._xlws.FILTER(VT[cracow_VT_Total_Score],VT[Category]="junior"),_xlfn._xlws.FILTER(VT[gdansk_VT_Total_Score],VT[Category]="junior"))/(COUNTIFS(VT[bydgoszcz_VT_Total_Score],"&gt;0",VT[Category],"junior")+COUNTIFS(VT[zabrze_VT_Total_Score],"&gt;0",VT[Category],"junior")+COUNTIFS(VT[cracow_VT_Total_Score],"&gt;0",VT[Category],"junior")+COUNTIFS(VT[gdansk_VT_Total_Score],"&gt;0",VT[Category],"junior"))</f>
        <v>11.225925925925926</v>
      </c>
      <c r="D59" s="7" cm="1">
        <f t="array" ref="D59">_xlfn.STDEV.S(_xlfn._xlws.FILTER(VT[bydgoszcz_VT_Total_Score],(VT[Category]="junior")*(VT[bydgoszcz_VT_Total_Score])&gt;0),_xlfn._xlws.FILTER(VT[zabrze_VT_Total_Score],(VT[Category]="junior")*(VT[zabrze_VT_Total_Score])&gt;0),_xlfn._xlws.FILTER(VT[cracow_VT_Total_Score],(VT[Category]="junior")*(VT[cracow_VT_Total_Score])&gt;0),_xlfn._xlws.FILTER(VT[gdansk_VT_Total_Score],(VT[Category]="junior")*(VT[gdansk_VT_Total_Score])&gt;0))</f>
        <v>0.84394294387873836</v>
      </c>
      <c r="E59" s="7" cm="1">
        <f t="array" ref="E59">MAX(_xlfn._xlws.FILTER(VT[bydgoszcz_VT_Total_Score],VT[Category]="junior"),_xlfn._xlws.FILTER(VT[zabrze_VT_Total_Score],VT[Category]="junior"),_xlfn._xlws.FILTER(VT[cracow_VT_Total_Score],VT[Category]="junior"),_xlfn._xlws.FILTER(VT[gdansk_VT_Total_Score],VT[Category]="junior"))</f>
        <v>12.95</v>
      </c>
      <c r="F59" s="2" t="str" cm="1">
        <f t="array" ref="F59">_xlfn.XLOOKUP(E59,_xlfn._xlws.FILTER(VT[bydgoszcz_VT_Total_Score],VT[Category]="junior"),_xlfn._xlws.FILTER(VT[Name],VT[Category]="junior"),_xlfn.XLOOKUP(E59,_xlfn._xlws.FILTER(VT[zabrze_VT_Total_Score],VT[Category]="junior"),_xlfn._xlws.FILTER(VT[Name],VT[Category]="junior"),_xlfn.XLOOKUP(E59,_xlfn._xlws.FILTER(VT[cracow_VT_Total_Score],VT[Category]="junior"),_xlfn._xlws.FILTER(VT[Name],VT[Category]="junior"),_xlfn.XLOOKUP(E59,_xlfn._xlws.FILTER(VT[gdansk_VT_Total_Score],VT[Category]="junior"),_xlfn._xlws.FILTER(VT[Name],VT[Category]="junior")))))</f>
        <v>CZARNECKI Aleksander</v>
      </c>
      <c r="O59" s="7"/>
      <c r="P59" s="2"/>
    </row>
    <row r="60" spans="1:16" x14ac:dyDescent="0.25">
      <c r="A60" s="15" t="s">
        <v>26</v>
      </c>
      <c r="B60" s="15" t="s">
        <v>275</v>
      </c>
      <c r="C60" s="4" cm="1">
        <f t="array" ref="C60">SUM(_xlfn._xlws.FILTER(VT[Year_Dscore],(VT[Category]="junior")*(VT[Number_of_competition]&gt;=3))/COUNTIFS(VT[Number_of_competition],"&gt;=3",VT[Category],"junior"))</f>
        <v>7.8833333333333337</v>
      </c>
      <c r="D60" s="4" cm="1">
        <f t="array" ref="D60">_xlfn.STDEV.S(_xlfn._xlws.FILTER(VT[Year_Dscore],(VT[Category]="junior")*(VT[Number_of_competition]&gt;=3)))</f>
        <v>1.9935502061002695</v>
      </c>
      <c r="E60" s="4" cm="1">
        <f t="array" ref="E60">MAX(_xlfn._xlws.FILTER(VT[Year_Dscore],VT[Category]="junior"))</f>
        <v>10.8</v>
      </c>
      <c r="F60" s="2" t="str" cm="1">
        <f t="array" ref="F60">_xlfn.XLOOKUP(VT_Calculation[[#This Row],[Top]],_xlfn._xlws.FILTER(VT[Year_Dscore],VT[Category]="junior"),_xlfn._xlws.FILTER(VT[Name],VT[Category]="junior"))</f>
        <v>CZARNECKI Aleksander</v>
      </c>
      <c r="O60" s="7"/>
      <c r="P60" s="2"/>
    </row>
    <row r="61" spans="1:16" x14ac:dyDescent="0.25">
      <c r="A61" s="15" t="s">
        <v>26</v>
      </c>
      <c r="B61" s="15" t="s">
        <v>276</v>
      </c>
      <c r="C61" s="7" cm="1">
        <f t="array" ref="C61">SUM(_xlfn._xlws.FILTER(VT[Year_Escore],(VT[Category]="junior")*(VT[Number_of_competition]&gt;=3))/COUNTIFS(VT[Number_of_competition],"&gt;=3",VT[Category],"junior"))</f>
        <v>26.416666666666671</v>
      </c>
      <c r="D61" s="7" cm="1">
        <f t="array" ref="D61">_xlfn.STDEV.S(_xlfn._xlws.FILTER(VT[Year_Escore],(VT[Category]="junior")*(VT[Number_of_competition]&gt;=3)))</f>
        <v>0.73525917920557926</v>
      </c>
      <c r="E61" s="7" cm="1">
        <f t="array" ref="E61">MAX(_xlfn._xlws.FILTER(VT[Year_Escore],VT[Category]="junior"))</f>
        <v>27.65</v>
      </c>
      <c r="F61" s="2" t="str" cm="1">
        <f t="array" ref="F61">_xlfn.XLOOKUP(VT_Calculation[[#This Row],[Top]],_xlfn._xlws.FILTER(VT[Year_Escore],VT[Category]="junior"),_xlfn._xlws.FILTER(VT[Name],VT[Category]="junior"))</f>
        <v>KWIATKOWSKI Michał</v>
      </c>
    </row>
    <row r="62" spans="1:16" x14ac:dyDescent="0.25">
      <c r="A62" s="23" t="s">
        <v>26</v>
      </c>
      <c r="B62" s="23" t="s">
        <v>277</v>
      </c>
      <c r="C62" s="7" cm="1">
        <f t="array" ref="C62">SUM(_xlfn._xlws.FILTER(VT[Year_Total_Score],(VT[Category]="junior")*(VT[Number_of_competition]&gt;=3))/COUNTIFS(VT[Number_of_competition],"&gt;=3",VT[Category],"junior"))</f>
        <v>34.133333333333333</v>
      </c>
      <c r="D62" s="7" cm="1">
        <f t="array" ref="D62">_xlfn.STDEV.S(_xlfn._xlws.FILTER(VT[Year_Total_Score],(VT[Category]="junior")*(VT[Number_of_competition]&gt;=3)))</f>
        <v>1.9981051630042499</v>
      </c>
      <c r="E62" s="7" cm="1">
        <f t="array" ref="E62">MAX(_xlfn._xlws.FILTER(VT[Year_Total_Score],VT[Category]="junior"))</f>
        <v>37.25</v>
      </c>
      <c r="F62" s="2" t="str" cm="1">
        <f t="array" ref="F62">_xlfn.XLOOKUP(VT_Calculation[[#This Row],[Top]],_xlfn._xlws.FILTER(VT[Year_Total_Score],VT[Category]="junior"),_xlfn._xlws.FILTER(VT[Name],VT[Category]="junior"))</f>
        <v>KWIATKOWSKI Michał</v>
      </c>
    </row>
  </sheetData>
  <mergeCells count="2">
    <mergeCell ref="Y2:Y7"/>
    <mergeCell ref="Y8:Y13"/>
  </mergeCells>
  <conditionalFormatting sqref="A2:A47">
    <cfRule type="expression" dxfId="73" priority="1">
      <formula>IF($B2="junior",$T2=MAX(_xlfn._xlws.FILTER($T$2:$T$47,$B$2:$B$47="junior")),$T2=MAX(_xlfn._xlws.FILTER($T$2:$T$47,$B$2:$B$47="senior")))</formula>
    </cfRule>
    <cfRule type="expression" dxfId="72" priority="2">
      <formula>IF($B2="junior",$T2=LARGE(_xlfn._xlws.FILTER($T$2:$T$47,$B$2:$B$47="junior"),2),$T2=LARGE(_xlfn._xlws.FILTER($T$2:$T$47,$B$2:$B$47="senior"),2))</formula>
    </cfRule>
    <cfRule type="expression" dxfId="71" priority="3">
      <formula>IF($B2="junior",$T2=LARGE(_xlfn._xlws.FILTER($T$2:$T$47,$B$2:$B$47="junior"),3),$T2=LARGE(_xlfn._xlws.FILTER($T$2:$T$47,$B$2:$B$47="senior"),3))</formula>
    </cfRule>
    <cfRule type="expression" dxfId="70" priority="4">
      <formula>IF($B2="junior",$R2=MAX(_xlfn._xlws.FILTER($R$2:$R$47,$B$2:$B$47="junior")),$R2=MAX(_xlfn._xlws.FILTER($R$2:$R$47,$B$2:$B$47="senior")))</formula>
    </cfRule>
    <cfRule type="expression" dxfId="69" priority="5">
      <formula>IF($B2="junior",$S2=MAX(_xlfn._xlws.FILTER($S$2:$S$47,$B$2:$B$47="junior")),$S2=MAX(_xlfn._xlws.FILTER($S$2:$S$47,$B$2:$B$47="senior")))</formula>
    </cfRule>
  </conditionalFormatting>
  <conditionalFormatting sqref="F2:F47 I2:I47 L2:L47 O2:O47 U2:U47">
    <cfRule type="expression" dxfId="68" priority="10">
      <formula>IF($B2="junior",F2&gt;=($AA$8+$AB$8),F2&gt;=($AA$2+$AB$2))</formula>
    </cfRule>
  </conditionalFormatting>
  <conditionalFormatting sqref="F2:F47 I2:I47 L2:L47 O2:O47">
    <cfRule type="expression" dxfId="67" priority="14">
      <formula>AND(AND($B2="junior",F2&lt;2.6),F2&gt;0)</formula>
    </cfRule>
    <cfRule type="expression" dxfId="66" priority="15">
      <formula>AND(AND($B2="senior",F2&lt;2.9),F2&gt;0)</formula>
    </cfRule>
  </conditionalFormatting>
  <conditionalFormatting sqref="F2:W47">
    <cfRule type="cellIs" dxfId="65" priority="16" operator="equal">
      <formula>0</formula>
    </cfRule>
  </conditionalFormatting>
  <conditionalFormatting sqref="H2:H47 K2:K47 N2:N47 Q2:Q47 W2:W47">
    <cfRule type="expression" dxfId="64" priority="11">
      <formula>IF($B2="junior",H2&gt;=($AA$10+$AB$10),H2&gt;=($AA$4+$AB$4))</formula>
    </cfRule>
  </conditionalFormatting>
  <conditionalFormatting sqref="H2:H47 K2:K47 N2:N47 Q2:Q47">
    <cfRule type="expression" dxfId="63" priority="8">
      <formula>IF($B2="junior",H2&gt;=$AC$10,H2&gt;=$AC$4)</formula>
    </cfRule>
  </conditionalFormatting>
  <conditionalFormatting sqref="R2:R47">
    <cfRule type="expression" dxfId="62" priority="9">
      <formula>IF($B2="junior",R2&gt;=($AA$11+$AB$11),R2&gt;=($AA$5+$AB$5))</formula>
    </cfRule>
  </conditionalFormatting>
  <conditionalFormatting sqref="S2:S47">
    <cfRule type="expression" dxfId="61" priority="13">
      <formula>IF($B2="junior",S2&gt;=$AA$12+$AB$12,S2&gt;=$AA$6+$AB$6)</formula>
    </cfRule>
  </conditionalFormatting>
  <conditionalFormatting sqref="T2:T47">
    <cfRule type="expression" dxfId="60" priority="7">
      <formula>IF($B2="junior",T2&gt;=$AC$13,T2&gt;=$AC$7)</formula>
    </cfRule>
    <cfRule type="expression" dxfId="59" priority="12">
      <formula>IF($B2="junior",T2&gt;=($AA$13+$AB$13),T2&gt;=($AA$7+$AB$7))</formula>
    </cfRule>
  </conditionalFormatting>
  <conditionalFormatting sqref="V2:V47">
    <cfRule type="expression" dxfId="58" priority="6">
      <formula>IF($B2="junior",V2&gt;=$AA$9+$AB$9,V2&gt;=$AA$3+$AB$3)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9533EC-A124-5142-B101-5C47086843CB}">
  <sheetPr codeName="Arkusz10">
    <tabColor theme="5" tint="0.39997558519241921"/>
  </sheetPr>
  <dimension ref="A1:AC59"/>
  <sheetViews>
    <sheetView zoomScale="75" zoomScaleNormal="75" workbookViewId="0">
      <selection activeCell="Y15" sqref="Y15:Y24"/>
    </sheetView>
  </sheetViews>
  <sheetFormatPr defaultColWidth="11" defaultRowHeight="15.75" x14ac:dyDescent="0.25"/>
  <cols>
    <col min="1" max="1" width="21.125" bestFit="1" customWidth="1"/>
    <col min="2" max="2" width="18.5" style="2" bestFit="1" customWidth="1"/>
    <col min="3" max="3" width="17" style="2" bestFit="1" customWidth="1"/>
    <col min="4" max="4" width="25.125" bestFit="1" customWidth="1"/>
    <col min="5" max="5" width="8.125" style="2" customWidth="1"/>
    <col min="6" max="6" width="25" style="4" bestFit="1" customWidth="1"/>
    <col min="7" max="8" width="8.125" style="7" customWidth="1"/>
    <col min="9" max="9" width="8.125" style="4" customWidth="1"/>
    <col min="10" max="11" width="8.125" style="7" customWidth="1"/>
    <col min="12" max="12" width="8.125" style="4" customWidth="1"/>
    <col min="13" max="14" width="8.125" style="7" customWidth="1"/>
    <col min="15" max="15" width="8.125" style="4" customWidth="1"/>
    <col min="16" max="16" width="8.125" style="7" customWidth="1"/>
    <col min="17" max="17" width="17" style="7" customWidth="1"/>
    <col min="18" max="23" width="8.125" style="2" customWidth="1"/>
    <col min="25" max="25" width="18.5" bestFit="1" customWidth="1"/>
    <col min="26" max="26" width="20" bestFit="1" customWidth="1"/>
  </cols>
  <sheetData>
    <row r="1" spans="1:29" s="2" customFormat="1" x14ac:dyDescent="0.25">
      <c r="A1" s="7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193</v>
      </c>
      <c r="G1" s="2" t="s">
        <v>194</v>
      </c>
      <c r="H1" s="7" t="s">
        <v>195</v>
      </c>
      <c r="I1" s="2" t="s">
        <v>196</v>
      </c>
      <c r="J1" s="2" t="s">
        <v>197</v>
      </c>
      <c r="K1" s="2" t="s">
        <v>198</v>
      </c>
      <c r="L1" s="2" t="s">
        <v>199</v>
      </c>
      <c r="M1" s="2" t="s">
        <v>200</v>
      </c>
      <c r="N1" s="2" t="s">
        <v>201</v>
      </c>
      <c r="O1" s="2" t="s">
        <v>202</v>
      </c>
      <c r="P1" s="2" t="s">
        <v>203</v>
      </c>
      <c r="Q1" s="2" t="s">
        <v>204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AA1" s="20" t="s">
        <v>273</v>
      </c>
      <c r="AB1" s="20" t="s">
        <v>272</v>
      </c>
      <c r="AC1" s="20" t="s">
        <v>274</v>
      </c>
    </row>
    <row r="2" spans="1:29" x14ac:dyDescent="0.25">
      <c r="A2" t="s">
        <v>63</v>
      </c>
      <c r="B2" s="2" t="s">
        <v>60</v>
      </c>
      <c r="C2" s="2" t="s">
        <v>64</v>
      </c>
      <c r="D2" t="s">
        <v>39</v>
      </c>
      <c r="E2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2" s="4">
        <v>4.2</v>
      </c>
      <c r="G2" s="7">
        <v>8.6</v>
      </c>
      <c r="H2" s="7">
        <v>12.8</v>
      </c>
      <c r="I2" s="4">
        <v>4.2</v>
      </c>
      <c r="J2" s="7">
        <v>8.1999999999999993</v>
      </c>
      <c r="K2" s="7">
        <v>12.4</v>
      </c>
      <c r="L2" s="4">
        <v>4.2</v>
      </c>
      <c r="M2" s="7">
        <v>8.8000000000000007</v>
      </c>
      <c r="N2" s="7">
        <v>13</v>
      </c>
      <c r="O2" s="4">
        <v>4.2</v>
      </c>
      <c r="P2" s="7">
        <v>9.1999999999999993</v>
      </c>
      <c r="Q2" s="7">
        <v>13.4</v>
      </c>
      <c r="R2" s="4">
        <f>LARGE(CHOOSE({1;2;3;4},F2,I2,L2,O2),1)+LARGE(CHOOSE({1;2;3;4},F2,I2,L2,O2),2)+LARGE(CHOOSE({1;2;3;4},F2,I2,L2,O2),3)</f>
        <v>12.600000000000001</v>
      </c>
      <c r="S2" s="7">
        <f>LARGE(CHOOSE({1;2;3;4},G2,J2,M2,P2),1)+LARGE(CHOOSE({1;2;3;4},G2,J2,M2,P2),2)+LARGE(CHOOSE({1;2;3;4},G2,J2,M2,P2),3)</f>
        <v>26.6</v>
      </c>
      <c r="T2" s="7">
        <f>LARGE(CHOOSE({1;2;3;4},H2,K2,N2,Q2),1)+LARGE(CHOOSE({1;2;3;4},H2,K2,N2,Q2),2)+LARGE(CHOOSE({1;2;3;4},H2,K2,N2,Q2),3)</f>
        <v>39.200000000000003</v>
      </c>
      <c r="U2" s="4" cm="1">
        <f t="array" ref="U2">IF(PB[[#This Row],[Number_of_competition]:[Number_of_competition]]&gt;=3,(LARGE(CHOOSE({1;2;3;4},F2,I2,L2,O2),1)+LARGE(CHOOSE({1;2;3;4},F2,I2,L2,O2),2)+LARGE(CHOOSE({1;2;3;4},F2,I2,L2,O2),3))/3,0)</f>
        <v>4.2</v>
      </c>
      <c r="V2" s="7" cm="1">
        <f t="array" ref="V2">IF(PB[[#This Row],[Number_of_competition]:[Number_of_competition]]&gt;=3,(LARGE(CHOOSE({1;2;3;4},G2,J2,M2,P2),1)+LARGE(CHOOSE({1;2;3;4},G2,J2,M2,P2),2)+LARGE(CHOOSE({1;2;3;4},G2,J2,M2,P2),3))/3,0)</f>
        <v>8.8666666666666671</v>
      </c>
      <c r="W2" s="7" cm="1">
        <f t="array" ref="W2">IF(PB[[#This Row],[Number_of_competition]:[Number_of_competition]]&gt;=3,(LARGE(CHOOSE({1;2;3;4},H2,K2,N2,Q2),1)+LARGE(CHOOSE({1;2;3;4},H2,K2,N2,Q2),2)+LARGE(CHOOSE({1;2;3;4},H2,K2,N2,Q2),3))/3,0)</f>
        <v>13.066666666666668</v>
      </c>
      <c r="Y2" s="41" t="s">
        <v>60</v>
      </c>
      <c r="Z2" s="20" t="s">
        <v>269</v>
      </c>
      <c r="AA2" s="21" cm="1">
        <f t="array" ref="AA2">SUM(_xlfn._xlws.FILTER(PB[bydgoszcz_PB_Dscore],PB[Category]="senior"),_xlfn._xlws.FILTER(PB[zabrze_PB_Dscore],PB[Category]="senior"),_xlfn._xlws.FILTER(PB[cracow_PB_Dscore],PB[Category]="senior"),_xlfn._xlws.FILTER(PB[gdansk_PB_Dscore],PB[Category]="senior"))/(COUNTIFS(PB[bydgoszcz_PB_Dscore],"&gt;0",PB[Category],"senior")+COUNTIFS(PB[zabrze_PB_Dscore],"&gt;0",PB[Category],"senior")+COUNTIFS(PB[cracow_PB_Dscore],"&gt;0",PB[Category],"senior")+COUNTIFS(PB[gdansk_PB_Dscore],"&gt;0",PB[Category],"senior"))</f>
        <v>3.5206896551724132</v>
      </c>
      <c r="AB2" s="21" cm="1">
        <f t="array" ref="AB2">_xlfn.STDEV.S(_xlfn._xlws.FILTER(PB[bydgoszcz_PB_Dscore],(PB[Category]="senior")*(PB[bydgoszcz_PB_Dscore])&gt;0),_xlfn._xlws.FILTER(PB[zabrze_PB_Dscore],(PB[Category]="senior")*(PB[zabrze_PB_Dscore])&gt;0),_xlfn._xlws.FILTER(PB[cracow_PB_Dscore],(PB[Category]="senior")*(PB[cracow_PB_Dscore])&gt;0),_xlfn._xlws.FILTER(PB[gdansk_PB_Dscore],(PB[Category]="senior")*(PB[gdansk_PB_Dscore])&gt;0))</f>
        <v>0.73859958068825293</v>
      </c>
      <c r="AC2" s="21" cm="1">
        <f t="array" ref="AC2">MAX(_xlfn._xlws.FILTER(PB[bydgoszcz_PB_Dscore],PB[Category]="senior"),_xlfn._xlws.FILTER(PB[zabrze_PB_Dscore],PB[Category]="senior"),_xlfn._xlws.FILTER(PB[cracow_PB_Dscore],PB[Category]="senior"),_xlfn._xlws.FILTER(PB[gdansk_PB_Dscore],PB[Category]="senior"))</f>
        <v>5.3</v>
      </c>
    </row>
    <row r="3" spans="1:29" x14ac:dyDescent="0.25">
      <c r="A3" t="s">
        <v>25</v>
      </c>
      <c r="B3" s="2" t="s">
        <v>26</v>
      </c>
      <c r="C3" s="2" t="s">
        <v>27</v>
      </c>
      <c r="D3" t="s">
        <v>28</v>
      </c>
      <c r="E3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3" s="4">
        <v>4.0999999999999996</v>
      </c>
      <c r="G3" s="7">
        <v>8.5500000000000007</v>
      </c>
      <c r="H3" s="7">
        <v>12.65</v>
      </c>
      <c r="I3" s="4">
        <v>4.2</v>
      </c>
      <c r="J3" s="7">
        <v>9.1</v>
      </c>
      <c r="K3" s="7">
        <v>13.3</v>
      </c>
      <c r="L3" s="4">
        <v>4.2</v>
      </c>
      <c r="M3" s="7">
        <v>8.6</v>
      </c>
      <c r="N3" s="7">
        <v>12.8</v>
      </c>
      <c r="O3" s="4">
        <v>4.2</v>
      </c>
      <c r="P3" s="7">
        <v>7.7</v>
      </c>
      <c r="Q3" s="7">
        <v>11.9</v>
      </c>
      <c r="R3" s="4">
        <f>LARGE(CHOOSE({1;2;3;4},F3,I3,L3,O3),1)+LARGE(CHOOSE({1;2;3;4},F3,I3,L3,O3),2)+LARGE(CHOOSE({1;2;3;4},F3,I3,L3,O3),3)</f>
        <v>12.600000000000001</v>
      </c>
      <c r="S3" s="7">
        <f>LARGE(CHOOSE({1;2;3;4},G3,J3,M3,P3),1)+LARGE(CHOOSE({1;2;3;4},G3,J3,M3,P3),2)+LARGE(CHOOSE({1;2;3;4},G3,J3,M3,P3),3)</f>
        <v>26.25</v>
      </c>
      <c r="T3" s="7">
        <f>LARGE(CHOOSE({1;2;3;4},H3,K3,N3,Q3),1)+LARGE(CHOOSE({1;2;3;4},H3,K3,N3,Q3),2)+LARGE(CHOOSE({1;2;3;4},H3,K3,N3,Q3),3)</f>
        <v>38.75</v>
      </c>
      <c r="U3" s="4" cm="1">
        <f t="array" ref="U3">IF(PB[[#This Row],[Number_of_competition]:[Number_of_competition]]&gt;=3,(LARGE(CHOOSE({1;2;3;4},F3,I3,L3,O3),1)+LARGE(CHOOSE({1;2;3;4},F3,I3,L3,O3),2)+LARGE(CHOOSE({1;2;3;4},F3,I3,L3,O3),3))/3,0)</f>
        <v>4.2</v>
      </c>
      <c r="V3" s="7" cm="1">
        <f t="array" ref="V3">IF(PB[[#This Row],[Number_of_competition]:[Number_of_competition]]&gt;=3,(LARGE(CHOOSE({1;2;3;4},G3,J3,M3,P3),1)+LARGE(CHOOSE({1;2;3;4},G3,J3,M3,P3),2)+LARGE(CHOOSE({1;2;3;4},G3,J3,M3,P3),3))/3,0)</f>
        <v>8.75</v>
      </c>
      <c r="W3" s="7" cm="1">
        <f t="array" ref="W3">IF(PB[[#This Row],[Number_of_competition]:[Number_of_competition]]&gt;=3,(LARGE(CHOOSE({1;2;3;4},H3,K3,N3,Q3),1)+LARGE(CHOOSE({1;2;3;4},H3,K3,N3,Q3),2)+LARGE(CHOOSE({1;2;3;4},H3,K3,N3,Q3),3))/3,0)</f>
        <v>12.916666666666666</v>
      </c>
      <c r="Y3" s="42"/>
      <c r="Z3" s="20" t="s">
        <v>267</v>
      </c>
      <c r="AA3" s="22" cm="1">
        <f t="array" ref="AA3">SUM(_xlfn._xlws.FILTER(PB[bydgoszcz_PB_Escore],PB[Category]="senior"),_xlfn._xlws.FILTER(PB[zabrze_PB_Escore],PB[Category]="senior"),_xlfn._xlws.FILTER(PB[cracow_PB_Escore],PB[Category]="senior"),_xlfn._xlws.FILTER(PB[gdansk_PB_Escore],PB[Category]="senior"))/(COUNTIFS(PB[bydgoszcz_PB_Escore],"&gt;0",PB[Category],"senior")+COUNTIFS(PB[zabrze_PB_Escore],"&gt;0",PB[Category],"senior")+COUNTIFS(PB[cracow_PB_Escore],"&gt;0",PB[Category],"senior")+COUNTIFS(PB[gdansk_PB_Escore],"&gt;0",PB[Category],"senior"))</f>
        <v>7.8043103448275852</v>
      </c>
      <c r="AB3" s="22" cm="1">
        <f t="array" ref="AB3">_xlfn.STDEV.S(_xlfn._xlws.FILTER(PB[bydgoszcz_PB_Escore],(PB[Category]="senior")*(PB[bydgoszcz_PB_Escore])&gt;0),_xlfn._xlws.FILTER(PB[zabrze_PB_Escore],(PB[Category]="senior")*(PB[zabrze_PB_Escore])&gt;0),_xlfn._xlws.FILTER(PB[cracow_PB_Escore],(PB[Category]="senior")*(PB[cracow_PB_Escore])&gt;0),_xlfn._xlws.FILTER(PB[gdansk_PB_Escore],(PB[Category]="senior")*(PB[gdansk_PB_Escore])&gt;0))</f>
        <v>1.0093112330467156</v>
      </c>
      <c r="AC3" s="22" cm="1">
        <f t="array" ref="AC3">MAX(_xlfn._xlws.FILTER(PB[bydgoszcz_PB_Escore],PB[Category]="senior"),_xlfn._xlws.FILTER(PB[zabrze_PB_Escore],PB[Category]="senior"),_xlfn._xlws.FILTER(PB[cracow_PB_Escore],PB[Category]="senior"),_xlfn._xlws.FILTER(PB[gdansk_PB_Escore],PB[Category]="senior"))</f>
        <v>9.35</v>
      </c>
    </row>
    <row r="4" spans="1:29" x14ac:dyDescent="0.25">
      <c r="A4" t="s">
        <v>80</v>
      </c>
      <c r="B4" s="2" t="s">
        <v>60</v>
      </c>
      <c r="C4" s="2" t="s">
        <v>81</v>
      </c>
      <c r="D4" t="s">
        <v>62</v>
      </c>
      <c r="E4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4" s="4">
        <v>3.7</v>
      </c>
      <c r="G4" s="7">
        <v>8.4499999999999993</v>
      </c>
      <c r="H4" s="7">
        <v>12.15</v>
      </c>
      <c r="I4" s="4">
        <v>3.6</v>
      </c>
      <c r="J4" s="7">
        <v>8.65</v>
      </c>
      <c r="K4" s="7">
        <v>12.25</v>
      </c>
      <c r="L4" s="4">
        <v>4</v>
      </c>
      <c r="M4" s="7">
        <v>8.85</v>
      </c>
      <c r="N4" s="7">
        <v>12.85</v>
      </c>
      <c r="O4" s="4">
        <v>2.7</v>
      </c>
      <c r="P4" s="7">
        <v>6</v>
      </c>
      <c r="Q4" s="7">
        <v>8.6999999999999993</v>
      </c>
      <c r="R4" s="4">
        <f>LARGE(CHOOSE({1;2;3;4},F4,I4,L4,O4),1)+LARGE(CHOOSE({1;2;3;4},F4,I4,L4,O4),2)+LARGE(CHOOSE({1;2;3;4},F4,I4,L4,O4),3)</f>
        <v>11.3</v>
      </c>
      <c r="S4" s="7">
        <f>LARGE(CHOOSE({1;2;3;4},G4,J4,M4,P4),1)+LARGE(CHOOSE({1;2;3;4},G4,J4,M4,P4),2)+LARGE(CHOOSE({1;2;3;4},G4,J4,M4,P4),3)</f>
        <v>25.95</v>
      </c>
      <c r="T4" s="7">
        <f>LARGE(CHOOSE({1;2;3;4},H4,K4,N4,Q4),1)+LARGE(CHOOSE({1;2;3;4},H4,K4,N4,Q4),2)+LARGE(CHOOSE({1;2;3;4},H4,K4,N4,Q4),3)</f>
        <v>37.25</v>
      </c>
      <c r="U4" s="4" cm="1">
        <f t="array" ref="U4">IF(PB[[#This Row],[Number_of_competition]:[Number_of_competition]]&gt;=3,(LARGE(CHOOSE({1;2;3;4},F4,I4,L4,O4),1)+LARGE(CHOOSE({1;2;3;4},F4,I4,L4,O4),2)+LARGE(CHOOSE({1;2;3;4},F4,I4,L4,O4),3))/3,0)</f>
        <v>3.7666666666666671</v>
      </c>
      <c r="V4" s="7" cm="1">
        <f t="array" ref="V4">IF(PB[[#This Row],[Number_of_competition]:[Number_of_competition]]&gt;=3,(LARGE(CHOOSE({1;2;3;4},G4,J4,M4,P4),1)+LARGE(CHOOSE({1;2;3;4},G4,J4,M4,P4),2)+LARGE(CHOOSE({1;2;3;4},G4,J4,M4,P4),3))/3,0)</f>
        <v>8.65</v>
      </c>
      <c r="W4" s="7" cm="1">
        <f t="array" ref="W4">IF(PB[[#This Row],[Number_of_competition]:[Number_of_competition]]&gt;=3,(LARGE(CHOOSE({1;2;3;4},H4,K4,N4,Q4),1)+LARGE(CHOOSE({1;2;3;4},H4,K4,N4,Q4),2)+LARGE(CHOOSE({1;2;3;4},H4,K4,N4,Q4),3))/3,0)</f>
        <v>12.416666666666666</v>
      </c>
      <c r="Y4" s="42"/>
      <c r="Z4" s="20" t="s">
        <v>268</v>
      </c>
      <c r="AA4" s="22" cm="1">
        <f t="array" ref="AA4">SUM(_xlfn._xlws.FILTER(PB[bydgoszcz_PB_Total_Score],PB[Category]="senior"),_xlfn._xlws.FILTER(PB[zabrze_PB_Total_Score],PB[Category]="senior"),_xlfn._xlws.FILTER(PB[cracow_PB_Total_Score],PB[Category]="senior"),_xlfn._xlws.FILTER(PB[gdansk_PB_Total_Score],PB[Category]="senior"))/(COUNTIFS(PB[bydgoszcz_PB_Total_Score],"&gt;0",PB[Category],"senior")+COUNTIFS(PB[zabrze_PB_Total_Score],"&gt;0",PB[Category],"senior")+COUNTIFS(PB[cracow_PB_Total_Score],"&gt;0",PB[Category],"senior")+COUNTIFS(PB[gdansk_PB_Total_Score],"&gt;0",PB[Category],"senior"))</f>
        <v>11.324999999999996</v>
      </c>
      <c r="AB4" s="22" cm="1">
        <f t="array" ref="AB4">_xlfn.STDEV.S(_xlfn._xlws.FILTER(PB[bydgoszcz_PB_Total_Score],(PB[Category]="senior")*(PB[bydgoszcz_PB_Total_Score])&gt;0),_xlfn._xlws.FILTER(PB[zabrze_PB_Total_Score],(PB[Category]="senior")*(PB[zabrze_PB_Total_Score])&gt;0),_xlfn._xlws.FILTER(PB[cracow_PB_Total_Score],(PB[Category]="senior")*(PB[cracow_PB_Total_Score])&gt;0),_xlfn._xlws.FILTER(PB[gdansk_PB_Total_Score],(PB[Category]="senior")*(PB[gdansk_PB_Total_Score])&gt;0))</f>
        <v>1.2791941679425909</v>
      </c>
      <c r="AC4" s="22" cm="1">
        <f t="array" ref="AC4">MAX(_xlfn._xlws.FILTER(PB[bydgoszcz_PB_Total_Score],PB[Category]="senior"),_xlfn._xlws.FILTER(PB[zabrze_PB_Total_Score],PB[Category]="senior"),_xlfn._xlws.FILTER(PB[cracow_PB_Total_Score],PB[Category]="senior"),_xlfn._xlws.FILTER(PB[gdansk_PB_Total_Score],PB[Category]="senior"))</f>
        <v>13.4</v>
      </c>
    </row>
    <row r="5" spans="1:29" x14ac:dyDescent="0.25">
      <c r="A5" t="s">
        <v>77</v>
      </c>
      <c r="B5" s="2" t="s">
        <v>60</v>
      </c>
      <c r="C5" s="2" t="s">
        <v>78</v>
      </c>
      <c r="D5" t="s">
        <v>79</v>
      </c>
      <c r="E5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5" s="4">
        <v>4</v>
      </c>
      <c r="G5" s="7">
        <v>8.15</v>
      </c>
      <c r="H5" s="7">
        <v>12.15</v>
      </c>
      <c r="I5" s="4">
        <v>3.8</v>
      </c>
      <c r="J5" s="7">
        <v>8.75</v>
      </c>
      <c r="K5" s="7">
        <v>12.55</v>
      </c>
      <c r="L5" s="4">
        <v>3.8</v>
      </c>
      <c r="M5" s="7">
        <v>8.5</v>
      </c>
      <c r="N5" s="7">
        <v>12.3</v>
      </c>
      <c r="O5" s="4">
        <v>3.1</v>
      </c>
      <c r="P5" s="7">
        <v>6.9</v>
      </c>
      <c r="Q5" s="7">
        <v>10</v>
      </c>
      <c r="R5" s="4">
        <f>LARGE(CHOOSE({1;2;3;4},F5,I5,L5,O5),1)+LARGE(CHOOSE({1;2;3;4},F5,I5,L5,O5),2)+LARGE(CHOOSE({1;2;3;4},F5,I5,L5,O5),3)</f>
        <v>11.6</v>
      </c>
      <c r="S5" s="7">
        <f>LARGE(CHOOSE({1;2;3;4},G5,J5,M5,P5),1)+LARGE(CHOOSE({1;2;3;4},G5,J5,M5,P5),2)+LARGE(CHOOSE({1;2;3;4},G5,J5,M5,P5),3)</f>
        <v>25.4</v>
      </c>
      <c r="T5" s="7">
        <f>LARGE(CHOOSE({1;2;3;4},H5,K5,N5,Q5),1)+LARGE(CHOOSE({1;2;3;4},H5,K5,N5,Q5),2)+LARGE(CHOOSE({1;2;3;4},H5,K5,N5,Q5),3)</f>
        <v>37</v>
      </c>
      <c r="U5" s="4" cm="1">
        <f t="array" ref="U5">IF(PB[[#This Row],[Number_of_competition]:[Number_of_competition]]&gt;=3,(LARGE(CHOOSE({1;2;3;4},F5,I5,L5,O5),1)+LARGE(CHOOSE({1;2;3;4},F5,I5,L5,O5),2)+LARGE(CHOOSE({1;2;3;4},F5,I5,L5,O5),3))/3,0)</f>
        <v>3.8666666666666667</v>
      </c>
      <c r="V5" s="7" cm="1">
        <f t="array" ref="V5">IF(PB[[#This Row],[Number_of_competition]:[Number_of_competition]]&gt;=3,(LARGE(CHOOSE({1;2;3;4},G5,J5,M5,P5),1)+LARGE(CHOOSE({1;2;3;4},G5,J5,M5,P5),2)+LARGE(CHOOSE({1;2;3;4},G5,J5,M5,P5),3))/3,0)</f>
        <v>8.4666666666666668</v>
      </c>
      <c r="W5" s="7" cm="1">
        <f t="array" ref="W5">IF(PB[[#This Row],[Number_of_competition]:[Number_of_competition]]&gt;=3,(LARGE(CHOOSE({1;2;3;4},H5,K5,N5,Q5),1)+LARGE(CHOOSE({1;2;3;4},H5,K5,N5,Q5),2)+LARGE(CHOOSE({1;2;3;4},H5,K5,N5,Q5),3))/3,0)</f>
        <v>12.333333333333334</v>
      </c>
      <c r="Y5" s="42"/>
      <c r="Z5" s="20" t="s">
        <v>275</v>
      </c>
      <c r="AA5" s="21" cm="1">
        <f t="array" ref="AA5">SUM(_xlfn._xlws.FILTER(PB[Year_Dscore],(PB[Category]="senior")*(PB[Number_of_competition]&gt;=3))/COUNTIFS(PB[Number_of_competition],"&gt;=3",PB[Category],"senior"))</f>
        <v>11.277777777777777</v>
      </c>
      <c r="AB5" s="21" cm="1">
        <f t="array" ref="AB5">_xlfn.STDEV.S(_xlfn._xlws.FILTER(PB[Year_Dscore],(PB[Category]="senior")*(PB[Number_of_competition]&gt;=3)))</f>
        <v>2.2134688713520196</v>
      </c>
      <c r="AC5" s="21" cm="1">
        <f t="array" ref="AC5">MAX(_xlfn._xlws.FILTER(PB[Year_Dscore],PB[Category]="senior"))</f>
        <v>15.6</v>
      </c>
    </row>
    <row r="6" spans="1:29" x14ac:dyDescent="0.25">
      <c r="A6" t="s">
        <v>59</v>
      </c>
      <c r="B6" s="2" t="s">
        <v>60</v>
      </c>
      <c r="C6" s="2" t="s">
        <v>61</v>
      </c>
      <c r="D6" t="s">
        <v>62</v>
      </c>
      <c r="E6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6" s="4">
        <v>0</v>
      </c>
      <c r="G6" s="7">
        <v>0</v>
      </c>
      <c r="H6" s="7">
        <v>0</v>
      </c>
      <c r="I6" s="4">
        <v>5</v>
      </c>
      <c r="J6" s="7">
        <v>7.45</v>
      </c>
      <c r="K6" s="7">
        <v>12.45</v>
      </c>
      <c r="L6" s="4">
        <v>5.3</v>
      </c>
      <c r="M6" s="7">
        <v>6.6</v>
      </c>
      <c r="N6" s="7">
        <v>11.9</v>
      </c>
      <c r="O6" s="4">
        <v>5.3</v>
      </c>
      <c r="P6" s="7">
        <v>7</v>
      </c>
      <c r="Q6" s="7">
        <v>12.3</v>
      </c>
      <c r="R6" s="4">
        <f>LARGE(CHOOSE({1;2;3;4},F6,I6,L6,O6),1)+LARGE(CHOOSE({1;2;3;4},F6,I6,L6,O6),2)+LARGE(CHOOSE({1;2;3;4},F6,I6,L6,O6),3)</f>
        <v>15.6</v>
      </c>
      <c r="S6" s="7">
        <f>LARGE(CHOOSE({1;2;3;4},G6,J6,M6,P6),1)+LARGE(CHOOSE({1;2;3;4},G6,J6,M6,P6),2)+LARGE(CHOOSE({1;2;3;4},G6,J6,M6,P6),3)</f>
        <v>21.049999999999997</v>
      </c>
      <c r="T6" s="7">
        <f>LARGE(CHOOSE({1;2;3;4},H6,K6,N6,Q6),1)+LARGE(CHOOSE({1;2;3;4},H6,K6,N6,Q6),2)+LARGE(CHOOSE({1;2;3;4},H6,K6,N6,Q6),3)</f>
        <v>36.65</v>
      </c>
      <c r="U6" s="4" cm="1">
        <f t="array" ref="U6">IF(PB[[#This Row],[Number_of_competition]:[Number_of_competition]]&gt;=3,(LARGE(CHOOSE({1;2;3;4},F6,I6,L6,O6),1)+LARGE(CHOOSE({1;2;3;4},F6,I6,L6,O6),2)+LARGE(CHOOSE({1;2;3;4},F6,I6,L6,O6),3))/3,0)</f>
        <v>5.2</v>
      </c>
      <c r="V6" s="7" cm="1">
        <f t="array" ref="V6">IF(PB[[#This Row],[Number_of_competition]:[Number_of_competition]]&gt;=3,(LARGE(CHOOSE({1;2;3;4},G6,J6,M6,P6),1)+LARGE(CHOOSE({1;2;3;4},G6,J6,M6,P6),2)+LARGE(CHOOSE({1;2;3;4},G6,J6,M6,P6),3))/3,0)</f>
        <v>7.0166666666666657</v>
      </c>
      <c r="W6" s="7" cm="1">
        <f t="array" ref="W6">IF(PB[[#This Row],[Number_of_competition]:[Number_of_competition]]&gt;=3,(LARGE(CHOOSE({1;2;3;4},H6,K6,N6,Q6),1)+LARGE(CHOOSE({1;2;3;4},H6,K6,N6,Q6),2)+LARGE(CHOOSE({1;2;3;4},H6,K6,N6,Q6),3))/3,0)</f>
        <v>12.216666666666667</v>
      </c>
      <c r="Y6" s="42"/>
      <c r="Z6" s="20" t="s">
        <v>276</v>
      </c>
      <c r="AA6" s="22" cm="1">
        <f t="array" ref="AA6">SUM(_xlfn._xlws.FILTER(PB[Year_Escore],(PB[Category]="senior")*(PB[Number_of_competition]&gt;=3))/COUNTIFS(PB[Number_of_competition],"&gt;=3",PB[Category],"senior"))</f>
        <v>23.9</v>
      </c>
      <c r="AB6" s="22" cm="1">
        <f t="array" ref="AB6">_xlfn.STDEV.S(_xlfn._xlws.FILTER(PB[Year_Escore],(PB[Category]="senior")*(PB[Number_of_competition]&gt;=3)))</f>
        <v>2.1163057435068309</v>
      </c>
      <c r="AC6" s="22" cm="1">
        <f t="array" ref="AC6">MAX(_xlfn._xlws.FILTER(PB[Year_Escore],PB[Category]="senior"))</f>
        <v>26.6</v>
      </c>
    </row>
    <row r="7" spans="1:29" x14ac:dyDescent="0.25">
      <c r="A7" t="s">
        <v>44</v>
      </c>
      <c r="B7" s="2" t="s">
        <v>26</v>
      </c>
      <c r="C7" s="2" t="s">
        <v>45</v>
      </c>
      <c r="D7" t="s">
        <v>39</v>
      </c>
      <c r="E7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7" s="4">
        <v>3.1</v>
      </c>
      <c r="G7" s="7">
        <v>8.6999999999999993</v>
      </c>
      <c r="H7" s="7">
        <v>11.8</v>
      </c>
      <c r="I7" s="4">
        <v>3</v>
      </c>
      <c r="J7" s="7">
        <v>9</v>
      </c>
      <c r="K7" s="7">
        <v>12</v>
      </c>
      <c r="L7" s="4">
        <v>3</v>
      </c>
      <c r="M7" s="7">
        <v>8.9</v>
      </c>
      <c r="N7" s="7">
        <v>11.9</v>
      </c>
      <c r="O7" s="4">
        <v>2.6</v>
      </c>
      <c r="P7" s="7">
        <v>8.9</v>
      </c>
      <c r="Q7" s="7">
        <v>11.5</v>
      </c>
      <c r="R7" s="4">
        <f>LARGE(CHOOSE({1;2;3;4},F7,I7,L7,O7),1)+LARGE(CHOOSE({1;2;3;4},F7,I7,L7,O7),2)+LARGE(CHOOSE({1;2;3;4},F7,I7,L7,O7),3)</f>
        <v>9.1</v>
      </c>
      <c r="S7" s="7">
        <f>LARGE(CHOOSE({1;2;3;4},G7,J7,M7,P7),1)+LARGE(CHOOSE({1;2;3;4},G7,J7,M7,P7),2)+LARGE(CHOOSE({1;2;3;4},G7,J7,M7,P7),3)</f>
        <v>26.799999999999997</v>
      </c>
      <c r="T7" s="7">
        <f>LARGE(CHOOSE({1;2;3;4},H7,K7,N7,Q7),1)+LARGE(CHOOSE({1;2;3;4},H7,K7,N7,Q7),2)+LARGE(CHOOSE({1;2;3;4},H7,K7,N7,Q7),3)</f>
        <v>35.700000000000003</v>
      </c>
      <c r="U7" s="4" cm="1">
        <f t="array" ref="U7">IF(PB[[#This Row],[Number_of_competition]:[Number_of_competition]]&gt;=3,(LARGE(CHOOSE({1;2;3;4},F7,I7,L7,O7),1)+LARGE(CHOOSE({1;2;3;4},F7,I7,L7,O7),2)+LARGE(CHOOSE({1;2;3;4},F7,I7,L7,O7),3))/3,0)</f>
        <v>3.0333333333333332</v>
      </c>
      <c r="V7" s="7" cm="1">
        <f t="array" ref="V7">IF(PB[[#This Row],[Number_of_competition]:[Number_of_competition]]&gt;=3,(LARGE(CHOOSE({1;2;3;4},G7,J7,M7,P7),1)+LARGE(CHOOSE({1;2;3;4},G7,J7,M7,P7),2)+LARGE(CHOOSE({1;2;3;4},G7,J7,M7,P7),3))/3,0)</f>
        <v>8.9333333333333318</v>
      </c>
      <c r="W7" s="7" cm="1">
        <f t="array" ref="W7">IF(PB[[#This Row],[Number_of_competition]:[Number_of_competition]]&gt;=3,(LARGE(CHOOSE({1;2;3;4},H7,K7,N7,Q7),1)+LARGE(CHOOSE({1;2;3;4},H7,K7,N7,Q7),2)+LARGE(CHOOSE({1;2;3;4},H7,K7,N7,Q7),3))/3,0)</f>
        <v>11.9</v>
      </c>
      <c r="Y7" s="43"/>
      <c r="Z7" s="20" t="s">
        <v>277</v>
      </c>
      <c r="AA7" s="22" cm="1">
        <f t="array" ref="AA7">SUM(_xlfn._xlws.FILTER(PB[Year_Total_Score],(PB[Category]="senior")*(PB[Number_of_competition]&gt;=3))/COUNTIFS(PB[Number_of_competition],"&gt;=3",PB[Category],"senior"))</f>
        <v>35.05555555555555</v>
      </c>
      <c r="AB7" s="22" cm="1">
        <f t="array" ref="AB7">_xlfn.STDEV.S(_xlfn._xlws.FILTER(PB[Year_Total_Score],(PB[Category]="senior")*(PB[Number_of_competition]&gt;=3)))</f>
        <v>3.0504553394170153</v>
      </c>
      <c r="AC7" s="22" cm="1">
        <f t="array" ref="AC7">MAX(_xlfn._xlws.FILTER(PB[Year_Total_Score],PB[Category]="senior"))</f>
        <v>39.200000000000003</v>
      </c>
    </row>
    <row r="8" spans="1:29" x14ac:dyDescent="0.25">
      <c r="A8" t="s">
        <v>84</v>
      </c>
      <c r="B8" s="2" t="s">
        <v>60</v>
      </c>
      <c r="C8" s="2" t="s">
        <v>85</v>
      </c>
      <c r="D8" t="s">
        <v>39</v>
      </c>
      <c r="E8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8" s="4">
        <v>3.7</v>
      </c>
      <c r="G8" s="7">
        <v>7.85</v>
      </c>
      <c r="H8" s="7">
        <v>11.55</v>
      </c>
      <c r="I8" s="4">
        <v>4.2</v>
      </c>
      <c r="J8" s="7">
        <v>7.5</v>
      </c>
      <c r="K8" s="7">
        <v>11.7</v>
      </c>
      <c r="L8" s="4">
        <v>3.6</v>
      </c>
      <c r="M8" s="7">
        <v>7.9</v>
      </c>
      <c r="N8" s="7">
        <v>11.5</v>
      </c>
      <c r="O8" s="4">
        <v>4.2</v>
      </c>
      <c r="P8" s="7">
        <v>7.7</v>
      </c>
      <c r="Q8" s="7">
        <v>11.9</v>
      </c>
      <c r="R8" s="4">
        <f>LARGE(CHOOSE({1;2;3;4},F8,I8,L8,O8),1)+LARGE(CHOOSE({1;2;3;4},F8,I8,L8,O8),2)+LARGE(CHOOSE({1;2;3;4},F8,I8,L8,O8),3)</f>
        <v>12.100000000000001</v>
      </c>
      <c r="S8" s="7">
        <f>LARGE(CHOOSE({1;2;3;4},G8,J8,M8,P8),1)+LARGE(CHOOSE({1;2;3;4},G8,J8,M8,P8),2)+LARGE(CHOOSE({1;2;3;4},G8,J8,M8,P8),3)</f>
        <v>23.45</v>
      </c>
      <c r="T8" s="7">
        <f>LARGE(CHOOSE({1;2;3;4},H8,K8,N8,Q8),1)+LARGE(CHOOSE({1;2;3;4},H8,K8,N8,Q8),2)+LARGE(CHOOSE({1;2;3;4},H8,K8,N8,Q8),3)</f>
        <v>35.150000000000006</v>
      </c>
      <c r="U8" s="4" cm="1">
        <f t="array" ref="U8">IF(PB[[#This Row],[Number_of_competition]:[Number_of_competition]]&gt;=3,(LARGE(CHOOSE({1;2;3;4},F8,I8,L8,O8),1)+LARGE(CHOOSE({1;2;3;4},F8,I8,L8,O8),2)+LARGE(CHOOSE({1;2;3;4},F8,I8,L8,O8),3))/3,0)</f>
        <v>4.0333333333333341</v>
      </c>
      <c r="V8" s="7" cm="1">
        <f t="array" ref="V8">IF(PB[[#This Row],[Number_of_competition]:[Number_of_competition]]&gt;=3,(LARGE(CHOOSE({1;2;3;4},G8,J8,M8,P8),1)+LARGE(CHOOSE({1;2;3;4},G8,J8,M8,P8),2)+LARGE(CHOOSE({1;2;3;4},G8,J8,M8,P8),3))/3,0)</f>
        <v>7.8166666666666664</v>
      </c>
      <c r="W8" s="7" cm="1">
        <f t="array" ref="W8">IF(PB[[#This Row],[Number_of_competition]:[Number_of_competition]]&gt;=3,(LARGE(CHOOSE({1;2;3;4},H8,K8,N8,Q8),1)+LARGE(CHOOSE({1;2;3;4},H8,K8,N8,Q8),2)+LARGE(CHOOSE({1;2;3;4},H8,K8,N8,Q8),3))/3,0)</f>
        <v>11.716666666666669</v>
      </c>
      <c r="Y8" s="41" t="s">
        <v>26</v>
      </c>
      <c r="Z8" s="20" t="s">
        <v>269</v>
      </c>
      <c r="AA8" s="21" cm="1">
        <f t="array" ref="AA8">SUM(_xlfn._xlws.FILTER(PB[bydgoszcz_PB_Dscore],PB[Category]="junior"),_xlfn._xlws.FILTER(PB[zabrze_PB_Dscore],PB[Category]="junior"),_xlfn._xlws.FILTER(PB[cracow_PB_Dscore],PB[Category]="junior"),_xlfn._xlws.FILTER(PB[gdansk_PB_Dscore],PB[Category]="junior"))/(COUNTIFS(PB[bydgoszcz_PB_Dscore],"&gt;0",PB[Category],"junior")+COUNTIFS(PB[zabrze_PB_Dscore],"&gt;0",PB[Category],"junior")+COUNTIFS(PB[cracow_PB_Dscore],"&gt;0",PB[Category],"junior")+COUNTIFS(PB[gdansk_PB_Dscore],"&gt;0",PB[Category],"junior"))</f>
        <v>3.0057692307692303</v>
      </c>
      <c r="AB8" s="21" cm="1">
        <f t="array" ref="AB8">_xlfn.STDEV.S(_xlfn._xlws.FILTER(PB[bydgoszcz_PB_Dscore],(PB[Category]="junior")*(PB[bydgoszcz_PB_Dscore])&gt;0),_xlfn._xlws.FILTER(PB[zabrze_PB_Dscore],(PB[Category]="junior")*(PB[zabrze_PB_Dscore])&gt;0),_xlfn._xlws.FILTER(PB[cracow_PB_Dscore],(PB[Category]="junior")*(PB[cracow_PB_Dscore])&gt;0),_xlfn._xlws.FILTER(PB[gdansk_PB_Dscore],(PB[Category]="junior")*(PB[gdansk_PB_Dscore])&gt;0))</f>
        <v>0.574085278060389</v>
      </c>
      <c r="AC8" s="21" cm="1">
        <f t="array" ref="AC8">MAX(_xlfn._xlws.FILTER(PB[bydgoszcz_PB_Dscore],PB[Category]="junior"),_xlfn._xlws.FILTER(PB[zabrze_PB_Dscore],PB[Category]="junior"),_xlfn._xlws.FILTER(PB[cracow_PB_Dscore],PB[Category]="junior"),_xlfn._xlws.FILTER(PB[gdansk_PB_Dscore],PB[Category]="junior"))</f>
        <v>4.2</v>
      </c>
    </row>
    <row r="9" spans="1:29" x14ac:dyDescent="0.25">
      <c r="A9" t="s">
        <v>29</v>
      </c>
      <c r="B9" s="2" t="s">
        <v>26</v>
      </c>
      <c r="C9" s="2" t="s">
        <v>30</v>
      </c>
      <c r="D9" t="s">
        <v>31</v>
      </c>
      <c r="E9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9" s="4">
        <v>3.2</v>
      </c>
      <c r="G9" s="7">
        <v>8.4499999999999993</v>
      </c>
      <c r="H9" s="7">
        <v>11.65</v>
      </c>
      <c r="I9" s="4">
        <v>3.4</v>
      </c>
      <c r="J9" s="7">
        <v>8.35</v>
      </c>
      <c r="K9" s="7">
        <v>11.75</v>
      </c>
      <c r="L9" s="4">
        <v>0</v>
      </c>
      <c r="M9" s="7">
        <v>0</v>
      </c>
      <c r="N9" s="7">
        <v>0</v>
      </c>
      <c r="O9" s="4">
        <v>3.4</v>
      </c>
      <c r="P9" s="7">
        <v>8.1999999999999993</v>
      </c>
      <c r="Q9" s="7">
        <v>11.6</v>
      </c>
      <c r="R9" s="4">
        <f>LARGE(CHOOSE({1;2;3;4},F9,I9,L9,O9),1)+LARGE(CHOOSE({1;2;3;4},F9,I9,L9,O9),2)+LARGE(CHOOSE({1;2;3;4},F9,I9,L9,O9),3)</f>
        <v>10</v>
      </c>
      <c r="S9" s="7">
        <f>LARGE(CHOOSE({1;2;3;4},G9,J9,M9,P9),1)+LARGE(CHOOSE({1;2;3;4},G9,J9,M9,P9),2)+LARGE(CHOOSE({1;2;3;4},G9,J9,M9,P9),3)</f>
        <v>24.999999999999996</v>
      </c>
      <c r="T9" s="7">
        <f>LARGE(CHOOSE({1;2;3;4},H9,K9,N9,Q9),1)+LARGE(CHOOSE({1;2;3;4},H9,K9,N9,Q9),2)+LARGE(CHOOSE({1;2;3;4},H9,K9,N9,Q9),3)</f>
        <v>35</v>
      </c>
      <c r="U9" s="4" cm="1">
        <f t="array" ref="U9">IF(PB[[#This Row],[Number_of_competition]:[Number_of_competition]]&gt;=3,(LARGE(CHOOSE({1;2;3;4},F9,I9,L9,O9),1)+LARGE(CHOOSE({1;2;3;4},F9,I9,L9,O9),2)+LARGE(CHOOSE({1;2;3;4},F9,I9,L9,O9),3))/3,0)</f>
        <v>3.3333333333333335</v>
      </c>
      <c r="V9" s="7" cm="1">
        <f t="array" ref="V9">IF(PB[[#This Row],[Number_of_competition]:[Number_of_competition]]&gt;=3,(LARGE(CHOOSE({1;2;3;4},G9,J9,M9,P9),1)+LARGE(CHOOSE({1;2;3;4},G9,J9,M9,P9),2)+LARGE(CHOOSE({1;2;3;4},G9,J9,M9,P9),3))/3,0)</f>
        <v>8.3333333333333321</v>
      </c>
      <c r="W9" s="7" cm="1">
        <f t="array" ref="W9">IF(PB[[#This Row],[Number_of_competition]:[Number_of_competition]]&gt;=3,(LARGE(CHOOSE({1;2;3;4},H9,K9,N9,Q9),1)+LARGE(CHOOSE({1;2;3;4},H9,K9,N9,Q9),2)+LARGE(CHOOSE({1;2;3;4},H9,K9,N9,Q9),3))/3,0)</f>
        <v>11.666666666666666</v>
      </c>
      <c r="Y9" s="42"/>
      <c r="Z9" s="20" t="s">
        <v>267</v>
      </c>
      <c r="AA9" s="22" cm="1">
        <f t="array" ref="AA9">SUM(_xlfn._xlws.FILTER(PB[bydgoszcz_PB_Escore],PB[Category]="junior"),_xlfn._xlws.FILTER(PB[zabrze_PB_Escore],PB[Category]="junior"),_xlfn._xlws.FILTER(PB[cracow_PB_Escore],PB[Category]="junior"),_xlfn._xlws.FILTER(PB[gdansk_PB_Escore],PB[Category]="junior"))/(COUNTIFS(PB[bydgoszcz_PB_Escore],"&gt;0",PB[Category],"junior")+COUNTIFS(PB[zabrze_PB_Escore],"&gt;0",PB[Category],"junior")+COUNTIFS(PB[cracow_PB_Escore],"&gt;0",PB[Category],"junior")+COUNTIFS(PB[gdansk_PB_Escore],"&gt;0",PB[Category],"junior"))</f>
        <v>7.8942307692307701</v>
      </c>
      <c r="AB9" s="22" cm="1">
        <f t="array" ref="AB9">_xlfn.STDEV.S(_xlfn._xlws.FILTER(PB[bydgoszcz_PB_Escore],(PB[Category]="junior")*(PB[bydgoszcz_PB_Escore])&gt;0),_xlfn._xlws.FILTER(PB[zabrze_PB_Escore],(PB[Category]="junior")*(PB[zabrze_PB_Escore])&gt;0),_xlfn._xlws.FILTER(PB[cracow_PB_Escore],(PB[Category]="junior")*(PB[cracow_PB_Escore])&gt;0),_xlfn._xlws.FILTER(PB[gdansk_PB_Escore],(PB[Category]="junior")*(PB[gdansk_PB_Escore])&gt;0))</f>
        <v>1.46225899124131</v>
      </c>
      <c r="AC9" s="22" cm="1">
        <f t="array" ref="AC9">MAX(_xlfn._xlws.FILTER(PB[bydgoszcz_PB_Escore],PB[Category]="junior"),_xlfn._xlws.FILTER(PB[zabrze_PB_Escore],PB[Category]="junior"),_xlfn._xlws.FILTER(PB[cracow_PB_Escore],PB[Category]="junior"),_xlfn._xlws.FILTER(PB[gdansk_PB_Escore],PB[Category]="junior"))</f>
        <v>9.1</v>
      </c>
    </row>
    <row r="10" spans="1:29" x14ac:dyDescent="0.25">
      <c r="A10" t="s">
        <v>37</v>
      </c>
      <c r="B10" s="2" t="s">
        <v>26</v>
      </c>
      <c r="C10" s="2" t="s">
        <v>38</v>
      </c>
      <c r="D10" t="s">
        <v>39</v>
      </c>
      <c r="E10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0" s="4">
        <v>3.1</v>
      </c>
      <c r="G10" s="7">
        <v>8.5</v>
      </c>
      <c r="H10" s="7">
        <v>11.6</v>
      </c>
      <c r="I10" s="4">
        <v>3.1</v>
      </c>
      <c r="J10" s="7">
        <v>8</v>
      </c>
      <c r="K10" s="7">
        <v>11.1</v>
      </c>
      <c r="L10" s="4">
        <v>3.1</v>
      </c>
      <c r="M10" s="7">
        <v>8.4</v>
      </c>
      <c r="N10" s="7">
        <v>11.5</v>
      </c>
      <c r="O10" s="4">
        <v>3.2</v>
      </c>
      <c r="P10" s="7">
        <v>8.6</v>
      </c>
      <c r="Q10" s="7">
        <v>11.8</v>
      </c>
      <c r="R10" s="4">
        <f>LARGE(CHOOSE({1;2;3;4},F10,I10,L10,O10),1)+LARGE(CHOOSE({1;2;3;4},F10,I10,L10,O10),2)+LARGE(CHOOSE({1;2;3;4},F10,I10,L10,O10),3)</f>
        <v>9.4</v>
      </c>
      <c r="S10" s="7">
        <f>LARGE(CHOOSE({1;2;3;4},G10,J10,M10,P10),1)+LARGE(CHOOSE({1;2;3;4},G10,J10,M10,P10),2)+LARGE(CHOOSE({1;2;3;4},G10,J10,M10,P10),3)</f>
        <v>25.5</v>
      </c>
      <c r="T10" s="7">
        <f>LARGE(CHOOSE({1;2;3;4},H10,K10,N10,Q10),1)+LARGE(CHOOSE({1;2;3;4},H10,K10,N10,Q10),2)+LARGE(CHOOSE({1;2;3;4},H10,K10,N10,Q10),3)</f>
        <v>34.9</v>
      </c>
      <c r="U10" s="4" cm="1">
        <f t="array" ref="U10">IF(PB[[#This Row],[Number_of_competition]:[Number_of_competition]]&gt;=3,(LARGE(CHOOSE({1;2;3;4},F10,I10,L10,O10),1)+LARGE(CHOOSE({1;2;3;4},F10,I10,L10,O10),2)+LARGE(CHOOSE({1;2;3;4},F10,I10,L10,O10),3))/3,0)</f>
        <v>3.1333333333333333</v>
      </c>
      <c r="V10" s="7" cm="1">
        <f t="array" ref="V10">IF(PB[[#This Row],[Number_of_competition]:[Number_of_competition]]&gt;=3,(LARGE(CHOOSE({1;2;3;4},G10,J10,M10,P10),1)+LARGE(CHOOSE({1;2;3;4},G10,J10,M10,P10),2)+LARGE(CHOOSE({1;2;3;4},G10,J10,M10,P10),3))/3,0)</f>
        <v>8.5</v>
      </c>
      <c r="W10" s="7" cm="1">
        <f t="array" ref="W10">IF(PB[[#This Row],[Number_of_competition]:[Number_of_competition]]&gt;=3,(LARGE(CHOOSE({1;2;3;4},H10,K10,N10,Q10),1)+LARGE(CHOOSE({1;2;3;4},H10,K10,N10,Q10),2)+LARGE(CHOOSE({1;2;3;4},H10,K10,N10,Q10),3))/3,0)</f>
        <v>11.633333333333333</v>
      </c>
      <c r="Y10" s="42"/>
      <c r="Z10" s="20" t="s">
        <v>268</v>
      </c>
      <c r="AA10" s="22" cm="1">
        <f t="array" ref="AA10">SUM(_xlfn._xlws.FILTER(PB[bydgoszcz_PB_Total_Score],PB[Category]="junior"),_xlfn._xlws.FILTER(PB[zabrze_PB_Total_Score],PB[Category]="junior"),_xlfn._xlws.FILTER(PB[cracow_PB_Total_Score],PB[Category]="junior"),_xlfn._xlws.FILTER(PB[gdansk_PB_Total_Score],PB[Category]="junior"))/(COUNTIFS(PB[bydgoszcz_PB_Total_Score],"&gt;0",PB[Category],"junior")+COUNTIFS(PB[zabrze_PB_Total_Score],"&gt;0",PB[Category],"junior")+COUNTIFS(PB[cracow_PB_Total_Score],"&gt;0",PB[Category],"junior")+COUNTIFS(PB[gdansk_PB_Total_Score],"&gt;0",PB[Category],"junior"))</f>
        <v>10.899999999999999</v>
      </c>
      <c r="AB10" s="22" cm="1">
        <f t="array" ref="AB10">_xlfn.STDEV.S(_xlfn._xlws.FILTER(PB[bydgoszcz_PB_Total_Score],(PB[Category]="junior")*(PB[bydgoszcz_PB_Total_Score])&gt;0),_xlfn._xlws.FILTER(PB[zabrze_PB_Total_Score],(PB[Category]="junior")*(PB[zabrze_PB_Total_Score])&gt;0),_xlfn._xlws.FILTER(PB[cracow_PB_Total_Score],(PB[Category]="junior")*(PB[cracow_PB_Total_Score])&gt;0),_xlfn._xlws.FILTER(PB[gdansk_PB_Total_Score],(PB[Category]="junior")*(PB[gdansk_PB_Total_Score])&gt;0))</f>
        <v>1.8103731605368456</v>
      </c>
      <c r="AC10" s="22" cm="1">
        <f t="array" ref="AC10">MAX(_xlfn._xlws.FILTER(PB[bydgoszcz_PB_Total_Score],PB[Category]="junior"),_xlfn._xlws.FILTER(PB[zabrze_PB_Total_Score],PB[Category]="junior"),_xlfn._xlws.FILTER(PB[cracow_PB_Total_Score],PB[Category]="junior"),_xlfn._xlws.FILTER(PB[gdansk_PB_Total_Score],PB[Category]="junior"))</f>
        <v>13.3</v>
      </c>
    </row>
    <row r="11" spans="1:29" x14ac:dyDescent="0.25">
      <c r="A11" t="s">
        <v>32</v>
      </c>
      <c r="B11" s="2" t="s">
        <v>26</v>
      </c>
      <c r="C11" s="2" t="s">
        <v>33</v>
      </c>
      <c r="D11" t="s">
        <v>31</v>
      </c>
      <c r="E11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1" s="4">
        <v>3.5</v>
      </c>
      <c r="G11" s="7">
        <v>7.95</v>
      </c>
      <c r="H11" s="7">
        <v>11.45</v>
      </c>
      <c r="I11" s="4">
        <v>3.4</v>
      </c>
      <c r="J11" s="7">
        <v>7.95</v>
      </c>
      <c r="K11" s="7">
        <v>11.35</v>
      </c>
      <c r="L11" s="4">
        <v>3.2</v>
      </c>
      <c r="M11" s="7">
        <v>8.8000000000000007</v>
      </c>
      <c r="N11" s="7">
        <v>12</v>
      </c>
      <c r="O11" s="4">
        <v>3.4</v>
      </c>
      <c r="P11" s="7">
        <v>7.3</v>
      </c>
      <c r="Q11" s="7">
        <v>10.7</v>
      </c>
      <c r="R11" s="4">
        <f>LARGE(CHOOSE({1;2;3;4},F11,I11,L11,O11),1)+LARGE(CHOOSE({1;2;3;4},F11,I11,L11,O11),2)+LARGE(CHOOSE({1;2;3;4},F11,I11,L11,O11),3)</f>
        <v>10.3</v>
      </c>
      <c r="S11" s="7">
        <f>LARGE(CHOOSE({1;2;3;4},G11,J11,M11,P11),1)+LARGE(CHOOSE({1;2;3;4},G11,J11,M11,P11),2)+LARGE(CHOOSE({1;2;3;4},G11,J11,M11,P11),3)</f>
        <v>24.7</v>
      </c>
      <c r="T11" s="7">
        <f>LARGE(CHOOSE({1;2;3;4},H11,K11,N11,Q11),1)+LARGE(CHOOSE({1;2;3;4},H11,K11,N11,Q11),2)+LARGE(CHOOSE({1;2;3;4},H11,K11,N11,Q11),3)</f>
        <v>34.799999999999997</v>
      </c>
      <c r="U11" s="4" cm="1">
        <f t="array" ref="U11">IF(PB[[#This Row],[Number_of_competition]:[Number_of_competition]]&gt;=3,(LARGE(CHOOSE({1;2;3;4},F11,I11,L11,O11),1)+LARGE(CHOOSE({1;2;3;4},F11,I11,L11,O11),2)+LARGE(CHOOSE({1;2;3;4},F11,I11,L11,O11),3))/3,0)</f>
        <v>3.4333333333333336</v>
      </c>
      <c r="V11" s="7" cm="1">
        <f t="array" ref="V11">IF(PB[[#This Row],[Number_of_competition]:[Number_of_competition]]&gt;=3,(LARGE(CHOOSE({1;2;3;4},G11,J11,M11,P11),1)+LARGE(CHOOSE({1;2;3;4},G11,J11,M11,P11),2)+LARGE(CHOOSE({1;2;3;4},G11,J11,M11,P11),3))/3,0)</f>
        <v>8.2333333333333325</v>
      </c>
      <c r="W11" s="7" cm="1">
        <f t="array" ref="W11">IF(PB[[#This Row],[Number_of_competition]:[Number_of_competition]]&gt;=3,(LARGE(CHOOSE({1;2;3;4},H11,K11,N11,Q11),1)+LARGE(CHOOSE({1;2;3;4},H11,K11,N11,Q11),2)+LARGE(CHOOSE({1;2;3;4},H11,K11,N11,Q11),3))/3,0)</f>
        <v>11.6</v>
      </c>
      <c r="Y11" s="42"/>
      <c r="Z11" s="20" t="s">
        <v>275</v>
      </c>
      <c r="AA11" s="21" cm="1">
        <f t="array" ref="AA11">SUM(_xlfn._xlws.FILTER(PB[Year_Dscore],(PB[Category]="junior")*(PB[Number_of_competition]&gt;=3))/COUNTIFS(PB[Number_of_competition],"&gt;=3",PB[Category],"junior"))</f>
        <v>9.4</v>
      </c>
      <c r="AB11" s="21" cm="1">
        <f t="array" ref="AB11">_xlfn.STDEV.S(_xlfn._xlws.FILTER(PB[Year_Dscore],(PB[Category]="junior")*(PB[Number_of_competition]&gt;=3)))</f>
        <v>1.4142135623730951</v>
      </c>
      <c r="AC11" s="21" cm="1">
        <f t="array" ref="AC11">MAX(_xlfn._xlws.FILTER(PB[Year_Dscore],PB[Category]="junior"))</f>
        <v>12.600000000000001</v>
      </c>
    </row>
    <row r="12" spans="1:29" x14ac:dyDescent="0.25">
      <c r="A12" t="s">
        <v>34</v>
      </c>
      <c r="B12" s="2" t="s">
        <v>26</v>
      </c>
      <c r="C12" s="2" t="s">
        <v>35</v>
      </c>
      <c r="D12" t="s">
        <v>36</v>
      </c>
      <c r="E12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2" s="4">
        <v>3.2</v>
      </c>
      <c r="G12" s="7">
        <v>8.6</v>
      </c>
      <c r="H12" s="7">
        <v>11.8</v>
      </c>
      <c r="I12" s="4">
        <v>3.7</v>
      </c>
      <c r="J12" s="7">
        <v>7.45</v>
      </c>
      <c r="K12" s="7">
        <v>11.15</v>
      </c>
      <c r="L12" s="4">
        <v>3.7</v>
      </c>
      <c r="M12" s="7">
        <v>8</v>
      </c>
      <c r="N12" s="7">
        <v>11.7</v>
      </c>
      <c r="O12" s="4">
        <v>3.4</v>
      </c>
      <c r="P12" s="7">
        <v>7.3</v>
      </c>
      <c r="Q12" s="7">
        <v>10.7</v>
      </c>
      <c r="R12" s="4">
        <f>LARGE(CHOOSE({1;2;3;4},F12,I12,L12,O12),1)+LARGE(CHOOSE({1;2;3;4},F12,I12,L12,O12),2)+LARGE(CHOOSE({1;2;3;4},F12,I12,L12,O12),3)</f>
        <v>10.8</v>
      </c>
      <c r="S12" s="7">
        <f>LARGE(CHOOSE({1;2;3;4},G12,J12,M12,P12),1)+LARGE(CHOOSE({1;2;3;4},G12,J12,M12,P12),2)+LARGE(CHOOSE({1;2;3;4},G12,J12,M12,P12),3)</f>
        <v>24.05</v>
      </c>
      <c r="T12" s="7">
        <f>LARGE(CHOOSE({1;2;3;4},H12,K12,N12,Q12),1)+LARGE(CHOOSE({1;2;3;4},H12,K12,N12,Q12),2)+LARGE(CHOOSE({1;2;3;4},H12,K12,N12,Q12),3)</f>
        <v>34.65</v>
      </c>
      <c r="U12" s="4" cm="1">
        <f t="array" ref="U12">IF(PB[[#This Row],[Number_of_competition]:[Number_of_competition]]&gt;=3,(LARGE(CHOOSE({1;2;3;4},F12,I12,L12,O12),1)+LARGE(CHOOSE({1;2;3;4},F12,I12,L12,O12),2)+LARGE(CHOOSE({1;2;3;4},F12,I12,L12,O12),3))/3,0)</f>
        <v>3.6</v>
      </c>
      <c r="V12" s="7" cm="1">
        <f t="array" ref="V12">IF(PB[[#This Row],[Number_of_competition]:[Number_of_competition]]&gt;=3,(LARGE(CHOOSE({1;2;3;4},G12,J12,M12,P12),1)+LARGE(CHOOSE({1;2;3;4},G12,J12,M12,P12),2)+LARGE(CHOOSE({1;2;3;4},G12,J12,M12,P12),3))/3,0)</f>
        <v>8.0166666666666675</v>
      </c>
      <c r="W12" s="7" cm="1">
        <f t="array" ref="W12">IF(PB[[#This Row],[Number_of_competition]:[Number_of_competition]]&gt;=3,(LARGE(CHOOSE({1;2;3;4},H12,K12,N12,Q12),1)+LARGE(CHOOSE({1;2;3;4},H12,K12,N12,Q12),2)+LARGE(CHOOSE({1;2;3;4},H12,K12,N12,Q12),3))/3,0)</f>
        <v>11.549999999999999</v>
      </c>
      <c r="Y12" s="42"/>
      <c r="Z12" s="20" t="s">
        <v>276</v>
      </c>
      <c r="AA12" s="22" cm="1">
        <f t="array" ref="AA12">SUM(_xlfn._xlws.FILTER(PB[Year_Escore],(PB[Category]="junior")*(PB[Number_of_competition]&gt;=3))/COUNTIFS(PB[Number_of_competition],"&gt;=3",PB[Category],"junior"))</f>
        <v>25.279166666666669</v>
      </c>
      <c r="AB12" s="22" cm="1">
        <f t="array" ref="AB12">_xlfn.STDEV.S(_xlfn._xlws.FILTER(PB[Year_Escore],(PB[Category]="junior")*(PB[Number_of_competition]&gt;=3)))</f>
        <v>0.82004942570924333</v>
      </c>
      <c r="AC12" s="22" cm="1">
        <f t="array" ref="AC12">MAX(_xlfn._xlws.FILTER(PB[Year_Escore],PB[Category]="junior"))</f>
        <v>26.799999999999997</v>
      </c>
    </row>
    <row r="13" spans="1:29" x14ac:dyDescent="0.25">
      <c r="A13" t="s">
        <v>73</v>
      </c>
      <c r="B13" s="2" t="s">
        <v>60</v>
      </c>
      <c r="C13" s="2" t="s">
        <v>74</v>
      </c>
      <c r="D13" t="s">
        <v>62</v>
      </c>
      <c r="E13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3" s="4">
        <v>3.5</v>
      </c>
      <c r="G13" s="7">
        <v>8</v>
      </c>
      <c r="H13" s="7">
        <v>11.5</v>
      </c>
      <c r="I13" s="4">
        <v>4.0999999999999996</v>
      </c>
      <c r="J13" s="7">
        <v>7.9</v>
      </c>
      <c r="K13" s="7">
        <v>12</v>
      </c>
      <c r="L13" s="4">
        <v>3.7</v>
      </c>
      <c r="M13" s="7">
        <v>6.85</v>
      </c>
      <c r="N13" s="7">
        <v>10.55</v>
      </c>
      <c r="O13" s="4">
        <v>3.6</v>
      </c>
      <c r="P13" s="7">
        <v>7.4</v>
      </c>
      <c r="Q13" s="7">
        <v>11</v>
      </c>
      <c r="R13" s="4">
        <f>LARGE(CHOOSE({1;2;3;4},F13,I13,L13,O13),1)+LARGE(CHOOSE({1;2;3;4},F13,I13,L13,O13),2)+LARGE(CHOOSE({1;2;3;4},F13,I13,L13,O13),3)</f>
        <v>11.4</v>
      </c>
      <c r="S13" s="7">
        <f>LARGE(CHOOSE({1;2;3;4},G13,J13,M13,P13),1)+LARGE(CHOOSE({1;2;3;4},G13,J13,M13,P13),2)+LARGE(CHOOSE({1;2;3;4},G13,J13,M13,P13),3)</f>
        <v>23.3</v>
      </c>
      <c r="T13" s="7">
        <f>LARGE(CHOOSE({1;2;3;4},H13,K13,N13,Q13),1)+LARGE(CHOOSE({1;2;3;4},H13,K13,N13,Q13),2)+LARGE(CHOOSE({1;2;3;4},H13,K13,N13,Q13),3)</f>
        <v>34.5</v>
      </c>
      <c r="U13" s="4" cm="1">
        <f t="array" ref="U13">IF(PB[[#This Row],[Number_of_competition]:[Number_of_competition]]&gt;=3,(LARGE(CHOOSE({1;2;3;4},F13,I13,L13,O13),1)+LARGE(CHOOSE({1;2;3;4},F13,I13,L13,O13),2)+LARGE(CHOOSE({1;2;3;4},F13,I13,L13,O13),3))/3,0)</f>
        <v>3.8000000000000003</v>
      </c>
      <c r="V13" s="7" cm="1">
        <f t="array" ref="V13">IF(PB[[#This Row],[Number_of_competition]:[Number_of_competition]]&gt;=3,(LARGE(CHOOSE({1;2;3;4},G13,J13,M13,P13),1)+LARGE(CHOOSE({1;2;3;4},G13,J13,M13,P13),2)+LARGE(CHOOSE({1;2;3;4},G13,J13,M13,P13),3))/3,0)</f>
        <v>7.7666666666666666</v>
      </c>
      <c r="W13" s="7" cm="1">
        <f t="array" ref="W13">IF(PB[[#This Row],[Number_of_competition]:[Number_of_competition]]&gt;=3,(LARGE(CHOOSE({1;2;3;4},H13,K13,N13,Q13),1)+LARGE(CHOOSE({1;2;3;4},H13,K13,N13,Q13),2)+LARGE(CHOOSE({1;2;3;4},H13,K13,N13,Q13),3))/3,0)</f>
        <v>11.5</v>
      </c>
      <c r="Y13" s="43"/>
      <c r="Z13" s="20" t="s">
        <v>277</v>
      </c>
      <c r="AA13" s="22" cm="1">
        <f t="array" ref="AA13">SUM(_xlfn._xlws.FILTER(PB[Year_Total_Score],(PB[Category]="junior")*(PB[Number_of_competition]&gt;=3))/COUNTIFS(PB[Number_of_competition],"&gt;=3",PB[Category],"junior"))</f>
        <v>34.520833333333336</v>
      </c>
      <c r="AB13" s="22" cm="1">
        <f t="array" ref="AB13">_xlfn.STDEV.S(_xlfn._xlws.FILTER(PB[Year_Total_Score],(PB[Category]="junior")*(PB[Number_of_competition]&gt;=3)))</f>
        <v>1.6783999866395123</v>
      </c>
      <c r="AC13" s="22" cm="1">
        <f t="array" ref="AC13">MAX(_xlfn._xlws.FILTER(PB[Year_Total_Score],PB[Category]="junior"))</f>
        <v>38.75</v>
      </c>
    </row>
    <row r="14" spans="1:29" x14ac:dyDescent="0.25">
      <c r="A14" t="s">
        <v>52</v>
      </c>
      <c r="B14" s="2" t="s">
        <v>26</v>
      </c>
      <c r="C14" s="2" t="s">
        <v>53</v>
      </c>
      <c r="D14" t="s">
        <v>36</v>
      </c>
      <c r="E14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4" s="4">
        <v>3.1</v>
      </c>
      <c r="G14" s="7">
        <v>8.75</v>
      </c>
      <c r="H14" s="7">
        <v>11.85</v>
      </c>
      <c r="I14" s="4">
        <v>3.1</v>
      </c>
      <c r="J14" s="7">
        <v>8</v>
      </c>
      <c r="K14" s="7">
        <v>11.1</v>
      </c>
      <c r="L14" s="4">
        <v>2.4</v>
      </c>
      <c r="M14" s="7">
        <v>9.1</v>
      </c>
      <c r="N14" s="7">
        <v>11.5</v>
      </c>
      <c r="O14" s="4">
        <v>2.4</v>
      </c>
      <c r="P14" s="7">
        <v>8.5</v>
      </c>
      <c r="Q14" s="7">
        <v>10.9</v>
      </c>
      <c r="R14" s="4">
        <f>LARGE(CHOOSE({1;2;3;4},F14,I14,L14,O14),1)+LARGE(CHOOSE({1;2;3;4},F14,I14,L14,O14),2)+LARGE(CHOOSE({1;2;3;4},F14,I14,L14,O14),3)</f>
        <v>8.6</v>
      </c>
      <c r="S14" s="7">
        <f>LARGE(CHOOSE({1;2;3;4},G14,J14,M14,P14),1)+LARGE(CHOOSE({1;2;3;4},G14,J14,M14,P14),2)+LARGE(CHOOSE({1;2;3;4},G14,J14,M14,P14),3)</f>
        <v>26.35</v>
      </c>
      <c r="T14" s="7">
        <f>LARGE(CHOOSE({1;2;3;4},H14,K14,N14,Q14),1)+LARGE(CHOOSE({1;2;3;4},H14,K14,N14,Q14),2)+LARGE(CHOOSE({1;2;3;4},H14,K14,N14,Q14),3)</f>
        <v>34.450000000000003</v>
      </c>
      <c r="U14" s="4" cm="1">
        <f t="array" ref="U14">IF(PB[[#This Row],[Number_of_competition]:[Number_of_competition]]&gt;=3,(LARGE(CHOOSE({1;2;3;4},F14,I14,L14,O14),1)+LARGE(CHOOSE({1;2;3;4},F14,I14,L14,O14),2)+LARGE(CHOOSE({1;2;3;4},F14,I14,L14,O14),3))/3,0)</f>
        <v>2.8666666666666667</v>
      </c>
      <c r="V14" s="7" cm="1">
        <f t="array" ref="V14">IF(PB[[#This Row],[Number_of_competition]:[Number_of_competition]]&gt;=3,(LARGE(CHOOSE({1;2;3;4},G14,J14,M14,P14),1)+LARGE(CHOOSE({1;2;3;4},G14,J14,M14,P14),2)+LARGE(CHOOSE({1;2;3;4},G14,J14,M14,P14),3))/3,0)</f>
        <v>8.7833333333333332</v>
      </c>
      <c r="W14" s="7" cm="1">
        <f t="array" ref="W14">IF(PB[[#This Row],[Number_of_competition]:[Number_of_competition]]&gt;=3,(LARGE(CHOOSE({1;2;3;4},H14,K14,N14,Q14),1)+LARGE(CHOOSE({1;2;3;4},H14,K14,N14,Q14),2)+LARGE(CHOOSE({1;2;3;4},H14,K14,N14,Q14),3))/3,0)</f>
        <v>11.483333333333334</v>
      </c>
    </row>
    <row r="15" spans="1:29" x14ac:dyDescent="0.25">
      <c r="A15" t="s">
        <v>40</v>
      </c>
      <c r="B15" s="2" t="s">
        <v>26</v>
      </c>
      <c r="C15" s="2" t="s">
        <v>41</v>
      </c>
      <c r="D15" t="s">
        <v>39</v>
      </c>
      <c r="E15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15" s="4">
        <v>0</v>
      </c>
      <c r="G15" s="7">
        <v>0</v>
      </c>
      <c r="H15" s="7">
        <v>0</v>
      </c>
      <c r="I15" s="4">
        <v>3</v>
      </c>
      <c r="J15" s="7">
        <v>8.1999999999999993</v>
      </c>
      <c r="K15" s="7">
        <v>11.2</v>
      </c>
      <c r="L15" s="4">
        <v>3</v>
      </c>
      <c r="M15" s="7">
        <v>8.1</v>
      </c>
      <c r="N15" s="7">
        <v>11.1</v>
      </c>
      <c r="O15" s="4">
        <v>3</v>
      </c>
      <c r="P15" s="7">
        <v>9</v>
      </c>
      <c r="Q15" s="7">
        <v>12</v>
      </c>
      <c r="R15" s="4">
        <f>LARGE(CHOOSE({1;2;3;4},F15,I15,L15,O15),1)+LARGE(CHOOSE({1;2;3;4},F15,I15,L15,O15),2)+LARGE(CHOOSE({1;2;3;4},F15,I15,L15,O15),3)</f>
        <v>9</v>
      </c>
      <c r="S15" s="7">
        <f>LARGE(CHOOSE({1;2;3;4},G15,J15,M15,P15),1)+LARGE(CHOOSE({1;2;3;4},G15,J15,M15,P15),2)+LARGE(CHOOSE({1;2;3;4},G15,J15,M15,P15),3)</f>
        <v>25.299999999999997</v>
      </c>
      <c r="T15" s="7">
        <f>LARGE(CHOOSE({1;2;3;4},H15,K15,N15,Q15),1)+LARGE(CHOOSE({1;2;3;4},H15,K15,N15,Q15),2)+LARGE(CHOOSE({1;2;3;4},H15,K15,N15,Q15),3)</f>
        <v>34.299999999999997</v>
      </c>
      <c r="U15" s="4" cm="1">
        <f t="array" ref="U15">IF(PB[[#This Row],[Number_of_competition]:[Number_of_competition]]&gt;=3,(LARGE(CHOOSE({1;2;3;4},F15,I15,L15,O15),1)+LARGE(CHOOSE({1;2;3;4},F15,I15,L15,O15),2)+LARGE(CHOOSE({1;2;3;4},F15,I15,L15,O15),3))/3,0)</f>
        <v>3</v>
      </c>
      <c r="V15" s="7" cm="1">
        <f t="array" ref="V15">IF(PB[[#This Row],[Number_of_competition]:[Number_of_competition]]&gt;=3,(LARGE(CHOOSE({1;2;3;4},G15,J15,M15,P15),1)+LARGE(CHOOSE({1;2;3;4},G15,J15,M15,P15),2)+LARGE(CHOOSE({1;2;3;4},G15,J15,M15,P15),3))/3,0)</f>
        <v>8.4333333333333318</v>
      </c>
      <c r="W15" s="7" cm="1">
        <f t="array" ref="W15">IF(PB[[#This Row],[Number_of_competition]:[Number_of_competition]]&gt;=3,(LARGE(CHOOSE({1;2;3;4},H15,K15,N15,Q15),1)+LARGE(CHOOSE({1;2;3;4},H15,K15,N15,Q15),2)+LARGE(CHOOSE({1;2;3;4},H15,K15,N15,Q15),3))/3,0)</f>
        <v>11.433333333333332</v>
      </c>
      <c r="Y15" s="28" t="s">
        <v>296</v>
      </c>
    </row>
    <row r="16" spans="1:29" x14ac:dyDescent="0.25">
      <c r="A16" t="s">
        <v>68</v>
      </c>
      <c r="B16" s="2" t="s">
        <v>60</v>
      </c>
      <c r="C16" s="2" t="s">
        <v>69</v>
      </c>
      <c r="D16" t="s">
        <v>31</v>
      </c>
      <c r="E16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6" s="4">
        <v>2.7</v>
      </c>
      <c r="G16" s="7">
        <v>6.85</v>
      </c>
      <c r="H16" s="7">
        <v>9.5500000000000007</v>
      </c>
      <c r="I16" s="4">
        <v>3.5</v>
      </c>
      <c r="J16" s="7">
        <v>8.6999999999999993</v>
      </c>
      <c r="K16" s="7">
        <v>12.2</v>
      </c>
      <c r="L16" s="4">
        <v>3.4</v>
      </c>
      <c r="M16" s="7">
        <v>8.75</v>
      </c>
      <c r="N16" s="7">
        <v>12.15</v>
      </c>
      <c r="O16" s="4">
        <v>3.2</v>
      </c>
      <c r="P16" s="7">
        <v>5.8</v>
      </c>
      <c r="Q16" s="7">
        <v>9</v>
      </c>
      <c r="R16" s="4">
        <f>LARGE(CHOOSE({1;2;3;4},F16,I16,L16,O16),1)+LARGE(CHOOSE({1;2;3;4},F16,I16,L16,O16),2)+LARGE(CHOOSE({1;2;3;4},F16,I16,L16,O16),3)</f>
        <v>10.100000000000001</v>
      </c>
      <c r="S16" s="7">
        <f>LARGE(CHOOSE({1;2;3;4},G16,J16,M16,P16),1)+LARGE(CHOOSE({1;2;3;4},G16,J16,M16,P16),2)+LARGE(CHOOSE({1;2;3;4},G16,J16,M16,P16),3)</f>
        <v>24.299999999999997</v>
      </c>
      <c r="T16" s="7">
        <f>LARGE(CHOOSE({1;2;3;4},H16,K16,N16,Q16),1)+LARGE(CHOOSE({1;2;3;4},H16,K16,N16,Q16),2)+LARGE(CHOOSE({1;2;3;4},H16,K16,N16,Q16),3)</f>
        <v>33.900000000000006</v>
      </c>
      <c r="U16" s="4" cm="1">
        <f t="array" ref="U16">IF(PB[[#This Row],[Number_of_competition]:[Number_of_competition]]&gt;=3,(LARGE(CHOOSE({1;2;3;4},F16,I16,L16,O16),1)+LARGE(CHOOSE({1;2;3;4},F16,I16,L16,O16),2)+LARGE(CHOOSE({1;2;3;4},F16,I16,L16,O16),3))/3,0)</f>
        <v>3.3666666666666671</v>
      </c>
      <c r="V16" s="7" cm="1">
        <f t="array" ref="V16">IF(PB[[#This Row],[Number_of_competition]:[Number_of_competition]]&gt;=3,(LARGE(CHOOSE({1;2;3;4},G16,J16,M16,P16),1)+LARGE(CHOOSE({1;2;3;4},G16,J16,M16,P16),2)+LARGE(CHOOSE({1;2;3;4},G16,J16,M16,P16),3))/3,0)</f>
        <v>8.1</v>
      </c>
      <c r="W16" s="7" cm="1">
        <f t="array" ref="W16">IF(PB[[#This Row],[Number_of_competition]:[Number_of_competition]]&gt;=3,(LARGE(CHOOSE({1;2;3;4},H16,K16,N16,Q16),1)+LARGE(CHOOSE({1;2;3;4},H16,K16,N16,Q16),2)+LARGE(CHOOSE({1;2;3;4},H16,K16,N16,Q16),3))/3,0)</f>
        <v>11.300000000000002</v>
      </c>
      <c r="Y16" s="29" t="s">
        <v>297</v>
      </c>
    </row>
    <row r="17" spans="1:25" x14ac:dyDescent="0.25">
      <c r="A17" t="s">
        <v>48</v>
      </c>
      <c r="B17" s="2" t="s">
        <v>26</v>
      </c>
      <c r="C17" s="2" t="s">
        <v>49</v>
      </c>
      <c r="D17" t="s">
        <v>36</v>
      </c>
      <c r="E17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17" s="4">
        <v>3.1</v>
      </c>
      <c r="G17" s="7">
        <v>8.0500000000000007</v>
      </c>
      <c r="H17" s="7">
        <v>11.15</v>
      </c>
      <c r="I17" s="4">
        <v>3.1</v>
      </c>
      <c r="J17" s="7">
        <v>7.8</v>
      </c>
      <c r="K17" s="7">
        <v>10.9</v>
      </c>
      <c r="L17" s="4">
        <v>3.1</v>
      </c>
      <c r="M17" s="7">
        <v>7.45</v>
      </c>
      <c r="N17" s="7">
        <v>10.55</v>
      </c>
      <c r="O17" s="4">
        <v>2.4</v>
      </c>
      <c r="P17" s="7">
        <v>9</v>
      </c>
      <c r="Q17" s="7">
        <v>11.4</v>
      </c>
      <c r="R17" s="4">
        <f>LARGE(CHOOSE({1;2;3;4},F17,I17,L17,O17),1)+LARGE(CHOOSE({1;2;3;4},F17,I17,L17,O17),2)+LARGE(CHOOSE({1;2;3;4},F17,I17,L17,O17),3)</f>
        <v>9.3000000000000007</v>
      </c>
      <c r="S17" s="7">
        <f>LARGE(CHOOSE({1;2;3;4},G17,J17,M17,P17),1)+LARGE(CHOOSE({1;2;3;4},G17,J17,M17,P17),2)+LARGE(CHOOSE({1;2;3;4},G17,J17,M17,P17),3)</f>
        <v>24.85</v>
      </c>
      <c r="T17" s="7">
        <f>LARGE(CHOOSE({1;2;3;4},H17,K17,N17,Q17),1)+LARGE(CHOOSE({1;2;3;4},H17,K17,N17,Q17),2)+LARGE(CHOOSE({1;2;3;4},H17,K17,N17,Q17),3)</f>
        <v>33.450000000000003</v>
      </c>
      <c r="U17" s="4" cm="1">
        <f t="array" ref="U17">IF(PB[[#This Row],[Number_of_competition]:[Number_of_competition]]&gt;=3,(LARGE(CHOOSE({1;2;3;4},F17,I17,L17,O17),1)+LARGE(CHOOSE({1;2;3;4},F17,I17,L17,O17),2)+LARGE(CHOOSE({1;2;3;4},F17,I17,L17,O17),3))/3,0)</f>
        <v>3.1</v>
      </c>
      <c r="V17" s="7" cm="1">
        <f t="array" ref="V17">IF(PB[[#This Row],[Number_of_competition]:[Number_of_competition]]&gt;=3,(LARGE(CHOOSE({1;2;3;4},G17,J17,M17,P17),1)+LARGE(CHOOSE({1;2;3;4},G17,J17,M17,P17),2)+LARGE(CHOOSE({1;2;3;4},G17,J17,M17,P17),3))/3,0)</f>
        <v>8.2833333333333332</v>
      </c>
      <c r="W17" s="7" cm="1">
        <f t="array" ref="W17">IF(PB[[#This Row],[Number_of_competition]:[Number_of_competition]]&gt;=3,(LARGE(CHOOSE({1;2;3;4},H17,K17,N17,Q17),1)+LARGE(CHOOSE({1;2;3;4},H17,K17,N17,Q17),2)+LARGE(CHOOSE({1;2;3;4},H17,K17,N17,Q17),3))/3,0)</f>
        <v>11.15</v>
      </c>
      <c r="Y17" s="30" t="s">
        <v>298</v>
      </c>
    </row>
    <row r="18" spans="1:25" x14ac:dyDescent="0.25">
      <c r="A18" t="s">
        <v>82</v>
      </c>
      <c r="B18" s="2" t="s">
        <v>60</v>
      </c>
      <c r="C18" s="2" t="s">
        <v>83</v>
      </c>
      <c r="D18" t="s">
        <v>36</v>
      </c>
      <c r="E18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18" s="4">
        <v>0</v>
      </c>
      <c r="G18" s="7">
        <v>0</v>
      </c>
      <c r="H18" s="7">
        <v>0</v>
      </c>
      <c r="I18" s="4">
        <v>3</v>
      </c>
      <c r="J18" s="7">
        <v>8.75</v>
      </c>
      <c r="K18" s="7">
        <v>11.75</v>
      </c>
      <c r="L18" s="4">
        <v>2.5</v>
      </c>
      <c r="M18" s="7">
        <v>7.15</v>
      </c>
      <c r="N18" s="7">
        <v>9.65</v>
      </c>
      <c r="O18" s="4">
        <v>3</v>
      </c>
      <c r="P18" s="7">
        <v>8.8000000000000007</v>
      </c>
      <c r="Q18" s="7">
        <v>11.8</v>
      </c>
      <c r="R18" s="4">
        <f>LARGE(CHOOSE({1;2;3;4},F18,I18,L18,O18),1)+LARGE(CHOOSE({1;2;3;4},F18,I18,L18,O18),2)+LARGE(CHOOSE({1;2;3;4},F18,I18,L18,O18),3)</f>
        <v>8.5</v>
      </c>
      <c r="S18" s="7">
        <f>LARGE(CHOOSE({1;2;3;4},G18,J18,M18,P18),1)+LARGE(CHOOSE({1;2;3;4},G18,J18,M18,P18),2)+LARGE(CHOOSE({1;2;3;4},G18,J18,M18,P18),3)</f>
        <v>24.700000000000003</v>
      </c>
      <c r="T18" s="7">
        <f>LARGE(CHOOSE({1;2;3;4},H18,K18,N18,Q18),1)+LARGE(CHOOSE({1;2;3;4},H18,K18,N18,Q18),2)+LARGE(CHOOSE({1;2;3;4},H18,K18,N18,Q18),3)</f>
        <v>33.200000000000003</v>
      </c>
      <c r="U18" s="4" cm="1">
        <f t="array" ref="U18">IF(PB[[#This Row],[Number_of_competition]:[Number_of_competition]]&gt;=3,(LARGE(CHOOSE({1;2;3;4},F18,I18,L18,O18),1)+LARGE(CHOOSE({1;2;3;4},F18,I18,L18,O18),2)+LARGE(CHOOSE({1;2;3;4},F18,I18,L18,O18),3))/3,0)</f>
        <v>2.8333333333333335</v>
      </c>
      <c r="V18" s="7" cm="1">
        <f t="array" ref="V18">IF(PB[[#This Row],[Number_of_competition]:[Number_of_competition]]&gt;=3,(LARGE(CHOOSE({1;2;3;4},G18,J18,M18,P18),1)+LARGE(CHOOSE({1;2;3;4},G18,J18,M18,P18),2)+LARGE(CHOOSE({1;2;3;4},G18,J18,M18,P18),3))/3,0)</f>
        <v>8.2333333333333343</v>
      </c>
      <c r="W18" s="7" cm="1">
        <f t="array" ref="W18">IF(PB[[#This Row],[Number_of_competition]:[Number_of_competition]]&gt;=3,(LARGE(CHOOSE({1;2;3;4},H18,K18,N18,Q18),1)+LARGE(CHOOSE({1;2;3;4},H18,K18,N18,Q18),2)+LARGE(CHOOSE({1;2;3;4},H18,K18,N18,Q18),3))/3,0)</f>
        <v>11.066666666666668</v>
      </c>
      <c r="Y18" s="31" t="s">
        <v>300</v>
      </c>
    </row>
    <row r="19" spans="1:25" x14ac:dyDescent="0.25">
      <c r="A19" t="s">
        <v>46</v>
      </c>
      <c r="B19" s="2" t="s">
        <v>26</v>
      </c>
      <c r="C19" s="2" t="s">
        <v>47</v>
      </c>
      <c r="D19" t="s">
        <v>36</v>
      </c>
      <c r="E19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19" s="4">
        <v>0</v>
      </c>
      <c r="G19" s="7">
        <v>0</v>
      </c>
      <c r="H19" s="7">
        <v>0</v>
      </c>
      <c r="I19" s="4">
        <v>2.4</v>
      </c>
      <c r="J19" s="7">
        <v>8.6</v>
      </c>
      <c r="K19" s="7">
        <v>11</v>
      </c>
      <c r="L19" s="4">
        <v>3.1</v>
      </c>
      <c r="M19" s="7">
        <v>8.6</v>
      </c>
      <c r="N19" s="7">
        <v>11.7</v>
      </c>
      <c r="O19" s="4">
        <v>2.4</v>
      </c>
      <c r="P19" s="7">
        <v>8</v>
      </c>
      <c r="Q19" s="7">
        <v>10.4</v>
      </c>
      <c r="R19" s="4">
        <f>LARGE(CHOOSE({1;2;3;4},F19,I19,L19,O19),1)+LARGE(CHOOSE({1;2;3;4},F19,I19,L19,O19),2)+LARGE(CHOOSE({1;2;3;4},F19,I19,L19,O19),3)</f>
        <v>7.9</v>
      </c>
      <c r="S19" s="7">
        <f>LARGE(CHOOSE({1;2;3;4},G19,J19,M19,P19),1)+LARGE(CHOOSE({1;2;3;4},G19,J19,M19,P19),2)+LARGE(CHOOSE({1;2;3;4},G19,J19,M19,P19),3)</f>
        <v>25.2</v>
      </c>
      <c r="T19" s="7">
        <f>LARGE(CHOOSE({1;2;3;4},H19,K19,N19,Q19),1)+LARGE(CHOOSE({1;2;3;4},H19,K19,N19,Q19),2)+LARGE(CHOOSE({1;2;3;4},H19,K19,N19,Q19),3)</f>
        <v>33.1</v>
      </c>
      <c r="U19" s="4" cm="1">
        <f t="array" ref="U19">IF(PB[[#This Row],[Number_of_competition]:[Number_of_competition]]&gt;=3,(LARGE(CHOOSE({1;2;3;4},F19,I19,L19,O19),1)+LARGE(CHOOSE({1;2;3;4},F19,I19,L19,O19),2)+LARGE(CHOOSE({1;2;3;4},F19,I19,L19,O19),3))/3,0)</f>
        <v>2.6333333333333333</v>
      </c>
      <c r="V19" s="7" cm="1">
        <f t="array" ref="V19">IF(PB[[#This Row],[Number_of_competition]:[Number_of_competition]]&gt;=3,(LARGE(CHOOSE({1;2;3;4},G19,J19,M19,P19),1)+LARGE(CHOOSE({1;2;3;4},G19,J19,M19,P19),2)+LARGE(CHOOSE({1;2;3;4},G19,J19,M19,P19),3))/3,0)</f>
        <v>8.4</v>
      </c>
      <c r="W19" s="7" cm="1">
        <f t="array" ref="W19">IF(PB[[#This Row],[Number_of_competition]:[Number_of_competition]]&gt;=3,(LARGE(CHOOSE({1;2;3;4},H19,K19,N19,Q19),1)+LARGE(CHOOSE({1;2;3;4},H19,K19,N19,Q19),2)+LARGE(CHOOSE({1;2;3;4},H19,K19,N19,Q19),3))/3,0)</f>
        <v>11.033333333333333</v>
      </c>
      <c r="Y19" s="32" t="s">
        <v>299</v>
      </c>
    </row>
    <row r="20" spans="1:25" x14ac:dyDescent="0.25">
      <c r="A20" t="s">
        <v>42</v>
      </c>
      <c r="B20" s="2" t="s">
        <v>26</v>
      </c>
      <c r="C20" s="2" t="s">
        <v>43</v>
      </c>
      <c r="D20" t="s">
        <v>36</v>
      </c>
      <c r="E20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20" s="4">
        <v>0</v>
      </c>
      <c r="G20" s="7">
        <v>0</v>
      </c>
      <c r="H20" s="7">
        <v>0</v>
      </c>
      <c r="I20" s="4">
        <v>3.1</v>
      </c>
      <c r="J20" s="7">
        <v>8.5500000000000007</v>
      </c>
      <c r="K20" s="7">
        <v>11.65</v>
      </c>
      <c r="L20" s="4">
        <v>3.1</v>
      </c>
      <c r="M20" s="7">
        <v>7.1</v>
      </c>
      <c r="N20" s="7">
        <v>10.199999999999999</v>
      </c>
      <c r="O20" s="4">
        <v>2.4</v>
      </c>
      <c r="P20" s="7">
        <v>8.8000000000000007</v>
      </c>
      <c r="Q20" s="7">
        <v>11.2</v>
      </c>
      <c r="R20" s="4">
        <f>LARGE(CHOOSE({1;2;3;4},F20,I20,L20,O20),1)+LARGE(CHOOSE({1;2;3;4},F20,I20,L20,O20),2)+LARGE(CHOOSE({1;2;3;4},F20,I20,L20,O20),3)</f>
        <v>8.6</v>
      </c>
      <c r="S20" s="7">
        <f>LARGE(CHOOSE({1;2;3;4},G20,J20,M20,P20),1)+LARGE(CHOOSE({1;2;3;4},G20,J20,M20,P20),2)+LARGE(CHOOSE({1;2;3;4},G20,J20,M20,P20),3)</f>
        <v>24.450000000000003</v>
      </c>
      <c r="T20" s="7">
        <f>LARGE(CHOOSE({1;2;3;4},H20,K20,N20,Q20),1)+LARGE(CHOOSE({1;2;3;4},H20,K20,N20,Q20),2)+LARGE(CHOOSE({1;2;3;4},H20,K20,N20,Q20),3)</f>
        <v>33.049999999999997</v>
      </c>
      <c r="U20" s="4" cm="1">
        <f t="array" ref="U20">IF(PB[[#This Row],[Number_of_competition]:[Number_of_competition]]&gt;=3,(LARGE(CHOOSE({1;2;3;4},F20,I20,L20,O20),1)+LARGE(CHOOSE({1;2;3;4},F20,I20,L20,O20),2)+LARGE(CHOOSE({1;2;3;4},F20,I20,L20,O20),3))/3,0)</f>
        <v>2.8666666666666667</v>
      </c>
      <c r="V20" s="7" cm="1">
        <f t="array" ref="V20">IF(PB[[#This Row],[Number_of_competition]:[Number_of_competition]]&gt;=3,(LARGE(CHOOSE({1;2;3;4},G20,J20,M20,P20),1)+LARGE(CHOOSE({1;2;3;4},G20,J20,M20,P20),2)+LARGE(CHOOSE({1;2;3;4},G20,J20,M20,P20),3))/3,0)</f>
        <v>8.15</v>
      </c>
      <c r="W20" s="7" cm="1">
        <f t="array" ref="W20">IF(PB[[#This Row],[Number_of_competition]:[Number_of_competition]]&gt;=3,(LARGE(CHOOSE({1;2;3;4},H20,K20,N20,Q20),1)+LARGE(CHOOSE({1;2;3;4},H20,K20,N20,Q20),2)+LARGE(CHOOSE({1;2;3;4},H20,K20,N20,Q20),3))/3,0)</f>
        <v>11.016666666666666</v>
      </c>
      <c r="Y20" s="33" t="s">
        <v>252</v>
      </c>
    </row>
    <row r="21" spans="1:25" x14ac:dyDescent="0.25">
      <c r="A21" t="s">
        <v>114</v>
      </c>
      <c r="B21" s="2" t="s">
        <v>26</v>
      </c>
      <c r="C21" s="2" t="s">
        <v>115</v>
      </c>
      <c r="D21" t="s">
        <v>36</v>
      </c>
      <c r="E21" s="6">
        <f>COUNTIF(PB[[#This Row],[bydgoszcz_PB_Total_Score]],"&gt;0")+COUNTIF(PB[[#This Row],[zabrze_PB_Total_Score]],"&gt;0")+COUNTIF(PB[[#This Row],[cracow_PB_Total_Score]],"&gt;0")+COUNTIF(PB[[#This Row],[gdansk_PB_Total_Score]],"&gt;0")</f>
        <v>3</v>
      </c>
      <c r="F21" s="4">
        <v>2.4</v>
      </c>
      <c r="G21" s="7">
        <v>8.1</v>
      </c>
      <c r="H21" s="7">
        <v>10.5</v>
      </c>
      <c r="I21" s="4">
        <v>0</v>
      </c>
      <c r="J21" s="7">
        <v>0</v>
      </c>
      <c r="K21" s="7">
        <v>0</v>
      </c>
      <c r="L21" s="4">
        <v>2.4</v>
      </c>
      <c r="M21" s="7">
        <v>8</v>
      </c>
      <c r="N21" s="7">
        <v>10.4</v>
      </c>
      <c r="O21" s="4">
        <v>2.4</v>
      </c>
      <c r="P21" s="7">
        <v>8.8000000000000007</v>
      </c>
      <c r="Q21" s="7">
        <v>11.2</v>
      </c>
      <c r="R21" s="4">
        <f>LARGE(CHOOSE({1;2;3;4},F21,I21,L21,O21),1)+LARGE(CHOOSE({1;2;3;4},F21,I21,L21,O21),2)+LARGE(CHOOSE({1;2;3;4},F21,I21,L21,O21),3)</f>
        <v>7.1999999999999993</v>
      </c>
      <c r="S21" s="7">
        <f>LARGE(CHOOSE({1;2;3;4},G21,J21,M21,P21),1)+LARGE(CHOOSE({1;2;3;4},G21,J21,M21,P21),2)+LARGE(CHOOSE({1;2;3;4},G21,J21,M21,P21),3)</f>
        <v>24.9</v>
      </c>
      <c r="T21" s="7">
        <f>LARGE(CHOOSE({1;2;3;4},H21,K21,N21,Q21),1)+LARGE(CHOOSE({1;2;3;4},H21,K21,N21,Q21),2)+LARGE(CHOOSE({1;2;3;4},H21,K21,N21,Q21),3)</f>
        <v>32.1</v>
      </c>
      <c r="U21" s="4" cm="1">
        <f t="array" ref="U21">IF(PB[[#This Row],[Number_of_competition]:[Number_of_competition]]&gt;=3,(LARGE(CHOOSE({1;2;3;4},F21,I21,L21,O21),1)+LARGE(CHOOSE({1;2;3;4},F21,I21,L21,O21),2)+LARGE(CHOOSE({1;2;3;4},F21,I21,L21,O21),3))/3,0)</f>
        <v>2.4</v>
      </c>
      <c r="V21" s="7" cm="1">
        <f t="array" ref="V21">IF(PB[[#This Row],[Number_of_competition]:[Number_of_competition]]&gt;=3,(LARGE(CHOOSE({1;2;3;4},G21,J21,M21,P21),1)+LARGE(CHOOSE({1;2;3;4},G21,J21,M21,P21),2)+LARGE(CHOOSE({1;2;3;4},G21,J21,M21,P21),3))/3,0)</f>
        <v>8.2999999999999989</v>
      </c>
      <c r="W21" s="7" cm="1">
        <f t="array" ref="W21">IF(PB[[#This Row],[Number_of_competition]:[Number_of_competition]]&gt;=3,(LARGE(CHOOSE({1;2;3;4},H21,K21,N21,Q21),1)+LARGE(CHOOSE({1;2;3;4},H21,K21,N21,Q21),2)+LARGE(CHOOSE({1;2;3;4},H21,K21,N21,Q21),3))/3,0)</f>
        <v>10.700000000000001</v>
      </c>
      <c r="Y21" s="34" t="s">
        <v>301</v>
      </c>
    </row>
    <row r="22" spans="1:25" x14ac:dyDescent="0.25">
      <c r="A22" t="s">
        <v>86</v>
      </c>
      <c r="B22" s="2" t="s">
        <v>60</v>
      </c>
      <c r="C22" s="2" t="s">
        <v>87</v>
      </c>
      <c r="D22" t="s">
        <v>72</v>
      </c>
      <c r="E22" s="6">
        <f>COUNTIF(PB[[#This Row],[bydgoszcz_PB_Total_Score]],"&gt;0")+COUNTIF(PB[[#This Row],[zabrze_PB_Total_Score]],"&gt;0")+COUNTIF(PB[[#This Row],[cracow_PB_Total_Score]],"&gt;0")+COUNTIF(PB[[#This Row],[gdansk_PB_Total_Score]],"&gt;0")</f>
        <v>4</v>
      </c>
      <c r="F22" s="4">
        <v>2.6</v>
      </c>
      <c r="G22" s="7">
        <v>5.65</v>
      </c>
      <c r="H22" s="7">
        <v>8.25</v>
      </c>
      <c r="I22" s="4">
        <v>2.8</v>
      </c>
      <c r="J22" s="7">
        <v>7.5</v>
      </c>
      <c r="K22" s="7">
        <v>10.3</v>
      </c>
      <c r="L22" s="4">
        <v>2.9</v>
      </c>
      <c r="M22" s="7">
        <v>7.2</v>
      </c>
      <c r="N22" s="7">
        <v>10.1</v>
      </c>
      <c r="O22" s="4">
        <v>2.4</v>
      </c>
      <c r="P22" s="7">
        <v>4</v>
      </c>
      <c r="Q22" s="7">
        <v>6.4</v>
      </c>
      <c r="R22" s="4">
        <f>LARGE(CHOOSE({1;2;3;4},F22,I22,L22,O22),1)+LARGE(CHOOSE({1;2;3;4},F22,I22,L22,O22),2)+LARGE(CHOOSE({1;2;3;4},F22,I22,L22,O22),3)</f>
        <v>8.2999999999999989</v>
      </c>
      <c r="S22" s="7">
        <f>LARGE(CHOOSE({1;2;3;4},G22,J22,M22,P22),1)+LARGE(CHOOSE({1;2;3;4},G22,J22,M22,P22),2)+LARGE(CHOOSE({1;2;3;4},G22,J22,M22,P22),3)</f>
        <v>20.350000000000001</v>
      </c>
      <c r="T22" s="7">
        <f>LARGE(CHOOSE({1;2;3;4},H22,K22,N22,Q22),1)+LARGE(CHOOSE({1;2;3;4},H22,K22,N22,Q22),2)+LARGE(CHOOSE({1;2;3;4},H22,K22,N22,Q22),3)</f>
        <v>28.65</v>
      </c>
      <c r="U22" s="4" cm="1">
        <f t="array" ref="U22">IF(PB[[#This Row],[Number_of_competition]:[Number_of_competition]]&gt;=3,(LARGE(CHOOSE({1;2;3;4},F22,I22,L22,O22),1)+LARGE(CHOOSE({1;2;3;4},F22,I22,L22,O22),2)+LARGE(CHOOSE({1;2;3;4},F22,I22,L22,O22),3))/3,0)</f>
        <v>2.7666666666666662</v>
      </c>
      <c r="V22" s="7" cm="1">
        <f t="array" ref="V22">IF(PB[[#This Row],[Number_of_competition]:[Number_of_competition]]&gt;=3,(LARGE(CHOOSE({1;2;3;4},G22,J22,M22,P22),1)+LARGE(CHOOSE({1;2;3;4},G22,J22,M22,P22),2)+LARGE(CHOOSE({1;2;3;4},G22,J22,M22,P22),3))/3,0)</f>
        <v>6.7833333333333341</v>
      </c>
      <c r="W22" s="7" cm="1">
        <f t="array" ref="W22">IF(PB[[#This Row],[Number_of_competition]:[Number_of_competition]]&gt;=3,(LARGE(CHOOSE({1;2;3;4},H22,K22,N22,Q22),1)+LARGE(CHOOSE({1;2;3;4},H22,K22,N22,Q22),2)+LARGE(CHOOSE({1;2;3;4},H22,K22,N22,Q22),3))/3,0)</f>
        <v>9.5499999999999989</v>
      </c>
      <c r="Y22" s="37" t="s">
        <v>304</v>
      </c>
    </row>
    <row r="23" spans="1:25" x14ac:dyDescent="0.25">
      <c r="A23" t="s">
        <v>65</v>
      </c>
      <c r="B23" s="2" t="s">
        <v>60</v>
      </c>
      <c r="C23" s="2" t="s">
        <v>66</v>
      </c>
      <c r="D23" t="s">
        <v>67</v>
      </c>
      <c r="E23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3" s="4">
        <v>0</v>
      </c>
      <c r="G23" s="7">
        <v>0</v>
      </c>
      <c r="H23" s="7">
        <v>0</v>
      </c>
      <c r="I23" s="4">
        <v>3</v>
      </c>
      <c r="J23" s="7">
        <v>9.35</v>
      </c>
      <c r="K23" s="7">
        <v>12.35</v>
      </c>
      <c r="L23" s="4">
        <v>0</v>
      </c>
      <c r="M23" s="7">
        <v>0</v>
      </c>
      <c r="N23" s="7">
        <v>0</v>
      </c>
      <c r="O23" s="4">
        <v>3.4</v>
      </c>
      <c r="P23" s="7">
        <v>9</v>
      </c>
      <c r="Q23" s="7">
        <v>12.4</v>
      </c>
      <c r="R23" s="4">
        <f>LARGE(CHOOSE({1;2;3;4},F23,I23,L23,O23),1)+LARGE(CHOOSE({1;2;3;4},F23,I23,L23,O23),2)+LARGE(CHOOSE({1;2;3;4},F23,I23,L23,O23),3)</f>
        <v>6.4</v>
      </c>
      <c r="S23" s="7">
        <f>LARGE(CHOOSE({1;2;3;4},G23,J23,M23,P23),1)+LARGE(CHOOSE({1;2;3;4},G23,J23,M23,P23),2)+LARGE(CHOOSE({1;2;3;4},G23,J23,M23,P23),3)</f>
        <v>18.350000000000001</v>
      </c>
      <c r="T23" s="7">
        <f>LARGE(CHOOSE({1;2;3;4},H23,K23,N23,Q23),1)+LARGE(CHOOSE({1;2;3;4},H23,K23,N23,Q23),2)+LARGE(CHOOSE({1;2;3;4},H23,K23,N23,Q23),3)</f>
        <v>24.75</v>
      </c>
      <c r="U23" s="4" cm="1">
        <f t="array" ref="U23">IF(PB[[#This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IF(PB[[#This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IF(PB[[#This Row],[Number_of_competition]:[Number_of_competition]]&gt;=3,(LARGE(CHOOSE({1;2;3;4},H23,K23,N23,Q23),1)+LARGE(CHOOSE({1;2;3;4},H23,K23,N23,Q23),2)+LARGE(CHOOSE({1;2;3;4},H23,K23,N23,Q23),3))/3,0)</f>
        <v>0</v>
      </c>
      <c r="Y23" s="35" t="s">
        <v>302</v>
      </c>
    </row>
    <row r="24" spans="1:25" x14ac:dyDescent="0.25">
      <c r="A24" t="s">
        <v>75</v>
      </c>
      <c r="B24" s="2" t="s">
        <v>60</v>
      </c>
      <c r="C24" s="2" t="s">
        <v>76</v>
      </c>
      <c r="D24" t="s">
        <v>28</v>
      </c>
      <c r="E24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4" s="4">
        <v>0</v>
      </c>
      <c r="G24" s="7">
        <v>0</v>
      </c>
      <c r="H24" s="7">
        <v>0</v>
      </c>
      <c r="I24" s="4">
        <v>3.5</v>
      </c>
      <c r="J24" s="7">
        <v>8.0500000000000007</v>
      </c>
      <c r="K24" s="7">
        <v>11.55</v>
      </c>
      <c r="L24" s="4">
        <v>3.5</v>
      </c>
      <c r="M24" s="7">
        <v>9.1</v>
      </c>
      <c r="N24" s="7">
        <v>12.6</v>
      </c>
      <c r="O24" s="4">
        <v>0</v>
      </c>
      <c r="P24" s="7">
        <v>0</v>
      </c>
      <c r="Q24" s="7">
        <v>0</v>
      </c>
      <c r="R24" s="4">
        <f>LARGE(CHOOSE({1;2;3;4},F24,I24,L24,O24),1)+LARGE(CHOOSE({1;2;3;4},F24,I24,L24,O24),2)+LARGE(CHOOSE({1;2;3;4},F24,I24,L24,O24),3)</f>
        <v>7</v>
      </c>
      <c r="S24" s="7">
        <f>LARGE(CHOOSE({1;2;3;4},G24,J24,M24,P24),1)+LARGE(CHOOSE({1;2;3;4},G24,J24,M24,P24),2)+LARGE(CHOOSE({1;2;3;4},G24,J24,M24,P24),3)</f>
        <v>17.149999999999999</v>
      </c>
      <c r="T24" s="7">
        <f>LARGE(CHOOSE({1;2;3;4},H24,K24,N24,Q24),1)+LARGE(CHOOSE({1;2;3;4},H24,K24,N24,Q24),2)+LARGE(CHOOSE({1;2;3;4},H24,K24,N24,Q24),3)</f>
        <v>24.15</v>
      </c>
      <c r="U24" s="4" cm="1">
        <f t="array" ref="U24">IF(PB[[#This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IF(PB[[#This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IF(PB[[#This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</row>
    <row r="25" spans="1:25" x14ac:dyDescent="0.25">
      <c r="A25" t="s">
        <v>127</v>
      </c>
      <c r="B25" s="2" t="s">
        <v>60</v>
      </c>
      <c r="C25" s="2" t="s">
        <v>128</v>
      </c>
      <c r="D25" t="s">
        <v>72</v>
      </c>
      <c r="E25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5" s="4">
        <v>3.8</v>
      </c>
      <c r="G25" s="7">
        <v>7.55</v>
      </c>
      <c r="H25" s="7">
        <v>11.35</v>
      </c>
      <c r="I25" s="4">
        <v>0</v>
      </c>
      <c r="J25" s="7">
        <v>0</v>
      </c>
      <c r="K25" s="7">
        <v>0</v>
      </c>
      <c r="L25" s="4">
        <v>4</v>
      </c>
      <c r="M25" s="7">
        <v>8.3000000000000007</v>
      </c>
      <c r="N25" s="7">
        <v>12.3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7.8</v>
      </c>
      <c r="S25" s="7">
        <f>LARGE(CHOOSE({1;2;3;4},G25,J25,M25,P25),1)+LARGE(CHOOSE({1;2;3;4},G25,J25,M25,P25),2)+LARGE(CHOOSE({1;2;3;4},G25,J25,M25,P25),3)</f>
        <v>15.850000000000001</v>
      </c>
      <c r="T25" s="7">
        <f>LARGE(CHOOSE({1;2;3;4},H25,K25,N25,Q25),1)+LARGE(CHOOSE({1;2;3;4},H25,K25,N25,Q25),2)+LARGE(CHOOSE({1;2;3;4},H25,K25,N25,Q25),3)</f>
        <v>23.65</v>
      </c>
      <c r="U25" s="4" cm="1">
        <f t="array" ref="U25">IF(PB[[#This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IF(PB[[#This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IF(PB[[#This Row],[Number_of_competition]:[Number_of_competition]]&gt;=3,(LARGE(CHOOSE({1;2;3;4},H25,K25,N25,Q25),1)+LARGE(CHOOSE({1;2;3;4},H25,K25,N25,Q25),2)+LARGE(CHOOSE({1;2;3;4},H25,K25,N25,Q25),3))/3,0)</f>
        <v>0</v>
      </c>
    </row>
    <row r="26" spans="1:25" x14ac:dyDescent="0.25">
      <c r="A26" t="s">
        <v>94</v>
      </c>
      <c r="B26" s="2" t="s">
        <v>60</v>
      </c>
      <c r="C26" s="2" t="s">
        <v>95</v>
      </c>
      <c r="D26" t="s">
        <v>72</v>
      </c>
      <c r="E26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6" s="4">
        <v>0</v>
      </c>
      <c r="G26" s="7">
        <v>0</v>
      </c>
      <c r="H26" s="7">
        <v>0</v>
      </c>
      <c r="I26" s="4">
        <v>3.1</v>
      </c>
      <c r="J26" s="7">
        <v>8.85</v>
      </c>
      <c r="K26" s="7">
        <v>11.95</v>
      </c>
      <c r="L26" s="4">
        <v>3.2</v>
      </c>
      <c r="M26" s="7">
        <v>8.35</v>
      </c>
      <c r="N26" s="7">
        <v>11.55</v>
      </c>
      <c r="O26" s="4">
        <v>0</v>
      </c>
      <c r="P26" s="7">
        <v>0</v>
      </c>
      <c r="Q26" s="7">
        <v>0</v>
      </c>
      <c r="R26" s="4">
        <f>LARGE(CHOOSE({1;2;3;4},F26,I26,L26,O26),1)+LARGE(CHOOSE({1;2;3;4},F26,I26,L26,O26),2)+LARGE(CHOOSE({1;2;3;4},F26,I26,L26,O26),3)</f>
        <v>6.3000000000000007</v>
      </c>
      <c r="S26" s="7">
        <f>LARGE(CHOOSE({1;2;3;4},G26,J26,M26,P26),1)+LARGE(CHOOSE({1;2;3;4},G26,J26,M26,P26),2)+LARGE(CHOOSE({1;2;3;4},G26,J26,M26,P26),3)</f>
        <v>17.2</v>
      </c>
      <c r="T26" s="7">
        <f>LARGE(CHOOSE({1;2;3;4},H26,K26,N26,Q26),1)+LARGE(CHOOSE({1;2;3;4},H26,K26,N26,Q26),2)+LARGE(CHOOSE({1;2;3;4},H26,K26,N26,Q26),3)</f>
        <v>23.5</v>
      </c>
      <c r="U26" s="4" cm="1">
        <f t="array" ref="U26">IF(PB[[#This Row],[Number_of_competition]:[Number_of_competition]]&gt;=3,(LARGE(CHOOSE({1;2;3;4},F26,I26,L26,O26),1)+LARGE(CHOOSE({1;2;3;4},F26,I26,L26,O26),2)+LARGE(CHOOSE({1;2;3;4},F26,I26,L26,O26),3))/3,0)</f>
        <v>0</v>
      </c>
      <c r="V26" s="7" cm="1">
        <f t="array" ref="V26">IF(PB[[#This Row],[Number_of_competition]:[Number_of_competition]]&gt;=3,(LARGE(CHOOSE({1;2;3;4},G26,J26,M26,P26),1)+LARGE(CHOOSE({1;2;3;4},G26,J26,M26,P26),2)+LARGE(CHOOSE({1;2;3;4},G26,J26,M26,P26),3))/3,0)</f>
        <v>0</v>
      </c>
      <c r="W26" s="7" cm="1">
        <f t="array" ref="W26">IF(PB[[#This Row],[Number_of_competition]:[Number_of_competition]]&gt;=3,(LARGE(CHOOSE({1;2;3;4},H26,K26,N26,Q26),1)+LARGE(CHOOSE({1;2;3;4},H26,K26,N26,Q26),2)+LARGE(CHOOSE({1;2;3;4},H26,K26,N26,Q26),3))/3,0)</f>
        <v>0</v>
      </c>
    </row>
    <row r="27" spans="1:25" x14ac:dyDescent="0.25">
      <c r="A27" t="s">
        <v>116</v>
      </c>
      <c r="B27" s="2" t="s">
        <v>60</v>
      </c>
      <c r="C27" s="2" t="s">
        <v>117</v>
      </c>
      <c r="D27" t="s">
        <v>62</v>
      </c>
      <c r="E27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7" s="4">
        <v>0</v>
      </c>
      <c r="G27" s="7">
        <v>0</v>
      </c>
      <c r="H27" s="7">
        <v>0</v>
      </c>
      <c r="I27" s="4">
        <v>0</v>
      </c>
      <c r="J27" s="7">
        <v>0</v>
      </c>
      <c r="K27" s="7">
        <v>0</v>
      </c>
      <c r="L27" s="4">
        <v>4.5</v>
      </c>
      <c r="M27" s="7">
        <v>6.45</v>
      </c>
      <c r="N27" s="7">
        <v>10.95</v>
      </c>
      <c r="O27" s="4">
        <v>4.9000000000000004</v>
      </c>
      <c r="P27" s="7">
        <v>7.4</v>
      </c>
      <c r="Q27" s="7">
        <v>12.3</v>
      </c>
      <c r="R27" s="4">
        <f>LARGE(CHOOSE({1;2;3;4},F27,I27,L27,O27),1)+LARGE(CHOOSE({1;2;3;4},F27,I27,L27,O27),2)+LARGE(CHOOSE({1;2;3;4},F27,I27,L27,O27),3)</f>
        <v>9.4</v>
      </c>
      <c r="S27" s="7">
        <f>LARGE(CHOOSE({1;2;3;4},G27,J27,M27,P27),1)+LARGE(CHOOSE({1;2;3;4},G27,J27,M27,P27),2)+LARGE(CHOOSE({1;2;3;4},G27,J27,M27,P27),3)</f>
        <v>13.850000000000001</v>
      </c>
      <c r="T27" s="7">
        <f>LARGE(CHOOSE({1;2;3;4},H27,K27,N27,Q27),1)+LARGE(CHOOSE({1;2;3;4},H27,K27,N27,Q27),2)+LARGE(CHOOSE({1;2;3;4},H27,K27,N27,Q27),3)</f>
        <v>23.25</v>
      </c>
      <c r="U27" s="4" cm="1">
        <f t="array" ref="U27">IF(PB[[#This Row],[Number_of_competition]:[Number_of_competition]]&gt;=3,(LARGE(CHOOSE({1;2;3;4},F27,I27,L27,O27),1)+LARGE(CHOOSE({1;2;3;4},F27,I27,L27,O27),2)+LARGE(CHOOSE({1;2;3;4},F27,I27,L27,O27),3))/3,0)</f>
        <v>0</v>
      </c>
      <c r="V27" s="7" cm="1">
        <f t="array" ref="V27">IF(PB[[#This Row],[Number_of_competition]:[Number_of_competition]]&gt;=3,(LARGE(CHOOSE({1;2;3;4},G27,J27,M27,P27),1)+LARGE(CHOOSE({1;2;3;4},G27,J27,M27,P27),2)+LARGE(CHOOSE({1;2;3;4},G27,J27,M27,P27),3))/3,0)</f>
        <v>0</v>
      </c>
      <c r="W27" s="7" cm="1">
        <f t="array" ref="W27">IF(PB[[#This Row],[Number_of_competition]:[Number_of_competition]]&gt;=3,(LARGE(CHOOSE({1;2;3;4},H27,K27,N27,Q27),1)+LARGE(CHOOSE({1;2;3;4},H27,K27,N27,Q27),2)+LARGE(CHOOSE({1;2;3;4},H27,K27,N27,Q27),3))/3,0)</f>
        <v>0</v>
      </c>
    </row>
    <row r="28" spans="1:25" x14ac:dyDescent="0.25">
      <c r="A28" t="s">
        <v>112</v>
      </c>
      <c r="B28" s="2" t="s">
        <v>26</v>
      </c>
      <c r="C28" s="2" t="s">
        <v>113</v>
      </c>
      <c r="D28" t="s">
        <v>31</v>
      </c>
      <c r="E28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8" s="4">
        <v>3.1</v>
      </c>
      <c r="G28" s="7">
        <v>8.65</v>
      </c>
      <c r="H28" s="7">
        <v>11.75</v>
      </c>
      <c r="I28" s="4">
        <v>0</v>
      </c>
      <c r="J28" s="7">
        <v>0</v>
      </c>
      <c r="K28" s="7">
        <v>0</v>
      </c>
      <c r="L28" s="4">
        <v>0</v>
      </c>
      <c r="M28" s="7">
        <v>0</v>
      </c>
      <c r="N28" s="7">
        <v>0</v>
      </c>
      <c r="O28" s="4">
        <v>3.2</v>
      </c>
      <c r="P28" s="7">
        <v>7.4</v>
      </c>
      <c r="Q28" s="7">
        <v>10.6</v>
      </c>
      <c r="R28" s="4">
        <f>LARGE(CHOOSE({1;2;3;4},F28,I28,L28,O28),1)+LARGE(CHOOSE({1;2;3;4},F28,I28,L28,O28),2)+LARGE(CHOOSE({1;2;3;4},F28,I28,L28,O28),3)</f>
        <v>6.3000000000000007</v>
      </c>
      <c r="S28" s="7">
        <f>LARGE(CHOOSE({1;2;3;4},G28,J28,M28,P28),1)+LARGE(CHOOSE({1;2;3;4},G28,J28,M28,P28),2)+LARGE(CHOOSE({1;2;3;4},G28,J28,M28,P28),3)</f>
        <v>16.05</v>
      </c>
      <c r="T28" s="7">
        <f>LARGE(CHOOSE({1;2;3;4},H28,K28,N28,Q28),1)+LARGE(CHOOSE({1;2;3;4},H28,K28,N28,Q28),2)+LARGE(CHOOSE({1;2;3;4},H28,K28,N28,Q28),3)</f>
        <v>22.35</v>
      </c>
      <c r="U28" s="4" cm="1">
        <f t="array" ref="U28">IF(PB[[#This Row],[Number_of_competition]:[Number_of_competition]]&gt;=3,(LARGE(CHOOSE({1;2;3;4},F28,I28,L28,O28),1)+LARGE(CHOOSE({1;2;3;4},F28,I28,L28,O28),2)+LARGE(CHOOSE({1;2;3;4},F28,I28,L28,O28),3))/3,0)</f>
        <v>0</v>
      </c>
      <c r="V28" s="7" cm="1">
        <f t="array" ref="V28">IF(PB[[#This Row],[Number_of_competition]:[Number_of_competition]]&gt;=3,(LARGE(CHOOSE({1;2;3;4},G28,J28,M28,P28),1)+LARGE(CHOOSE({1;2;3;4},G28,J28,M28,P28),2)+LARGE(CHOOSE({1;2;3;4},G28,J28,M28,P28),3))/3,0)</f>
        <v>0</v>
      </c>
      <c r="W28" s="7" cm="1">
        <f t="array" ref="W28">IF(PB[[#This Row],[Number_of_competition]:[Number_of_competition]]&gt;=3,(LARGE(CHOOSE({1;2;3;4},H28,K28,N28,Q28),1)+LARGE(CHOOSE({1;2;3;4},H28,K28,N28,Q28),2)+LARGE(CHOOSE({1;2;3;4},H28,K28,N28,Q28),3))/3,0)</f>
        <v>0</v>
      </c>
    </row>
    <row r="29" spans="1:25" x14ac:dyDescent="0.25">
      <c r="A29" t="s">
        <v>98</v>
      </c>
      <c r="B29" s="2" t="s">
        <v>60</v>
      </c>
      <c r="C29" s="2" t="s">
        <v>99</v>
      </c>
      <c r="D29" t="s">
        <v>72</v>
      </c>
      <c r="E29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29" s="4">
        <v>0</v>
      </c>
      <c r="G29" s="7">
        <v>0</v>
      </c>
      <c r="H29" s="7">
        <v>0</v>
      </c>
      <c r="I29" s="4">
        <v>2.4</v>
      </c>
      <c r="J29" s="7">
        <v>8.6</v>
      </c>
      <c r="K29" s="7">
        <v>11</v>
      </c>
      <c r="L29" s="4">
        <v>2.5</v>
      </c>
      <c r="M29" s="7">
        <v>8.6999999999999993</v>
      </c>
      <c r="N29" s="7">
        <v>11.2</v>
      </c>
      <c r="O29" s="4">
        <v>0</v>
      </c>
      <c r="P29" s="7">
        <v>0</v>
      </c>
      <c r="Q29" s="7">
        <v>0</v>
      </c>
      <c r="R29" s="4">
        <f>LARGE(CHOOSE({1;2;3;4},F29,I29,L29,O29),1)+LARGE(CHOOSE({1;2;3;4},F29,I29,L29,O29),2)+LARGE(CHOOSE({1;2;3;4},F29,I29,L29,O29),3)</f>
        <v>4.9000000000000004</v>
      </c>
      <c r="S29" s="7">
        <f>LARGE(CHOOSE({1;2;3;4},G29,J29,M29,P29),1)+LARGE(CHOOSE({1;2;3;4},G29,J29,M29,P29),2)+LARGE(CHOOSE({1;2;3;4},G29,J29,M29,P29),3)</f>
        <v>17.299999999999997</v>
      </c>
      <c r="T29" s="7">
        <f>LARGE(CHOOSE({1;2;3;4},H29,K29,N29,Q29),1)+LARGE(CHOOSE({1;2;3;4},H29,K29,N29,Q29),2)+LARGE(CHOOSE({1;2;3;4},H29,K29,N29,Q29),3)</f>
        <v>22.2</v>
      </c>
      <c r="U29" s="4" cm="1">
        <f t="array" ref="U29">IF(PB[[#This Row],[Number_of_competition]:[Number_of_competition]]&gt;=3,(LARGE(CHOOSE({1;2;3;4},F29,I29,L29,O29),1)+LARGE(CHOOSE({1;2;3;4},F29,I29,L29,O29),2)+LARGE(CHOOSE({1;2;3;4},F29,I29,L29,O29),3))/3,0)</f>
        <v>0</v>
      </c>
      <c r="V29" s="7" cm="1">
        <f t="array" ref="V29">IF(PB[[#This Row],[Number_of_competition]:[Number_of_competition]]&gt;=3,(LARGE(CHOOSE({1;2;3;4},G29,J29,M29,P29),1)+LARGE(CHOOSE({1;2;3;4},G29,J29,M29,P29),2)+LARGE(CHOOSE({1;2;3;4},G29,J29,M29,P29),3))/3,0)</f>
        <v>0</v>
      </c>
      <c r="W29" s="7" cm="1">
        <f t="array" ref="W29">IF(PB[[#This Row],[Number_of_competition]:[Number_of_competition]]&gt;=3,(LARGE(CHOOSE({1;2;3;4},H29,K29,N29,Q29),1)+LARGE(CHOOSE({1;2;3;4},H29,K29,N29,Q29),2)+LARGE(CHOOSE({1;2;3;4},H29,K29,N29,Q29),3))/3,0)</f>
        <v>0</v>
      </c>
    </row>
    <row r="30" spans="1:25" x14ac:dyDescent="0.25">
      <c r="A30" t="s">
        <v>96</v>
      </c>
      <c r="B30" s="2" t="s">
        <v>60</v>
      </c>
      <c r="C30" s="2" t="s">
        <v>97</v>
      </c>
      <c r="D30" t="s">
        <v>62</v>
      </c>
      <c r="E30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30" s="4">
        <v>0</v>
      </c>
      <c r="G30" s="7">
        <v>0</v>
      </c>
      <c r="H30" s="7">
        <v>0</v>
      </c>
      <c r="I30" s="4">
        <v>4</v>
      </c>
      <c r="J30" s="7">
        <v>6.6</v>
      </c>
      <c r="K30" s="7">
        <v>10.6</v>
      </c>
      <c r="L30" s="4">
        <v>3.8</v>
      </c>
      <c r="M30" s="7">
        <v>7.2</v>
      </c>
      <c r="N30" s="7">
        <v>11</v>
      </c>
      <c r="O30" s="4">
        <v>0</v>
      </c>
      <c r="P30" s="7">
        <v>0</v>
      </c>
      <c r="Q30" s="7">
        <v>0</v>
      </c>
      <c r="R30" s="4">
        <f>LARGE(CHOOSE({1;2;3;4},F30,I30,L30,O30),1)+LARGE(CHOOSE({1;2;3;4},F30,I30,L30,O30),2)+LARGE(CHOOSE({1;2;3;4},F30,I30,L30,O30),3)</f>
        <v>7.8</v>
      </c>
      <c r="S30" s="7">
        <f>LARGE(CHOOSE({1;2;3;4},G30,J30,M30,P30),1)+LARGE(CHOOSE({1;2;3;4},G30,J30,M30,P30),2)+LARGE(CHOOSE({1;2;3;4},G30,J30,M30,P30),3)</f>
        <v>13.8</v>
      </c>
      <c r="T30" s="7">
        <f>LARGE(CHOOSE({1;2;3;4},H30,K30,N30,Q30),1)+LARGE(CHOOSE({1;2;3;4},H30,K30,N30,Q30),2)+LARGE(CHOOSE({1;2;3;4},H30,K30,N30,Q30),3)</f>
        <v>21.6</v>
      </c>
      <c r="U30" s="4" cm="1">
        <f t="array" ref="U30">IF(PB[[#This Row],[Number_of_competition]:[Number_of_competition]]&gt;=3,(LARGE(CHOOSE({1;2;3;4},F30,I30,L30,O30),1)+LARGE(CHOOSE({1;2;3;4},F30,I30,L30,O30),2)+LARGE(CHOOSE({1;2;3;4},F30,I30,L30,O30),3))/3,0)</f>
        <v>0</v>
      </c>
      <c r="V30" s="7" cm="1">
        <f t="array" ref="V30">IF(PB[[#This Row],[Number_of_competition]:[Number_of_competition]]&gt;=3,(LARGE(CHOOSE({1;2;3;4},G30,J30,M30,P30),1)+LARGE(CHOOSE({1;2;3;4},G30,J30,M30,P30),2)+LARGE(CHOOSE({1;2;3;4},G30,J30,M30,P30),3))/3,0)</f>
        <v>0</v>
      </c>
      <c r="W30" s="7" cm="1">
        <f t="array" ref="W30">IF(PB[[#This Row],[Number_of_competition]:[Number_of_competition]]&gt;=3,(LARGE(CHOOSE({1;2;3;4},H30,K30,N30,Q30),1)+LARGE(CHOOSE({1;2;3;4},H30,K30,N30,Q30),2)+LARGE(CHOOSE({1;2;3;4},H30,K30,N30,Q30),3))/3,0)</f>
        <v>0</v>
      </c>
    </row>
    <row r="31" spans="1:25" x14ac:dyDescent="0.25">
      <c r="A31" t="s">
        <v>100</v>
      </c>
      <c r="B31" s="2" t="s">
        <v>60</v>
      </c>
      <c r="C31" s="2" t="s">
        <v>101</v>
      </c>
      <c r="D31" t="s">
        <v>31</v>
      </c>
      <c r="E31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31" s="4">
        <v>2.9</v>
      </c>
      <c r="G31" s="7">
        <v>7.75</v>
      </c>
      <c r="H31" s="7">
        <v>10.65</v>
      </c>
      <c r="I31" s="4">
        <v>2.4</v>
      </c>
      <c r="J31" s="7">
        <v>8.0500000000000007</v>
      </c>
      <c r="K31" s="7">
        <v>10.45</v>
      </c>
      <c r="L31" s="4">
        <v>0</v>
      </c>
      <c r="M31" s="7">
        <v>0</v>
      </c>
      <c r="N31" s="7">
        <v>0</v>
      </c>
      <c r="O31" s="4">
        <v>0</v>
      </c>
      <c r="P31" s="7">
        <v>0</v>
      </c>
      <c r="Q31" s="7">
        <v>0</v>
      </c>
      <c r="R31" s="4">
        <f>LARGE(CHOOSE({1;2;3;4},F31,I31,L31,O31),1)+LARGE(CHOOSE({1;2;3;4},F31,I31,L31,O31),2)+LARGE(CHOOSE({1;2;3;4},F31,I31,L31,O31),3)</f>
        <v>5.3</v>
      </c>
      <c r="S31" s="7">
        <f>LARGE(CHOOSE({1;2;3;4},G31,J31,M31,P31),1)+LARGE(CHOOSE({1;2;3;4},G31,J31,M31,P31),2)+LARGE(CHOOSE({1;2;3;4},G31,J31,M31,P31),3)</f>
        <v>15.8</v>
      </c>
      <c r="T31" s="7">
        <f>LARGE(CHOOSE({1;2;3;4},H31,K31,N31,Q31),1)+LARGE(CHOOSE({1;2;3;4},H31,K31,N31,Q31),2)+LARGE(CHOOSE({1;2;3;4},H31,K31,N31,Q31),3)</f>
        <v>21.1</v>
      </c>
      <c r="U31" s="4" cm="1">
        <f t="array" ref="U31">IF(PB[[#This Row],[Number_of_competition]:[Number_of_competition]]&gt;=3,(LARGE(CHOOSE({1;2;3;4},F31,I31,L31,O31),1)+LARGE(CHOOSE({1;2;3;4},F31,I31,L31,O31),2)+LARGE(CHOOSE({1;2;3;4},F31,I31,L31,O31),3))/3,0)</f>
        <v>0</v>
      </c>
      <c r="V31" s="7" cm="1">
        <f t="array" ref="V31">IF(PB[[#This Row],[Number_of_competition]:[Number_of_competition]]&gt;=3,(LARGE(CHOOSE({1;2;3;4},G31,J31,M31,P31),1)+LARGE(CHOOSE({1;2;3;4},G31,J31,M31,P31),2)+LARGE(CHOOSE({1;2;3;4},G31,J31,M31,P31),3))/3,0)</f>
        <v>0</v>
      </c>
      <c r="W31" s="7" cm="1">
        <f t="array" ref="W31">IF(PB[[#This Row],[Number_of_competition]:[Number_of_competition]]&gt;=3,(LARGE(CHOOSE({1;2;3;4},H31,K31,N31,Q31),1)+LARGE(CHOOSE({1;2;3;4},H31,K31,N31,Q31),2)+LARGE(CHOOSE({1;2;3;4},H31,K31,N31,Q31),3))/3,0)</f>
        <v>0</v>
      </c>
    </row>
    <row r="32" spans="1:25" x14ac:dyDescent="0.25">
      <c r="A32" t="s">
        <v>88</v>
      </c>
      <c r="B32" s="2" t="s">
        <v>60</v>
      </c>
      <c r="C32" s="2" t="s">
        <v>89</v>
      </c>
      <c r="D32" t="s">
        <v>36</v>
      </c>
      <c r="E32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32" s="4">
        <v>0</v>
      </c>
      <c r="G32" s="7">
        <v>0</v>
      </c>
      <c r="H32" s="7">
        <v>0</v>
      </c>
      <c r="I32" s="4">
        <v>2.8</v>
      </c>
      <c r="J32" s="7">
        <v>7.4</v>
      </c>
      <c r="K32" s="7">
        <v>10.199999999999999</v>
      </c>
      <c r="L32" s="4">
        <v>0</v>
      </c>
      <c r="M32" s="7">
        <v>0</v>
      </c>
      <c r="N32" s="7">
        <v>0</v>
      </c>
      <c r="O32" s="4">
        <v>2.7</v>
      </c>
      <c r="P32" s="7">
        <v>7.9</v>
      </c>
      <c r="Q32" s="7">
        <v>10.6</v>
      </c>
      <c r="R32" s="4">
        <f>LARGE(CHOOSE({1;2;3;4},F32,I32,L32,O32),1)+LARGE(CHOOSE({1;2;3;4},F32,I32,L32,O32),2)+LARGE(CHOOSE({1;2;3;4},F32,I32,L32,O32),3)</f>
        <v>5.5</v>
      </c>
      <c r="S32" s="7">
        <f>LARGE(CHOOSE({1;2;3;4},G32,J32,M32,P32),1)+LARGE(CHOOSE({1;2;3;4},G32,J32,M32,P32),2)+LARGE(CHOOSE({1;2;3;4},G32,J32,M32,P32),3)</f>
        <v>15.3</v>
      </c>
      <c r="T32" s="7">
        <f>LARGE(CHOOSE({1;2;3;4},H32,K32,N32,Q32),1)+LARGE(CHOOSE({1;2;3;4},H32,K32,N32,Q32),2)+LARGE(CHOOSE({1;2;3;4},H32,K32,N32,Q32),3)</f>
        <v>20.799999999999997</v>
      </c>
      <c r="U32" s="4" cm="1">
        <f t="array" ref="U32">IF(PB[[#This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IF(PB[[#This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IF(PB[[#This Row],[Number_of_competition]:[Number_of_competition]]&gt;=3,(LARGE(CHOOSE({1;2;3;4},H32,K32,N32,Q32),1)+LARGE(CHOOSE({1;2;3;4},H32,K32,N32,Q32),2)+LARGE(CHOOSE({1;2;3;4},H32,K32,N32,Q32),3))/3,0)</f>
        <v>0</v>
      </c>
    </row>
    <row r="33" spans="1:23" x14ac:dyDescent="0.25">
      <c r="A33" t="s">
        <v>120</v>
      </c>
      <c r="B33" s="2" t="s">
        <v>26</v>
      </c>
      <c r="C33" s="2" t="s">
        <v>121</v>
      </c>
      <c r="D33" t="s">
        <v>39</v>
      </c>
      <c r="E33" s="6">
        <f>COUNTIF(PB[[#This Row],[bydgoszcz_PB_Total_Score]],"&gt;0")+COUNTIF(PB[[#This Row],[zabrze_PB_Total_Score]],"&gt;0")+COUNTIF(PB[[#This Row],[cracow_PB_Total_Score]],"&gt;0")+COUNTIF(PB[[#This Row],[gdansk_PB_Total_Score]],"&gt;0")</f>
        <v>2</v>
      </c>
      <c r="F33" s="4">
        <v>3.1</v>
      </c>
      <c r="G33" s="7">
        <v>7.45</v>
      </c>
      <c r="H33" s="7">
        <v>10.55</v>
      </c>
      <c r="I33" s="4">
        <v>0</v>
      </c>
      <c r="J33" s="7">
        <v>0</v>
      </c>
      <c r="K33" s="7">
        <v>0</v>
      </c>
      <c r="L33" s="4">
        <v>2.2999999999999998</v>
      </c>
      <c r="M33" s="7">
        <v>7.45</v>
      </c>
      <c r="N33" s="7">
        <v>9.75</v>
      </c>
      <c r="O33" s="4">
        <v>0</v>
      </c>
      <c r="P33" s="7">
        <v>0</v>
      </c>
      <c r="Q33" s="7">
        <v>0</v>
      </c>
      <c r="R33" s="4">
        <f>LARGE(CHOOSE({1;2;3;4},F33,I33,L33,O33),1)+LARGE(CHOOSE({1;2;3;4},F33,I33,L33,O33),2)+LARGE(CHOOSE({1;2;3;4},F33,I33,L33,O33),3)</f>
        <v>5.4</v>
      </c>
      <c r="S33" s="7">
        <f>LARGE(CHOOSE({1;2;3;4},G33,J33,M33,P33),1)+LARGE(CHOOSE({1;2;3;4},G33,J33,M33,P33),2)+LARGE(CHOOSE({1;2;3;4},G33,J33,M33,P33),3)</f>
        <v>14.9</v>
      </c>
      <c r="T33" s="7">
        <f>LARGE(CHOOSE({1;2;3;4},H33,K33,N33,Q33),1)+LARGE(CHOOSE({1;2;3;4},H33,K33,N33,Q33),2)+LARGE(CHOOSE({1;2;3;4},H33,K33,N33,Q33),3)</f>
        <v>20.3</v>
      </c>
      <c r="U33" s="4" cm="1">
        <f t="array" ref="U33">IF(PB[[#This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IF(PB[[#This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IF(PB[[#This Row],[Number_of_competition]:[Number_of_competition]]&gt;=3,(LARGE(CHOOSE({1;2;3;4},H33,K33,N33,Q33),1)+LARGE(CHOOSE({1;2;3;4},H33,K33,N33,Q33),2)+LARGE(CHOOSE({1;2;3;4},H33,K33,N33,Q33),3))/3,0)</f>
        <v>0</v>
      </c>
    </row>
    <row r="34" spans="1:23" x14ac:dyDescent="0.25">
      <c r="A34" t="s">
        <v>70</v>
      </c>
      <c r="B34" s="2" t="s">
        <v>60</v>
      </c>
      <c r="C34" s="2" t="s">
        <v>71</v>
      </c>
      <c r="D34" t="s">
        <v>72</v>
      </c>
      <c r="E34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4" s="4">
        <v>0</v>
      </c>
      <c r="G34" s="7">
        <v>0</v>
      </c>
      <c r="H34" s="7">
        <v>0</v>
      </c>
      <c r="I34" s="4">
        <v>4.3</v>
      </c>
      <c r="J34" s="7">
        <v>8.1999999999999993</v>
      </c>
      <c r="K34" s="7">
        <v>12.5</v>
      </c>
      <c r="L34" s="4">
        <v>0</v>
      </c>
      <c r="M34" s="7">
        <v>0</v>
      </c>
      <c r="N34" s="7">
        <v>0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4.3</v>
      </c>
      <c r="S34" s="7">
        <f>LARGE(CHOOSE({1;2;3;4},G34,J34,M34,P34),1)+LARGE(CHOOSE({1;2;3;4},G34,J34,M34,P34),2)+LARGE(CHOOSE({1;2;3;4},G34,J34,M34,P34),3)</f>
        <v>8.1999999999999993</v>
      </c>
      <c r="T34" s="7">
        <f>LARGE(CHOOSE({1;2;3;4},H34,K34,N34,Q34),1)+LARGE(CHOOSE({1;2;3;4},H34,K34,N34,Q34),2)+LARGE(CHOOSE({1;2;3;4},H34,K34,N34,Q34),3)</f>
        <v>12.5</v>
      </c>
      <c r="U34" s="4" cm="1">
        <f t="array" ref="U34">IF(PB[[#This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IF(PB[[#This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IF(PB[[#This Row],[Number_of_competition]:[Number_of_competition]]&gt;=3,(LARGE(CHOOSE({1;2;3;4},H34,K34,N34,Q34),1)+LARGE(CHOOSE({1;2;3;4},H34,K34,N34,Q34),2)+LARGE(CHOOSE({1;2;3;4},H34,K34,N34,Q34),3))/3,0)</f>
        <v>0</v>
      </c>
    </row>
    <row r="35" spans="1:23" x14ac:dyDescent="0.25">
      <c r="A35" t="s">
        <v>90</v>
      </c>
      <c r="B35" s="2" t="s">
        <v>60</v>
      </c>
      <c r="C35" s="2" t="s">
        <v>91</v>
      </c>
      <c r="D35" t="s">
        <v>36</v>
      </c>
      <c r="E35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5" s="4">
        <v>0</v>
      </c>
      <c r="G35" s="7">
        <v>0</v>
      </c>
      <c r="H35" s="7">
        <v>0</v>
      </c>
      <c r="I35" s="4">
        <v>0</v>
      </c>
      <c r="J35" s="7">
        <v>0</v>
      </c>
      <c r="K35" s="7">
        <v>0</v>
      </c>
      <c r="L35" s="4">
        <v>2.9</v>
      </c>
      <c r="M35" s="7">
        <v>8.5</v>
      </c>
      <c r="N35" s="7">
        <v>11.4</v>
      </c>
      <c r="O35" s="4">
        <v>0</v>
      </c>
      <c r="P35" s="7">
        <v>0</v>
      </c>
      <c r="Q35" s="7">
        <v>0</v>
      </c>
      <c r="R35" s="4">
        <f>LARGE(CHOOSE({1;2;3;4},F35,I35,L35,O35),1)+LARGE(CHOOSE({1;2;3;4},F35,I35,L35,O35),2)+LARGE(CHOOSE({1;2;3;4},F35,I35,L35,O35),3)</f>
        <v>2.9</v>
      </c>
      <c r="S35" s="7">
        <f>LARGE(CHOOSE({1;2;3;4},G35,J35,M35,P35),1)+LARGE(CHOOSE({1;2;3;4},G35,J35,M35,P35),2)+LARGE(CHOOSE({1;2;3;4},G35,J35,M35,P35),3)</f>
        <v>8.5</v>
      </c>
      <c r="T35" s="7">
        <f>LARGE(CHOOSE({1;2;3;4},H35,K35,N35,Q35),1)+LARGE(CHOOSE({1;2;3;4},H35,K35,N35,Q35),2)+LARGE(CHOOSE({1;2;3;4},H35,K35,N35,Q35),3)</f>
        <v>11.4</v>
      </c>
      <c r="U35" s="4" cm="1">
        <f t="array" ref="U35">IF(PB[[#This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IF(PB[[#This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IF(PB[[#This Row],[Number_of_competition]:[Number_of_competition]]&gt;=3,(LARGE(CHOOSE({1;2;3;4},H35,K35,N35,Q35),1)+LARGE(CHOOSE({1;2;3;4},H35,K35,N35,Q35),2)+LARGE(CHOOSE({1;2;3;4},H35,K35,N35,Q35),3))/3,0)</f>
        <v>0</v>
      </c>
    </row>
    <row r="36" spans="1:23" x14ac:dyDescent="0.25">
      <c r="A36" t="s">
        <v>118</v>
      </c>
      <c r="B36" s="2" t="s">
        <v>60</v>
      </c>
      <c r="C36" s="2" t="s">
        <v>119</v>
      </c>
      <c r="D36" t="s">
        <v>31</v>
      </c>
      <c r="E36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6" s="4">
        <v>0</v>
      </c>
      <c r="G36" s="7">
        <v>0</v>
      </c>
      <c r="H36" s="7">
        <v>0</v>
      </c>
      <c r="I36" s="4">
        <v>0</v>
      </c>
      <c r="J36" s="7">
        <v>0</v>
      </c>
      <c r="K36" s="7">
        <v>0</v>
      </c>
      <c r="L36" s="4">
        <v>4.3</v>
      </c>
      <c r="M36" s="7">
        <v>7.1</v>
      </c>
      <c r="N36" s="7">
        <v>11.4</v>
      </c>
      <c r="O36" s="4">
        <v>0</v>
      </c>
      <c r="P36" s="7">
        <v>0</v>
      </c>
      <c r="Q36" s="7">
        <v>0</v>
      </c>
      <c r="R36" s="4">
        <f>LARGE(CHOOSE({1;2;3;4},F36,I36,L36,O36),1)+LARGE(CHOOSE({1;2;3;4},F36,I36,L36,O36),2)+LARGE(CHOOSE({1;2;3;4},F36,I36,L36,O36),3)</f>
        <v>4.3</v>
      </c>
      <c r="S36" s="7">
        <f>LARGE(CHOOSE({1;2;3;4},G36,J36,M36,P36),1)+LARGE(CHOOSE({1;2;3;4},G36,J36,M36,P36),2)+LARGE(CHOOSE({1;2;3;4},G36,J36,M36,P36),3)</f>
        <v>7.1</v>
      </c>
      <c r="T36" s="7">
        <f>LARGE(CHOOSE({1;2;3;4},H36,K36,N36,Q36),1)+LARGE(CHOOSE({1;2;3;4},H36,K36,N36,Q36),2)+LARGE(CHOOSE({1;2;3;4},H36,K36,N36,Q36),3)</f>
        <v>11.4</v>
      </c>
      <c r="U36" s="4" cm="1">
        <f t="array" ref="U36">IF(PB[[#This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IF(PB[[#This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IF(PB[[#This Row],[Number_of_competition]:[Number_of_competition]]&gt;=3,(LARGE(CHOOSE({1;2;3;4},H36,K36,N36,Q36),1)+LARGE(CHOOSE({1;2;3;4},H36,K36,N36,Q36),2)+LARGE(CHOOSE({1;2;3;4},H36,K36,N36,Q36),3))/3,0)</f>
        <v>0</v>
      </c>
    </row>
    <row r="37" spans="1:23" x14ac:dyDescent="0.25">
      <c r="A37" t="s">
        <v>142</v>
      </c>
      <c r="B37" s="2" t="s">
        <v>60</v>
      </c>
      <c r="C37" s="2" t="s">
        <v>143</v>
      </c>
      <c r="D37" t="s">
        <v>62</v>
      </c>
      <c r="E37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7" s="4">
        <v>3.4</v>
      </c>
      <c r="G37" s="7">
        <v>7.9</v>
      </c>
      <c r="H37" s="7">
        <v>11.3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3.4</v>
      </c>
      <c r="S37" s="7">
        <f>LARGE(CHOOSE({1;2;3;4},G37,J37,M37,P37),1)+LARGE(CHOOSE({1;2;3;4},G37,J37,M37,P37),2)+LARGE(CHOOSE({1;2;3;4},G37,J37,M37,P37),3)</f>
        <v>7.9</v>
      </c>
      <c r="T37" s="7">
        <f>LARGE(CHOOSE({1;2;3;4},H37,K37,N37,Q37),1)+LARGE(CHOOSE({1;2;3;4},H37,K37,N37,Q37),2)+LARGE(CHOOSE({1;2;3;4},H37,K37,N37,Q37),3)</f>
        <v>11.3</v>
      </c>
      <c r="U37" s="4" cm="1">
        <f t="array" ref="U37">IF(PB[[#This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IF(PB[[#This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IF(PB[[#This Row],[Number_of_competition]:[Number_of_competition]]&gt;=3,(LARGE(CHOOSE({1;2;3;4},H37,K37,N37,Q37),1)+LARGE(CHOOSE({1;2;3;4},H37,K37,N37,Q37),2)+LARGE(CHOOSE({1;2;3;4},H37,K37,N37,Q37),3))/3,0)</f>
        <v>0</v>
      </c>
    </row>
    <row r="38" spans="1:23" x14ac:dyDescent="0.25">
      <c r="A38" t="s">
        <v>129</v>
      </c>
      <c r="B38" s="2" t="s">
        <v>60</v>
      </c>
      <c r="C38" s="2" t="s">
        <v>130</v>
      </c>
      <c r="D38" t="s">
        <v>72</v>
      </c>
      <c r="E38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8" s="4">
        <v>0</v>
      </c>
      <c r="G38" s="7">
        <v>0</v>
      </c>
      <c r="H38" s="7">
        <v>0</v>
      </c>
      <c r="I38" s="4">
        <v>0</v>
      </c>
      <c r="J38" s="7">
        <v>0</v>
      </c>
      <c r="K38" s="7">
        <v>0</v>
      </c>
      <c r="L38" s="4">
        <v>2.7</v>
      </c>
      <c r="M38" s="7">
        <v>8.5500000000000007</v>
      </c>
      <c r="N38" s="7">
        <v>11.25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2.7</v>
      </c>
      <c r="S38" s="7">
        <f>LARGE(CHOOSE({1;2;3;4},G38,J38,M38,P38),1)+LARGE(CHOOSE({1;2;3;4},G38,J38,M38,P38),2)+LARGE(CHOOSE({1;2;3;4},G38,J38,M38,P38),3)</f>
        <v>8.5500000000000007</v>
      </c>
      <c r="T38" s="7">
        <f>LARGE(CHOOSE({1;2;3;4},H38,K38,N38,Q38),1)+LARGE(CHOOSE({1;2;3;4},H38,K38,N38,Q38),2)+LARGE(CHOOSE({1;2;3;4},H38,K38,N38,Q38),3)</f>
        <v>11.25</v>
      </c>
      <c r="U38" s="4" cm="1">
        <f t="array" ref="U38">IF(PB[[#This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IF(PB[[#This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IF(PB[[#This Row],[Number_of_competition]:[Number_of_competition]]&gt;=3,(LARGE(CHOOSE({1;2;3;4},H38,K38,N38,Q38),1)+LARGE(CHOOSE({1;2;3;4},H38,K38,N38,Q38),2)+LARGE(CHOOSE({1;2;3;4},H38,K38,N38,Q38),3))/3,0)</f>
        <v>0</v>
      </c>
    </row>
    <row r="39" spans="1:23" x14ac:dyDescent="0.25">
      <c r="A39" t="s">
        <v>132</v>
      </c>
      <c r="B39" s="2" t="s">
        <v>26</v>
      </c>
      <c r="C39" s="2" t="s">
        <v>133</v>
      </c>
      <c r="D39" t="s">
        <v>39</v>
      </c>
      <c r="E39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39" s="4">
        <v>3</v>
      </c>
      <c r="G39" s="7">
        <v>8.0500000000000007</v>
      </c>
      <c r="H39" s="7">
        <v>11.05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f>LARGE(CHOOSE({1;2;3;4},F39,I39,L39,O39),1)+LARGE(CHOOSE({1;2;3;4},F39,I39,L39,O39),2)+LARGE(CHOOSE({1;2;3;4},F39,I39,L39,O39),3)</f>
        <v>3</v>
      </c>
      <c r="S39" s="7">
        <f>LARGE(CHOOSE({1;2;3;4},G39,J39,M39,P39),1)+LARGE(CHOOSE({1;2;3;4},G39,J39,M39,P39),2)+LARGE(CHOOSE({1;2;3;4},G39,J39,M39,P39),3)</f>
        <v>8.0500000000000007</v>
      </c>
      <c r="T39" s="7">
        <f>LARGE(CHOOSE({1;2;3;4},H39,K39,N39,Q39),1)+LARGE(CHOOSE({1;2;3;4},H39,K39,N39,Q39),2)+LARGE(CHOOSE({1;2;3;4},H39,K39,N39,Q39),3)</f>
        <v>11.05</v>
      </c>
      <c r="U39" s="4" cm="1">
        <f t="array" ref="U39">IF(PB[[#This Row],[Number_of_competition]:[Number_of_competition]]&gt;=3,(LARGE(CHOOSE({1;2;3;4},F39,I39,L39,O39),1)+LARGE(CHOOSE({1;2;3;4},F39,I39,L39,O39),2)+LARGE(CHOOSE({1;2;3;4},F39,I39,L39,O39),3))/3,0)</f>
        <v>0</v>
      </c>
      <c r="V39" s="7" cm="1">
        <f t="array" ref="V39">IF(PB[[#This Row],[Number_of_competition]:[Number_of_competition]]&gt;=3,(LARGE(CHOOSE({1;2;3;4},G39,J39,M39,P39),1)+LARGE(CHOOSE({1;2;3;4},G39,J39,M39,P39),2)+LARGE(CHOOSE({1;2;3;4},G39,J39,M39,P39),3))/3,0)</f>
        <v>0</v>
      </c>
      <c r="W39" s="7" cm="1">
        <f t="array" ref="W39">IF(PB[[#This Row],[Number_of_competition]:[Number_of_competition]]&gt;=3,(LARGE(CHOOSE({1;2;3;4},H39,K39,N39,Q39),1)+LARGE(CHOOSE({1;2;3;4},H39,K39,N39,Q39),2)+LARGE(CHOOSE({1;2;3;4},H39,K39,N39,Q39),3))/3,0)</f>
        <v>0</v>
      </c>
    </row>
    <row r="40" spans="1:23" x14ac:dyDescent="0.25">
      <c r="A40" t="s">
        <v>106</v>
      </c>
      <c r="B40" s="2" t="s">
        <v>60</v>
      </c>
      <c r="C40" s="2" t="s">
        <v>107</v>
      </c>
      <c r="D40" t="s">
        <v>31</v>
      </c>
      <c r="E40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0" s="4">
        <v>2.5</v>
      </c>
      <c r="G40" s="7">
        <v>7.45</v>
      </c>
      <c r="H40" s="7">
        <v>9.9499999999999993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f>LARGE(CHOOSE({1;2;3;4},F40,I40,L40,O40),1)+LARGE(CHOOSE({1;2;3;4},F40,I40,L40,O40),2)+LARGE(CHOOSE({1;2;3;4},F40,I40,L40,O40),3)</f>
        <v>2.5</v>
      </c>
      <c r="S40" s="7">
        <f>LARGE(CHOOSE({1;2;3;4},G40,J40,M40,P40),1)+LARGE(CHOOSE({1;2;3;4},G40,J40,M40,P40),2)+LARGE(CHOOSE({1;2;3;4},G40,J40,M40,P40),3)</f>
        <v>7.45</v>
      </c>
      <c r="T40" s="7">
        <f>LARGE(CHOOSE({1;2;3;4},H40,K40,N40,Q40),1)+LARGE(CHOOSE({1;2;3;4},H40,K40,N40,Q40),2)+LARGE(CHOOSE({1;2;3;4},H40,K40,N40,Q40),3)</f>
        <v>9.9499999999999993</v>
      </c>
      <c r="U40" s="4" cm="1">
        <f t="array" ref="U40">IF(PB[[#This Row],[Number_of_competition]:[Number_of_competition]]&gt;=3,(LARGE(CHOOSE({1;2;3;4},F40,I40,L40,O40),1)+LARGE(CHOOSE({1;2;3;4},F40,I40,L40,O40),2)+LARGE(CHOOSE({1;2;3;4},F40,I40,L40,O40),3))/3,0)</f>
        <v>0</v>
      </c>
      <c r="V40" s="7" cm="1">
        <f t="array" ref="V40">IF(PB[[#This Row],[Number_of_competition]:[Number_of_competition]]&gt;=3,(LARGE(CHOOSE({1;2;3;4},G40,J40,M40,P40),1)+LARGE(CHOOSE({1;2;3;4},G40,J40,M40,P40),2)+LARGE(CHOOSE({1;2;3;4},G40,J40,M40,P40),3))/3,0)</f>
        <v>0</v>
      </c>
      <c r="W40" s="7" cm="1">
        <f t="array" ref="W40">IF(PB[[#This Row],[Number_of_competition]:[Number_of_competition]]&gt;=3,(LARGE(CHOOSE({1;2;3;4},H40,K40,N40,Q40),1)+LARGE(CHOOSE({1;2;3;4},H40,K40,N40,Q40),2)+LARGE(CHOOSE({1;2;3;4},H40,K40,N40,Q40),3))/3,0)</f>
        <v>0</v>
      </c>
    </row>
    <row r="41" spans="1:23" x14ac:dyDescent="0.25">
      <c r="A41" t="s">
        <v>57</v>
      </c>
      <c r="B41" s="2" t="s">
        <v>26</v>
      </c>
      <c r="C41" s="2" t="s">
        <v>58</v>
      </c>
      <c r="D41" t="s">
        <v>36</v>
      </c>
      <c r="E41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1" s="4">
        <v>2.5</v>
      </c>
      <c r="G41" s="7">
        <v>5.7</v>
      </c>
      <c r="H41" s="7">
        <v>8.1999999999999993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f>LARGE(CHOOSE({1;2;3;4},F41,I41,L41,O41),1)+LARGE(CHOOSE({1;2;3;4},F41,I41,L41,O41),2)+LARGE(CHOOSE({1;2;3;4},F41,I41,L41,O41),3)</f>
        <v>2.5</v>
      </c>
      <c r="S41" s="7">
        <f>LARGE(CHOOSE({1;2;3;4},G41,J41,M41,P41),1)+LARGE(CHOOSE({1;2;3;4},G41,J41,M41,P41),2)+LARGE(CHOOSE({1;2;3;4},G41,J41,M41,P41),3)</f>
        <v>5.7</v>
      </c>
      <c r="T41" s="7">
        <f>LARGE(CHOOSE({1;2;3;4},H41,K41,N41,Q41),1)+LARGE(CHOOSE({1;2;3;4},H41,K41,N41,Q41),2)+LARGE(CHOOSE({1;2;3;4},H41,K41,N41,Q41),3)</f>
        <v>8.1999999999999993</v>
      </c>
      <c r="U41" s="4" cm="1">
        <f t="array" ref="U41">IF(PB[[#This Row],[Number_of_competition]:[Number_of_competition]]&gt;=3,(LARGE(CHOOSE({1;2;3;4},F41,I41,L41,O41),1)+LARGE(CHOOSE({1;2;3;4},F41,I41,L41,O41),2)+LARGE(CHOOSE({1;2;3;4},F41,I41,L41,O41),3))/3,0)</f>
        <v>0</v>
      </c>
      <c r="V41" s="7" cm="1">
        <f t="array" ref="V41">IF(PB[[#This Row],[Number_of_competition]:[Number_of_competition]]&gt;=3,(LARGE(CHOOSE({1;2;3;4},G41,J41,M41,P41),1)+LARGE(CHOOSE({1;2;3;4},G41,J41,M41,P41),2)+LARGE(CHOOSE({1;2;3;4},G41,J41,M41,P41),3))/3,0)</f>
        <v>0</v>
      </c>
      <c r="W41" s="7" cm="1">
        <f t="array" ref="W41">IF(PB[[#This Row],[Number_of_competition]:[Number_of_competition]]&gt;=3,(LARGE(CHOOSE({1;2;3;4},H41,K41,N41,Q41),1)+LARGE(CHOOSE({1;2;3;4},H41,K41,N41,Q41),2)+LARGE(CHOOSE({1;2;3;4},H41,K41,N41,Q41),3))/3,0)</f>
        <v>0</v>
      </c>
    </row>
    <row r="42" spans="1:23" x14ac:dyDescent="0.25">
      <c r="A42" t="s">
        <v>139</v>
      </c>
      <c r="B42" s="2" t="s">
        <v>26</v>
      </c>
      <c r="C42" s="2" t="s">
        <v>140</v>
      </c>
      <c r="D42" t="s">
        <v>124</v>
      </c>
      <c r="E42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2" s="4">
        <v>2</v>
      </c>
      <c r="G42" s="7">
        <v>3.45</v>
      </c>
      <c r="H42" s="7">
        <v>5.45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f>LARGE(CHOOSE({1;2;3;4},F42,I42,L42,O42),1)+LARGE(CHOOSE({1;2;3;4},F42,I42,L42,O42),2)+LARGE(CHOOSE({1;2;3;4},F42,I42,L42,O42),3)</f>
        <v>2</v>
      </c>
      <c r="S42" s="7">
        <f>LARGE(CHOOSE({1;2;3;4},G42,J42,M42,P42),1)+LARGE(CHOOSE({1;2;3;4},G42,J42,M42,P42),2)+LARGE(CHOOSE({1;2;3;4},G42,J42,M42,P42),3)</f>
        <v>3.45</v>
      </c>
      <c r="T42" s="7">
        <f>LARGE(CHOOSE({1;2;3;4},H42,K42,N42,Q42),1)+LARGE(CHOOSE({1;2;3;4},H42,K42,N42,Q42),2)+LARGE(CHOOSE({1;2;3;4},H42,K42,N42,Q42),3)</f>
        <v>5.45</v>
      </c>
      <c r="U42" s="4" cm="1">
        <f t="array" ref="U42">IF(PB[[#This Row],[Number_of_competition]:[Number_of_competition]]&gt;=3,(LARGE(CHOOSE({1;2;3;4},F42,I42,L42,O42),1)+LARGE(CHOOSE({1;2;3;4},F42,I42,L42,O42),2)+LARGE(CHOOSE({1;2;3;4},F42,I42,L42,O42),3))/3,0)</f>
        <v>0</v>
      </c>
      <c r="V42" s="7" cm="1">
        <f t="array" ref="V42">IF(PB[[#This Row],[Number_of_competition]:[Number_of_competition]]&gt;=3,(LARGE(CHOOSE({1;2;3;4},G42,J42,M42,P42),1)+LARGE(CHOOSE({1;2;3;4},G42,J42,M42,P42),2)+LARGE(CHOOSE({1;2;3;4},G42,J42,M42,P42),3))/3,0)</f>
        <v>0</v>
      </c>
      <c r="W42" s="7" cm="1">
        <f t="array" ref="W42">IF(PB[[#This Row],[Number_of_competition]:[Number_of_competition]]&gt;=3,(LARGE(CHOOSE({1;2;3;4},H42,K42,N42,Q42),1)+LARGE(CHOOSE({1;2;3;4},H42,K42,N42,Q42),2)+LARGE(CHOOSE({1;2;3;4},H42,K42,N42,Q42),3))/3,0)</f>
        <v>0</v>
      </c>
    </row>
    <row r="43" spans="1:23" x14ac:dyDescent="0.25">
      <c r="A43" t="s">
        <v>137</v>
      </c>
      <c r="B43" s="2" t="s">
        <v>26</v>
      </c>
      <c r="C43" s="2" t="s">
        <v>138</v>
      </c>
      <c r="D43" t="s">
        <v>124</v>
      </c>
      <c r="E43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3" s="4">
        <v>1.9</v>
      </c>
      <c r="G43" s="7">
        <v>2.85</v>
      </c>
      <c r="H43" s="7">
        <v>4.75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f>LARGE(CHOOSE({1;2;3;4},F43,I43,L43,O43),1)+LARGE(CHOOSE({1;2;3;4},F43,I43,L43,O43),2)+LARGE(CHOOSE({1;2;3;4},F43,I43,L43,O43),3)</f>
        <v>1.9</v>
      </c>
      <c r="S43" s="7">
        <f>LARGE(CHOOSE({1;2;3;4},G43,J43,M43,P43),1)+LARGE(CHOOSE({1;2;3;4},G43,J43,M43,P43),2)+LARGE(CHOOSE({1;2;3;4},G43,J43,M43,P43),3)</f>
        <v>2.85</v>
      </c>
      <c r="T43" s="7">
        <f>LARGE(CHOOSE({1;2;3;4},H43,K43,N43,Q43),1)+LARGE(CHOOSE({1;2;3;4},H43,K43,N43,Q43),2)+LARGE(CHOOSE({1;2;3;4},H43,K43,N43,Q43),3)</f>
        <v>4.75</v>
      </c>
      <c r="U43" s="4" cm="1">
        <f t="array" ref="U43">IF(PB[[#This Row],[Number_of_competition]:[Number_of_competition]]&gt;=3,(LARGE(CHOOSE({1;2;3;4},F43,I43,L43,O43),1)+LARGE(CHOOSE({1;2;3;4},F43,I43,L43,O43),2)+LARGE(CHOOSE({1;2;3;4},F43,I43,L43,O43),3))/3,0)</f>
        <v>0</v>
      </c>
      <c r="V43" s="7" cm="1">
        <f t="array" ref="V43">IF(PB[[#This Row],[Number_of_competition]:[Number_of_competition]]&gt;=3,(LARGE(CHOOSE({1;2;3;4},G43,J43,M43,P43),1)+LARGE(CHOOSE({1;2;3;4},G43,J43,M43,P43),2)+LARGE(CHOOSE({1;2;3;4},G43,J43,M43,P43),3))/3,0)</f>
        <v>0</v>
      </c>
      <c r="W43" s="7" cm="1">
        <f t="array" ref="W43">IF(PB[[#This Row],[Number_of_competition]:[Number_of_competition]]&gt;=3,(LARGE(CHOOSE({1;2;3;4},H43,K43,N43,Q43),1)+LARGE(CHOOSE({1;2;3;4},H43,K43,N43,Q43),2)+LARGE(CHOOSE({1;2;3;4},H43,K43,N43,Q43),3))/3,0)</f>
        <v>0</v>
      </c>
    </row>
    <row r="44" spans="1:23" x14ac:dyDescent="0.25">
      <c r="A44" t="s">
        <v>135</v>
      </c>
      <c r="B44" s="2" t="s">
        <v>26</v>
      </c>
      <c r="C44" s="2" t="s">
        <v>136</v>
      </c>
      <c r="D44" t="s">
        <v>124</v>
      </c>
      <c r="E44" s="6">
        <f>COUNTIF(PB[[#This Row],[bydgoszcz_PB_Total_Score]],"&gt;0")+COUNTIF(PB[[#This Row],[zabrze_PB_Total_Score]],"&gt;0")+COUNTIF(PB[[#This Row],[cracow_PB_Total_Score]],"&gt;0")+COUNTIF(PB[[#This Row],[gdansk_PB_Total_Score]],"&gt;0")</f>
        <v>1</v>
      </c>
      <c r="F44" s="4">
        <v>1.4</v>
      </c>
      <c r="G44" s="7">
        <v>1.7</v>
      </c>
      <c r="H44" s="7">
        <v>3.1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f>LARGE(CHOOSE({1;2;3;4},F44,I44,L44,O44),1)+LARGE(CHOOSE({1;2;3;4},F44,I44,L44,O44),2)+LARGE(CHOOSE({1;2;3;4},F44,I44,L44,O44),3)</f>
        <v>1.4</v>
      </c>
      <c r="S44" s="7">
        <f>LARGE(CHOOSE({1;2;3;4},G44,J44,M44,P44),1)+LARGE(CHOOSE({1;2;3;4},G44,J44,M44,P44),2)+LARGE(CHOOSE({1;2;3;4},G44,J44,M44,P44),3)</f>
        <v>1.7</v>
      </c>
      <c r="T44" s="7">
        <f>LARGE(CHOOSE({1;2;3;4},H44,K44,N44,Q44),1)+LARGE(CHOOSE({1;2;3;4},H44,K44,N44,Q44),2)+LARGE(CHOOSE({1;2;3;4},H44,K44,N44,Q44),3)</f>
        <v>3.1</v>
      </c>
      <c r="U44" s="4" cm="1">
        <f t="array" ref="U44">IF(PB[[#This Row],[Number_of_competition]:[Number_of_competition]]&gt;=3,(LARGE(CHOOSE({1;2;3;4},F44,I44,L44,O44),1)+LARGE(CHOOSE({1;2;3;4},F44,I44,L44,O44),2)+LARGE(CHOOSE({1;2;3;4},F44,I44,L44,O44),3))/3,0)</f>
        <v>0</v>
      </c>
      <c r="V44" s="7" cm="1">
        <f t="array" ref="V44">IF(PB[[#This Row],[Number_of_competition]:[Number_of_competition]]&gt;=3,(LARGE(CHOOSE({1;2;3;4},G44,J44,M44,P44),1)+LARGE(CHOOSE({1;2;3;4},G44,J44,M44,P44),2)+LARGE(CHOOSE({1;2;3;4},G44,J44,M44,P44),3))/3,0)</f>
        <v>0</v>
      </c>
      <c r="W44" s="7" cm="1">
        <f t="array" ref="W44">IF(PB[[#This Row],[Number_of_competition]:[Number_of_competition]]&gt;=3,(LARGE(CHOOSE({1;2;3;4},H44,K44,N44,Q44),1)+LARGE(CHOOSE({1;2;3;4},H44,K44,N44,Q44),2)+LARGE(CHOOSE({1;2;3;4},H44,K44,N44,Q44),3))/3,0)</f>
        <v>0</v>
      </c>
    </row>
    <row r="47" spans="1:23" x14ac:dyDescent="0.25">
      <c r="A47" s="16" t="s">
        <v>2</v>
      </c>
      <c r="B47" s="16" t="s">
        <v>266</v>
      </c>
      <c r="C47" s="16" t="s">
        <v>271</v>
      </c>
      <c r="D47" s="17" t="s">
        <v>272</v>
      </c>
      <c r="E47" s="17" t="s">
        <v>270</v>
      </c>
      <c r="F47" s="18" t="s">
        <v>253</v>
      </c>
    </row>
    <row r="48" spans="1:23" x14ac:dyDescent="0.25">
      <c r="A48" s="15" t="s">
        <v>60</v>
      </c>
      <c r="B48" s="15" t="s">
        <v>269</v>
      </c>
      <c r="C48" s="4" cm="1">
        <f t="array" ref="C48">SUM(_xlfn._xlws.FILTER(PB[bydgoszcz_PB_Dscore],PB[Category]="senior"),_xlfn._xlws.FILTER(PB[zabrze_PB_Dscore],PB[Category]="senior"),_xlfn._xlws.FILTER(PB[cracow_PB_Dscore],PB[Category]="senior"),_xlfn._xlws.FILTER(PB[gdansk_PB_Dscore],PB[Category]="senior"))/(COUNTIFS(PB[bydgoszcz_PB_Dscore],"&gt;0",PB[Category],"senior")+COUNTIFS(PB[zabrze_PB_Dscore],"&gt;0",PB[Category],"senior")+COUNTIFS(PB[cracow_PB_Dscore],"&gt;0",PB[Category],"senior")+COUNTIFS(PB[gdansk_PB_Dscore],"&gt;0",PB[Category],"senior"))</f>
        <v>3.5206896551724132</v>
      </c>
      <c r="D48" s="4" cm="1">
        <f t="array" ref="D48">_xlfn.STDEV.S(_xlfn._xlws.FILTER(PB[bydgoszcz_PB_Dscore],(PB[Category]="senior")*(PB[bydgoszcz_PB_Dscore])&gt;0),_xlfn._xlws.FILTER(PB[zabrze_PB_Dscore],(PB[Category]="senior")*(PB[zabrze_PB_Dscore])&gt;0),_xlfn._xlws.FILTER(PB[cracow_PB_Dscore],(PB[Category]="senior")*(PB[cracow_PB_Dscore])&gt;0),_xlfn._xlws.FILTER(PB[gdansk_PB_Dscore],(PB[Category]="senior")*(PB[gdansk_PB_Dscore])&gt;0))</f>
        <v>0.73859958068825293</v>
      </c>
      <c r="E48" s="4" cm="1">
        <f t="array" ref="E48">MAX(_xlfn._xlws.FILTER(PB[bydgoszcz_PB_Dscore],PB[Category]="senior"),_xlfn._xlws.FILTER(PB[zabrze_PB_Dscore],PB[Category]="senior"),_xlfn._xlws.FILTER(PB[cracow_PB_Dscore],PB[Category]="senior"),_xlfn._xlws.FILTER(PB[gdansk_PB_Dscore],PB[Category]="senior"))</f>
        <v>5.3</v>
      </c>
      <c r="F48" s="2" t="str" cm="1">
        <f t="array" ref="F48">_xlfn.XLOOKUP(E48,_xlfn._xlws.FILTER(PB[bydgoszcz_PB_Dscore],PB[Category]="senior"),_xlfn._xlws.FILTER(PB[Name],PB[Category]="senior"),_xlfn.XLOOKUP(E48,_xlfn._xlws.FILTER(PB[zabrze_PB_Dscore],PB[Category]="senior"),_xlfn._xlws.FILTER(PB[Name],PB[Category]="senior"),_xlfn.XLOOKUP(E48,_xlfn._xlws.FILTER(PB[cracow_PB_Dscore],PB[Category]="senior"),_xlfn._xlws.FILTER(PB[Name],PB[Category]="senior"),_xlfn.XLOOKUP(E48,_xlfn._xlws.FILTER(PB[gdansk_PB_Dscore],PB[Category]="senior"),_xlfn._xlws.FILTER(PB[Name],PB[Category]="senior")))))</f>
        <v>GARNCZAREK Kacper</v>
      </c>
    </row>
    <row r="49" spans="1:6" x14ac:dyDescent="0.25">
      <c r="A49" s="15" t="s">
        <v>60</v>
      </c>
      <c r="B49" s="15" t="s">
        <v>267</v>
      </c>
      <c r="C49" s="7" cm="1">
        <f t="array" ref="C49">SUM(_xlfn._xlws.FILTER(PB[bydgoszcz_PB_Escore],PB[Category]="senior"),_xlfn._xlws.FILTER(PB[zabrze_PB_Escore],PB[Category]="senior"),_xlfn._xlws.FILTER(PB[cracow_PB_Escore],PB[Category]="senior"),_xlfn._xlws.FILTER(PB[gdansk_PB_Escore],PB[Category]="senior"))/(COUNTIFS(PB[bydgoszcz_PB_Escore],"&gt;0",PB[Category],"senior")+COUNTIFS(PB[zabrze_PB_Escore],"&gt;0",PB[Category],"senior")+COUNTIFS(PB[cracow_PB_Escore],"&gt;0",PB[Category],"senior")+COUNTIFS(PB[gdansk_PB_Escore],"&gt;0",PB[Category],"senior"))</f>
        <v>7.8043103448275852</v>
      </c>
      <c r="D49" s="7" cm="1">
        <f t="array" ref="D49">_xlfn.STDEV.S(_xlfn._xlws.FILTER(PB[bydgoszcz_PB_Escore],(PB[Category]="senior")*(PB[bydgoszcz_PB_Escore])&gt;0),_xlfn._xlws.FILTER(PB[zabrze_PB_Escore],(PB[Category]="senior")*(PB[zabrze_PB_Escore])&gt;0),_xlfn._xlws.FILTER(PB[cracow_PB_Escore],(PB[Category]="senior")*(PB[cracow_PB_Escore])&gt;0),_xlfn._xlws.FILTER(PB[gdansk_PB_Escore],(PB[Category]="senior")*(PB[gdansk_PB_Escore])&gt;0))</f>
        <v>1.0093112330467156</v>
      </c>
      <c r="E49" s="7" cm="1">
        <f t="array" ref="E49">MAX(_xlfn._xlws.FILTER(PB[bydgoszcz_PB_Escore],PB[Category]="senior"),_xlfn._xlws.FILTER(PB[zabrze_PB_Escore],PB[Category]="senior"),_xlfn._xlws.FILTER(PB[cracow_PB_Escore],PB[Category]="senior"),_xlfn._xlws.FILTER(PB[gdansk_PB_Escore],PB[Category]="senior"))</f>
        <v>9.35</v>
      </c>
      <c r="F49" s="2" t="str" cm="1">
        <f t="array" ref="F49">_xlfn.XLOOKUP(E49,_xlfn._xlws.FILTER(PB[bydgoszcz_PB_Escore],PB[Category]="senior"),_xlfn._xlws.FILTER(PB[Name],PB[Category]="senior"),_xlfn.XLOOKUP(E49,_xlfn._xlws.FILTER(PB[zabrze_PB_Escore],PB[Category]="senior"),_xlfn._xlws.FILTER(PB[Name],PB[Category]="senior"),_xlfn.XLOOKUP(E49,_xlfn._xlws.FILTER(PB[cracow_PB_Escore],PB[Category]="senior"),_xlfn._xlws.FILTER(PB[Name],PB[Category]="senior"),_xlfn.XLOOKUP(E49,_xlfn._xlws.FILTER(PB[gdansk_PB_Escore],PB[Category]="senior"),_xlfn._xlws.FILTER(PB[Name],PB[Category]="senior")))))</f>
        <v>WROŃSKI Filip</v>
      </c>
    </row>
    <row r="50" spans="1:6" x14ac:dyDescent="0.25">
      <c r="A50" s="15" t="s">
        <v>60</v>
      </c>
      <c r="B50" s="15" t="s">
        <v>268</v>
      </c>
      <c r="C50" s="7" cm="1">
        <f t="array" ref="C50">SUM(_xlfn._xlws.FILTER(PB[bydgoszcz_PB_Total_Score],PB[Category]="senior"),_xlfn._xlws.FILTER(PB[zabrze_PB_Total_Score],PB[Category]="senior"),_xlfn._xlws.FILTER(PB[cracow_PB_Total_Score],PB[Category]="senior"),_xlfn._xlws.FILTER(PB[gdansk_PB_Total_Score],PB[Category]="senior"))/(COUNTIFS(PB[bydgoszcz_PB_Total_Score],"&gt;0",PB[Category],"senior")+COUNTIFS(PB[zabrze_PB_Total_Score],"&gt;0",PB[Category],"senior")+COUNTIFS(PB[cracow_PB_Total_Score],"&gt;0",PB[Category],"senior")+COUNTIFS(PB[gdansk_PB_Total_Score],"&gt;0",PB[Category],"senior"))</f>
        <v>11.324999999999996</v>
      </c>
      <c r="D50" s="7" cm="1">
        <f t="array" ref="D50">_xlfn.STDEV.S(_xlfn._xlws.FILTER(PB[bydgoszcz_PB_Total_Score],(PB[Category]="senior")*(PB[bydgoszcz_PB_Total_Score])&gt;0),_xlfn._xlws.FILTER(PB[zabrze_PB_Total_Score],(PB[Category]="senior")*(PB[zabrze_PB_Total_Score])&gt;0),_xlfn._xlws.FILTER(PB[cracow_PB_Total_Score],(PB[Category]="senior")*(PB[cracow_PB_Total_Score])&gt;0),_xlfn._xlws.FILTER(PB[gdansk_PB_Total_Score],(PB[Category]="senior")*(PB[gdansk_PB_Total_Score])&gt;0))</f>
        <v>1.2791941679425909</v>
      </c>
      <c r="E50" s="7" cm="1">
        <f t="array" ref="E50">MAX(_xlfn._xlws.FILTER(PB[bydgoszcz_PB_Total_Score],PB[Category]="senior"),_xlfn._xlws.FILTER(PB[zabrze_PB_Total_Score],PB[Category]="senior"),_xlfn._xlws.FILTER(PB[cracow_PB_Total_Score],PB[Category]="senior"),_xlfn._xlws.FILTER(PB[gdansk_PB_Total_Score],PB[Category]="senior"))</f>
        <v>13.4</v>
      </c>
      <c r="F50" s="2" t="str" cm="1">
        <f t="array" ref="F50">_xlfn.XLOOKUP(E50,_xlfn._xlws.FILTER(PB[bydgoszcz_PB_Total_Score],PB[Category]="senior"),_xlfn._xlws.FILTER(PB[Name],PB[Category]="senior"),_xlfn.XLOOKUP(E50,_xlfn._xlws.FILTER(PB[zabrze_PB_Total_Score],PB[Category]="senior"),_xlfn._xlws.FILTER(PB[Name],PB[Category]="senior"),_xlfn.XLOOKUP(E50,_xlfn._xlws.FILTER(PB[cracow_PB_Total_Score],PB[Category]="senior"),_xlfn._xlws.FILTER(PB[Name],PB[Category]="senior"),_xlfn.XLOOKUP(E50,_xlfn._xlws.FILTER(PB[gdansk_PB_Total_Score],PB[Category]="senior"),_xlfn._xlws.FILTER(PB[Name],PB[Category]="senior")))))</f>
        <v>SASNAL Filip</v>
      </c>
    </row>
    <row r="51" spans="1:6" x14ac:dyDescent="0.25">
      <c r="A51" s="15" t="s">
        <v>60</v>
      </c>
      <c r="B51" s="15" t="s">
        <v>275</v>
      </c>
      <c r="C51" s="4" cm="1">
        <f t="array" ref="C51">SUM(_xlfn._xlws.FILTER(PB[Year_Dscore],(PB[Category]="senior")*(PB[Number_of_competition]&gt;=3))/COUNTIFS(PB[Number_of_competition],"&gt;=3",PB[Category],"senior"))</f>
        <v>11.277777777777777</v>
      </c>
      <c r="D51" s="4" cm="1">
        <f t="array" ref="D51">_xlfn.STDEV.S(_xlfn._xlws.FILTER(PB[Year_Dscore],(PB[Category]="senior")*(PB[Number_of_competition]&gt;=3)))</f>
        <v>2.2134688713520196</v>
      </c>
      <c r="E51" s="4" cm="1">
        <f t="array" ref="E51">MAX(_xlfn._xlws.FILTER(PB[Year_Dscore],PB[Category]="senior"))</f>
        <v>15.6</v>
      </c>
      <c r="F51" s="2" t="str" cm="1">
        <f t="array" ref="F51">_xlfn.XLOOKUP(PB_Calculation[[#This Row],[Top]],_xlfn._xlws.FILTER(PB[Year_Dscore],PB[Category]="senior"),_xlfn._xlws.FILTER(PB[Name],PB[Category]="senior"))</f>
        <v>GARNCZAREK Kacper</v>
      </c>
    </row>
    <row r="52" spans="1:6" x14ac:dyDescent="0.25">
      <c r="A52" s="15" t="s">
        <v>60</v>
      </c>
      <c r="B52" s="15" t="s">
        <v>276</v>
      </c>
      <c r="C52" s="7" cm="1">
        <f t="array" ref="C52">SUM(_xlfn._xlws.FILTER(PB[Year_Escore],(PB[Category]="senior")*(PB[Number_of_competition]&gt;=3))/COUNTIFS(PB[Number_of_competition],"&gt;=3",PB[Category],"senior"))</f>
        <v>23.9</v>
      </c>
      <c r="D52" s="7" cm="1">
        <f t="array" ref="D52">_xlfn.STDEV.S(_xlfn._xlws.FILTER(PB[Year_Escore],(PB[Category]="senior")*(PB[Number_of_competition]&gt;=3)))</f>
        <v>2.1163057435068309</v>
      </c>
      <c r="E52" s="7" cm="1">
        <f t="array" ref="E52">MAX(_xlfn._xlws.FILTER(PB[Year_Escore],PB[Category]="senior"))</f>
        <v>26.6</v>
      </c>
      <c r="F52" s="2" t="str" cm="1">
        <f t="array" ref="F52">_xlfn.XLOOKUP(PB_Calculation[[#This Row],[Top]],_xlfn._xlws.FILTER(PB[Year_Escore],PB[Category]="senior"),_xlfn._xlws.FILTER(PB[Name],PB[Category]="senior"))</f>
        <v>SASNAL Filip</v>
      </c>
    </row>
    <row r="53" spans="1:6" x14ac:dyDescent="0.25">
      <c r="A53" s="15" t="s">
        <v>60</v>
      </c>
      <c r="B53" s="15" t="s">
        <v>277</v>
      </c>
      <c r="C53" s="7" cm="1">
        <f t="array" ref="C53">SUM(_xlfn._xlws.FILTER(PB[Year_Total_Score],(PB[Category]="senior")*(PB[Number_of_competition]&gt;=3))/COUNTIFS(PB[Number_of_competition],"&gt;=3",PB[Category],"senior"))</f>
        <v>35.05555555555555</v>
      </c>
      <c r="D53" s="7" cm="1">
        <f t="array" ref="D53">_xlfn.STDEV.S(_xlfn._xlws.FILTER(PB[Year_Total_Score],(PB[Category]="senior")*(PB[Number_of_competition]&gt;=3)))</f>
        <v>3.0504553394170153</v>
      </c>
      <c r="E53" s="7" cm="1">
        <f t="array" ref="E53">MAX(_xlfn._xlws.FILTER(PB[Year_Total_Score],PB[Category]="senior"))</f>
        <v>39.200000000000003</v>
      </c>
      <c r="F53" s="2" t="str" cm="1">
        <f t="array" ref="F53">_xlfn.XLOOKUP(PB_Calculation[[#This Row],[Top]],_xlfn._xlws.FILTER(PB[Year_Total_Score],PB[Category]="senior"),_xlfn._xlws.FILTER(PB[Name],PB[Category]="senior"))</f>
        <v>SASNAL Filip</v>
      </c>
    </row>
    <row r="54" spans="1:6" x14ac:dyDescent="0.25">
      <c r="A54" s="14" t="s">
        <v>26</v>
      </c>
      <c r="B54" s="14" t="s">
        <v>269</v>
      </c>
      <c r="C54" s="4" cm="1">
        <f t="array" ref="C54">SUM(_xlfn._xlws.FILTER(PB[bydgoszcz_PB_Dscore],PB[Category]="junior"),_xlfn._xlws.FILTER(PB[zabrze_PB_Dscore],PB[Category]="junior"),_xlfn._xlws.FILTER(PB[cracow_PB_Dscore],PB[Category]="junior"),_xlfn._xlws.FILTER(PB[gdansk_PB_Dscore],PB[Category]="junior"))/(COUNTIFS(PB[bydgoszcz_PB_Dscore],"&gt;0",PB[Category],"junior")+COUNTIFS(PB[zabrze_PB_Dscore],"&gt;0",PB[Category],"junior")+COUNTIFS(PB[cracow_PB_Dscore],"&gt;0",PB[Category],"junior")+COUNTIFS(PB[gdansk_PB_Dscore],"&gt;0",PB[Category],"junior"))</f>
        <v>3.0057692307692303</v>
      </c>
      <c r="D54" s="4" cm="1">
        <f t="array" ref="D54">_xlfn.STDEV.S(_xlfn._xlws.FILTER(PB[bydgoszcz_PB_Dscore],(PB[Category]="junior")*(PB[bydgoszcz_PB_Dscore])&gt;0),_xlfn._xlws.FILTER(PB[zabrze_PB_Dscore],(PB[Category]="junior")*(PB[zabrze_PB_Dscore])&gt;0),_xlfn._xlws.FILTER(PB[cracow_PB_Dscore],(PB[Category]="junior")*(PB[cracow_PB_Dscore])&gt;0),_xlfn._xlws.FILTER(PB[gdansk_PB_Dscore],(PB[Category]="junior")*(PB[gdansk_PB_Dscore])&gt;0))</f>
        <v>0.574085278060389</v>
      </c>
      <c r="E54" s="4" cm="1">
        <f t="array" ref="E54">MAX(_xlfn._xlws.FILTER(PB[bydgoszcz_PB_Dscore],PB[Category]="junior"),_xlfn._xlws.FILTER(PB[zabrze_PB_Dscore],PB[Category]="junior"),_xlfn._xlws.FILTER(PB[cracow_PB_Dscore],PB[Category]="junior"),_xlfn._xlws.FILTER(PB[gdansk_PB_Dscore],PB[Category]="junior"))</f>
        <v>4.2</v>
      </c>
      <c r="F54" s="2" t="str" cm="1">
        <f t="array" ref="F54">_xlfn.XLOOKUP(E54,_xlfn._xlws.FILTER(PB[bydgoszcz_PB_Dscore],PB[Category]="junior"),_xlfn._xlws.FILTER(PB[Name],PB[Category]="junior"),_xlfn.XLOOKUP(E54,_xlfn._xlws.FILTER(PB[zabrze_PB_Dscore],PB[Category]="junior"),_xlfn._xlws.FILTER(PB[Name],PB[Category]="junior"),_xlfn.XLOOKUP(E54,_xlfn._xlws.FILTER(PB[cracow_PB_Dscore],PB[Category]="junior"),_xlfn._xlws.FILTER(PB[Name],PB[Category]="junior"),_xlfn.XLOOKUP(E54,_xlfn._xlws.FILTER(PB[gdansk_PB_Dscore],PB[Category]="junior"),_xlfn._xlws.FILTER(PB[Name],PB[Category]="junior")))))</f>
        <v>LEKHAC Tomasz</v>
      </c>
    </row>
    <row r="55" spans="1:6" x14ac:dyDescent="0.25">
      <c r="A55" s="14" t="s">
        <v>26</v>
      </c>
      <c r="B55" s="14" t="s">
        <v>267</v>
      </c>
      <c r="C55" s="7" cm="1">
        <f t="array" ref="C55">SUM(_xlfn._xlws.FILTER(PB[bydgoszcz_PB_Escore],PB[Category]="junior"),_xlfn._xlws.FILTER(PB[zabrze_PB_Escore],PB[Category]="junior"),_xlfn._xlws.FILTER(PB[cracow_PB_Escore],PB[Category]="junior"),_xlfn._xlws.FILTER(PB[gdansk_PB_Escore],PB[Category]="junior"))/(COUNTIFS(PB[bydgoszcz_PB_Escore],"&gt;0",PB[Category],"junior")+COUNTIFS(PB[zabrze_PB_Escore],"&gt;0",PB[Category],"junior")+COUNTIFS(PB[cracow_PB_Escore],"&gt;0",PB[Category],"junior")+COUNTIFS(PB[gdansk_PB_Escore],"&gt;0",PB[Category],"junior"))</f>
        <v>7.8942307692307701</v>
      </c>
      <c r="D55" s="7" cm="1">
        <f t="array" ref="D55">_xlfn.STDEV.S(_xlfn._xlws.FILTER(PB[bydgoszcz_PB_Escore],(PB[Category]="junior")*(PB[bydgoszcz_PB_Escore])&gt;0),_xlfn._xlws.FILTER(PB[zabrze_PB_Escore],(PB[Category]="junior")*(PB[zabrze_PB_Escore])&gt;0),_xlfn._xlws.FILTER(PB[cracow_PB_Escore],(PB[Category]="junior")*(PB[cracow_PB_Escore])&gt;0),_xlfn._xlws.FILTER(PB[gdansk_PB_Escore],(PB[Category]="junior")*(PB[gdansk_PB_Escore])&gt;0))</f>
        <v>1.46225899124131</v>
      </c>
      <c r="E55" s="7" cm="1">
        <f t="array" ref="E55">MAX(_xlfn._xlws.FILTER(PB[bydgoszcz_PB_Escore],PB[Category]="junior"),_xlfn._xlws.FILTER(PB[zabrze_PB_Escore],PB[Category]="junior"),_xlfn._xlws.FILTER(PB[cracow_PB_Escore],PB[Category]="junior"),_xlfn._xlws.FILTER(PB[gdansk_PB_Escore],PB[Category]="junior"))</f>
        <v>9.1</v>
      </c>
      <c r="F55" s="2" t="str" cm="1">
        <f t="array" ref="F55">_xlfn.XLOOKUP(E55,_xlfn._xlws.FILTER(PB[bydgoszcz_PB_Escore],PB[Category]="junior"),_xlfn._xlws.FILTER(PB[Name],PB[Category]="junior"),_xlfn.XLOOKUP(E55,_xlfn._xlws.FILTER(PB[zabrze_PB_Escore],PB[Category]="junior"),_xlfn._xlws.FILTER(PB[Name],PB[Category]="junior"),_xlfn.XLOOKUP(E55,_xlfn._xlws.FILTER(PB[cracow_PB_Escore],PB[Category]="junior"),_xlfn._xlws.FILTER(PB[Name],PB[Category]="junior"),_xlfn.XLOOKUP(E55,_xlfn._xlws.FILTER(PB[gdansk_PB_Escore],PB[Category]="junior"),_xlfn._xlws.FILTER(PB[Name],PB[Category]="junior")))))</f>
        <v>LEKHAC Tomasz</v>
      </c>
    </row>
    <row r="56" spans="1:6" x14ac:dyDescent="0.25">
      <c r="A56" s="14" t="s">
        <v>26</v>
      </c>
      <c r="B56" s="14" t="s">
        <v>268</v>
      </c>
      <c r="C56" s="7" cm="1">
        <f t="array" ref="C56">SUM(_xlfn._xlws.FILTER(PB[bydgoszcz_PB_Total_Score],PB[Category]="junior"),_xlfn._xlws.FILTER(PB[zabrze_PB_Total_Score],PB[Category]="junior"),_xlfn._xlws.FILTER(PB[cracow_PB_Total_Score],PB[Category]="junior"),_xlfn._xlws.FILTER(PB[gdansk_PB_Total_Score],PB[Category]="junior"))/(COUNTIFS(PB[bydgoszcz_PB_Total_Score],"&gt;0",PB[Category],"junior")+COUNTIFS(PB[zabrze_PB_Total_Score],"&gt;0",PB[Category],"junior")+COUNTIFS(PB[cracow_PB_Total_Score],"&gt;0",PB[Category],"junior")+COUNTIFS(PB[gdansk_PB_Total_Score],"&gt;0",PB[Category],"junior"))</f>
        <v>10.899999999999999</v>
      </c>
      <c r="D56" s="7" cm="1">
        <f t="array" ref="D56">_xlfn.STDEV.S(_xlfn._xlws.FILTER(PB[bydgoszcz_PB_Total_Score],(PB[Category]="junior")*(PB[bydgoszcz_PB_Total_Score])&gt;0),_xlfn._xlws.FILTER(PB[zabrze_PB_Total_Score],(PB[Category]="junior")*(PB[zabrze_PB_Total_Score])&gt;0),_xlfn._xlws.FILTER(PB[cracow_PB_Total_Score],(PB[Category]="junior")*(PB[cracow_PB_Total_Score])&gt;0),_xlfn._xlws.FILTER(PB[gdansk_PB_Total_Score],(PB[Category]="junior")*(PB[gdansk_PB_Total_Score])&gt;0))</f>
        <v>1.8103731605368456</v>
      </c>
      <c r="E56" s="7" cm="1">
        <f t="array" ref="E56">MAX(_xlfn._xlws.FILTER(PB[bydgoszcz_PB_Total_Score],PB[Category]="junior"),_xlfn._xlws.FILTER(PB[zabrze_PB_Total_Score],PB[Category]="junior"),_xlfn._xlws.FILTER(PB[cracow_PB_Total_Score],PB[Category]="junior"),_xlfn._xlws.FILTER(PB[gdansk_PB_Total_Score],PB[Category]="junior"))</f>
        <v>13.3</v>
      </c>
      <c r="F56" s="2" t="str" cm="1">
        <f t="array" ref="F56">_xlfn.XLOOKUP(E56,_xlfn._xlws.FILTER(PB[bydgoszcz_PB_Total_Score],PB[Category]="junior"),_xlfn._xlws.FILTER(PB[Name],PB[Category]="junior"),_xlfn.XLOOKUP(E56,_xlfn._xlws.FILTER(PB[zabrze_PB_Total_Score],PB[Category]="junior"),_xlfn._xlws.FILTER(PB[Name],PB[Category]="junior"),_xlfn.XLOOKUP(E56,_xlfn._xlws.FILTER(PB[cracow_PB_Total_Score],PB[Category]="junior"),_xlfn._xlws.FILTER(PB[Name],PB[Category]="junior"),_xlfn.XLOOKUP(E56,_xlfn._xlws.FILTER(PB[gdansk_PB_Total_Score],PB[Category]="junior"),_xlfn._xlws.FILTER(PB[Name],PB[Category]="junior")))))</f>
        <v>LEKHAC Tomasz</v>
      </c>
    </row>
    <row r="57" spans="1:6" x14ac:dyDescent="0.25">
      <c r="A57" s="15" t="s">
        <v>26</v>
      </c>
      <c r="B57" s="15" t="s">
        <v>275</v>
      </c>
      <c r="C57" s="4" cm="1">
        <f t="array" ref="C57">SUM(_xlfn._xlws.FILTER(PB[Year_Dscore],(PB[Category]="junior")*(PB[Number_of_competition]&gt;=3))/COUNTIFS(PB[Number_of_competition],"&gt;=3",PB[Category],"junior"))</f>
        <v>9.4</v>
      </c>
      <c r="D57" s="4" cm="1">
        <f t="array" ref="D57">_xlfn.STDEV.S(_xlfn._xlws.FILTER(PB[Year_Dscore],(PB[Category]="junior")*(PB[Number_of_competition]&gt;=3)))</f>
        <v>1.4142135623730951</v>
      </c>
      <c r="E57" s="4" cm="1">
        <f t="array" ref="E57">MAX(_xlfn._xlws.FILTER(PB[Year_Dscore],PB[Category]="junior"))</f>
        <v>12.600000000000001</v>
      </c>
      <c r="F57" s="2" t="str" cm="1">
        <f t="array" ref="F57">_xlfn.XLOOKUP(PB_Calculation[[#This Row],[Top]],_xlfn._xlws.FILTER(PB[Year_Dscore],PB[Category]="junior"),_xlfn._xlws.FILTER(PB[Name],PB[Category]="junior"))</f>
        <v>LEKHAC Tomasz</v>
      </c>
    </row>
    <row r="58" spans="1:6" x14ac:dyDescent="0.25">
      <c r="A58" s="15" t="s">
        <v>26</v>
      </c>
      <c r="B58" s="15" t="s">
        <v>276</v>
      </c>
      <c r="C58" s="7" cm="1">
        <f t="array" ref="C58">SUM(_xlfn._xlws.FILTER(PB[Year_Escore],(PB[Category]="junior")*(PB[Number_of_competition]&gt;=3))/COUNTIFS(PB[Number_of_competition],"&gt;=3",PB[Category],"junior"))</f>
        <v>25.279166666666669</v>
      </c>
      <c r="D58" s="7" cm="1">
        <f t="array" ref="D58">_xlfn.STDEV.S(_xlfn._xlws.FILTER(PB[Year_Escore],(PB[Category]="junior")*(PB[Number_of_competition]&gt;=3)))</f>
        <v>0.82004942570924333</v>
      </c>
      <c r="E58" s="7" cm="1">
        <f t="array" ref="E58">MAX(_xlfn._xlws.FILTER(PB[Year_Escore],PB[Category]="junior"))</f>
        <v>26.799999999999997</v>
      </c>
      <c r="F58" s="2" t="str" cm="1">
        <f t="array" ref="F58">_xlfn.XLOOKUP(PB_Calculation[[#This Row],[Top]],_xlfn._xlws.FILTER(PB[Year_Escore],PB[Category]="junior"),_xlfn._xlws.FILTER(PB[Name],PB[Category]="junior"))</f>
        <v>KOŁODZIEJCZYK Karol</v>
      </c>
    </row>
    <row r="59" spans="1:6" x14ac:dyDescent="0.25">
      <c r="A59" s="23" t="s">
        <v>26</v>
      </c>
      <c r="B59" s="23" t="s">
        <v>277</v>
      </c>
      <c r="C59" s="7" cm="1">
        <f t="array" ref="C59">SUM(_xlfn._xlws.FILTER(PB[Year_Total_Score],(PB[Category]="junior")*(PB[Number_of_competition]&gt;=3))/COUNTIFS(PB[Number_of_competition],"&gt;=3",PB[Category],"junior"))</f>
        <v>34.520833333333336</v>
      </c>
      <c r="D59" s="7" cm="1">
        <f t="array" ref="D59">_xlfn.STDEV.S(_xlfn._xlws.FILTER(PB[Year_Total_Score],(PB[Category]="junior")*(PB[Number_of_competition]&gt;=3)))</f>
        <v>1.6783999866395123</v>
      </c>
      <c r="E59" s="7" cm="1">
        <f t="array" ref="E59">MAX(_xlfn._xlws.FILTER(PB[Year_Total_Score],PB[Category]="junior"))</f>
        <v>38.75</v>
      </c>
      <c r="F59" s="2" t="str" cm="1">
        <f t="array" ref="F59">_xlfn.XLOOKUP(PB_Calculation[[#This Row],[Top]],_xlfn._xlws.FILTER(PB[Year_Total_Score],PB[Category]="junior"),_xlfn._xlws.FILTER(PB[Name],PB[Category]="junior"))</f>
        <v>LEKHAC Tomasz</v>
      </c>
    </row>
  </sheetData>
  <mergeCells count="2">
    <mergeCell ref="Y2:Y7"/>
    <mergeCell ref="Y8:Y13"/>
  </mergeCells>
  <conditionalFormatting sqref="A2:A44">
    <cfRule type="expression" dxfId="57" priority="1">
      <formula>IF($B2="junior",$T2=MAX(_xlfn._xlws.FILTER($T$2:$T$47,$B$2:$B$47="junior")),$T2=MAX(_xlfn._xlws.FILTER($T$2:$T$47,$B$2:$B$47="senior")))</formula>
    </cfRule>
    <cfRule type="expression" dxfId="56" priority="2">
      <formula>IF($B2="junior",$T2=LARGE(_xlfn._xlws.FILTER($T$2:$T$47,$B$2:$B$47="junior"),2),$T2=LARGE(_xlfn._xlws.FILTER($T$2:$T$47,$B$2:$B$47="senior"),2))</formula>
    </cfRule>
    <cfRule type="expression" dxfId="55" priority="3">
      <formula>IF($B2="junior",$T2=LARGE(_xlfn._xlws.FILTER($T$2:$T$47,$B$2:$B$47="junior"),3),$T2=LARGE(_xlfn._xlws.FILTER($T$2:$T$47,$B$2:$B$47="senior"),3))</formula>
    </cfRule>
    <cfRule type="expression" dxfId="54" priority="4">
      <formula>IF($B2="junior",$R2=MAX(_xlfn._xlws.FILTER($R$2:$R$47,$B$2:$B$47="junior")),$R2=MAX(_xlfn._xlws.FILTER($R$2:$R$47,$B$2:$B$47="senior")))</formula>
    </cfRule>
    <cfRule type="expression" dxfId="53" priority="5">
      <formula>IF($B2="junior",$S2=MAX(_xlfn._xlws.FILTER($S$2:$S$47,$B$2:$B$47="junior")),$S2=MAX(_xlfn._xlws.FILTER($S$2:$S$47,$B$2:$B$47="senior")))</formula>
    </cfRule>
  </conditionalFormatting>
  <conditionalFormatting sqref="F2:F44 I2:I44 L2:L44 O2:O44 U2:U44">
    <cfRule type="expression" dxfId="52" priority="10">
      <formula>IF($B2="junior",F2&gt;=($AA$8+$AB$8),F2&gt;=($AA$2+$AB$2))</formula>
    </cfRule>
  </conditionalFormatting>
  <conditionalFormatting sqref="F2:F44 I2:I44 L2:L44 O2:O44">
    <cfRule type="expression" dxfId="51" priority="14">
      <formula>AND(AND($B2="junior",F2&lt;2.6),F2&gt;0)</formula>
    </cfRule>
    <cfRule type="expression" dxfId="50" priority="15">
      <formula>AND(AND($B2="senior",F2&lt;2.9),F2&gt;0)</formula>
    </cfRule>
  </conditionalFormatting>
  <conditionalFormatting sqref="F2:W44">
    <cfRule type="cellIs" dxfId="49" priority="16" operator="equal">
      <formula>0</formula>
    </cfRule>
  </conditionalFormatting>
  <conditionalFormatting sqref="H2:H44 K2:K44 N2:N44 Q2:Q44 W2:W44">
    <cfRule type="expression" dxfId="48" priority="11">
      <formula>IF($B2="junior",H2&gt;=($AA$10+$AB$10),H2&gt;=($AA$4+$AB$4))</formula>
    </cfRule>
  </conditionalFormatting>
  <conditionalFormatting sqref="H2:H44 K2:K44 N2:N44 Q2:Q44">
    <cfRule type="expression" dxfId="47" priority="8">
      <formula>IF($B2="junior",H2&gt;=$AC$10,H2&gt;=$AC$4)</formula>
    </cfRule>
  </conditionalFormatting>
  <conditionalFormatting sqref="I1 L1 O1 I45:I53 L45:L53 O45:O53 I61:I1048576 L61:L1048576 O61:O1048576">
    <cfRule type="expression" dxfId="46" priority="35">
      <formula>AND(AND($B1="senior",I1&lt;2.9),I1&gt;0)</formula>
    </cfRule>
    <cfRule type="expression" dxfId="45" priority="36">
      <formula>AND(AND($B1="junior",I1&lt;2.6),I1&gt;0)</formula>
    </cfRule>
  </conditionalFormatting>
  <conditionalFormatting sqref="I54 L54 O54">
    <cfRule type="expression" dxfId="44" priority="160">
      <formula>AND(AND(#REF!="senior",I54&lt;2.9),I54&gt;0)</formula>
    </cfRule>
    <cfRule type="expression" dxfId="43" priority="161">
      <formula>AND(AND(#REF!="junior",I54&lt;2.6),I54&gt;0)</formula>
    </cfRule>
  </conditionalFormatting>
  <conditionalFormatting sqref="I55:I60 L55:L60 O55:O60">
    <cfRule type="expression" dxfId="42" priority="158">
      <formula>AND(AND($B54="senior",I55&lt;2.9),I55&gt;0)</formula>
    </cfRule>
    <cfRule type="expression" dxfId="41" priority="159">
      <formula>AND(AND($B54="junior",I55&lt;2.6),I55&gt;0)</formula>
    </cfRule>
  </conditionalFormatting>
  <conditionalFormatting sqref="R2:R44">
    <cfRule type="expression" dxfId="40" priority="9">
      <formula>IF($B2="junior",R2&gt;=($AA$11+$AB$11),R2&gt;=($AA$5+$AB$5))</formula>
    </cfRule>
  </conditionalFormatting>
  <conditionalFormatting sqref="S2:S44">
    <cfRule type="expression" dxfId="39" priority="13">
      <formula>IF($B2="junior",S2&gt;=$AA$12+$AB$12,S2&gt;=$AA$6+$AB$6)</formula>
    </cfRule>
  </conditionalFormatting>
  <conditionalFormatting sqref="T2:T44">
    <cfRule type="expression" dxfId="38" priority="7">
      <formula>IF($B2="junior",T2&gt;=$AC$13,T2&gt;=$AC$7)</formula>
    </cfRule>
    <cfRule type="expression" dxfId="37" priority="12">
      <formula>IF($B2="junior",T2&gt;=($AA$13+$AB$13),T2&gt;=($AA$7+$AB$7))</formula>
    </cfRule>
  </conditionalFormatting>
  <conditionalFormatting sqref="V2:V44">
    <cfRule type="expression" dxfId="36" priority="6">
      <formula>IF($B2="junior",V2&gt;=$AA$9+$AB$9,V2&gt;=$AA$3+$AB$3)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B371DA-5178-C74C-934D-39CA6D8DB0E3}">
  <sheetPr codeName="Arkusz11">
    <tabColor theme="5" tint="0.39997558519241921"/>
  </sheetPr>
  <dimension ref="A1:AC53"/>
  <sheetViews>
    <sheetView zoomScale="75" zoomScaleNormal="75" workbookViewId="0">
      <selection activeCell="Y15" sqref="Y15:Y24"/>
    </sheetView>
  </sheetViews>
  <sheetFormatPr defaultColWidth="11" defaultRowHeight="15.75" x14ac:dyDescent="0.25"/>
  <cols>
    <col min="1" max="1" width="21.125" bestFit="1" customWidth="1"/>
    <col min="2" max="2" width="18.5" style="2" bestFit="1" customWidth="1"/>
    <col min="3" max="3" width="17" style="2" bestFit="1" customWidth="1"/>
    <col min="4" max="4" width="26.625" customWidth="1"/>
    <col min="5" max="5" width="8.5" style="2" customWidth="1"/>
    <col min="6" max="6" width="25.125" style="4" bestFit="1" customWidth="1"/>
    <col min="7" max="8" width="7.875" style="7" customWidth="1"/>
    <col min="9" max="9" width="7.875" style="4" customWidth="1"/>
    <col min="10" max="11" width="7.875" style="7" customWidth="1"/>
    <col min="12" max="12" width="7.875" style="4" customWidth="1"/>
    <col min="13" max="14" width="7.875" style="7" customWidth="1"/>
    <col min="15" max="15" width="7.875" style="4" customWidth="1"/>
    <col min="16" max="17" width="7.875" style="7" customWidth="1"/>
    <col min="18" max="23" width="7.875" style="2" customWidth="1"/>
    <col min="25" max="25" width="18.5" bestFit="1" customWidth="1"/>
    <col min="26" max="26" width="20" bestFit="1" customWidth="1"/>
  </cols>
  <sheetData>
    <row r="1" spans="1:29" x14ac:dyDescent="0.25">
      <c r="A1" s="4" t="s">
        <v>1</v>
      </c>
      <c r="B1" s="2" t="s">
        <v>2</v>
      </c>
      <c r="C1" s="2" t="s">
        <v>4</v>
      </c>
      <c r="D1" s="2" t="s">
        <v>5</v>
      </c>
      <c r="E1" s="2" t="s">
        <v>227</v>
      </c>
      <c r="F1" s="2" t="s">
        <v>205</v>
      </c>
      <c r="G1" s="2" t="s">
        <v>206</v>
      </c>
      <c r="H1" s="2" t="s">
        <v>207</v>
      </c>
      <c r="I1" s="2" t="s">
        <v>208</v>
      </c>
      <c r="J1" s="2" t="s">
        <v>209</v>
      </c>
      <c r="K1" s="2" t="s">
        <v>210</v>
      </c>
      <c r="L1" s="2" t="s">
        <v>211</v>
      </c>
      <c r="M1" s="2" t="s">
        <v>212</v>
      </c>
      <c r="N1" s="2" t="s">
        <v>213</v>
      </c>
      <c r="O1" s="2" t="s">
        <v>214</v>
      </c>
      <c r="P1" s="2" t="s">
        <v>215</v>
      </c>
      <c r="Q1" s="2" t="s">
        <v>216</v>
      </c>
      <c r="R1" s="2" t="s">
        <v>219</v>
      </c>
      <c r="S1" s="2" t="s">
        <v>220</v>
      </c>
      <c r="T1" s="2" t="s">
        <v>221</v>
      </c>
      <c r="U1" s="2" t="s">
        <v>235</v>
      </c>
      <c r="V1" s="2" t="s">
        <v>236</v>
      </c>
      <c r="W1" s="2" t="s">
        <v>237</v>
      </c>
      <c r="Y1" s="2"/>
      <c r="Z1" s="2"/>
      <c r="AA1" s="20" t="s">
        <v>273</v>
      </c>
      <c r="AB1" s="20" t="s">
        <v>272</v>
      </c>
      <c r="AC1" s="20" t="s">
        <v>274</v>
      </c>
    </row>
    <row r="2" spans="1:29" x14ac:dyDescent="0.25">
      <c r="A2" t="s">
        <v>63</v>
      </c>
      <c r="B2" s="2" t="s">
        <v>60</v>
      </c>
      <c r="C2" s="2" t="s">
        <v>64</v>
      </c>
      <c r="D2" t="s">
        <v>39</v>
      </c>
      <c r="E2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2" s="4">
        <v>4.4000000000000004</v>
      </c>
      <c r="G2" s="7">
        <v>8</v>
      </c>
      <c r="H2" s="7">
        <v>12.4</v>
      </c>
      <c r="I2" s="4">
        <v>4.4000000000000004</v>
      </c>
      <c r="J2" s="7">
        <v>6.8</v>
      </c>
      <c r="K2" s="7">
        <v>11.2</v>
      </c>
      <c r="L2" s="4">
        <v>4.4000000000000004</v>
      </c>
      <c r="M2" s="7">
        <v>8.4</v>
      </c>
      <c r="N2" s="7">
        <v>12.8</v>
      </c>
      <c r="O2" s="4">
        <v>4.2</v>
      </c>
      <c r="P2" s="7">
        <v>8</v>
      </c>
      <c r="Q2" s="7">
        <v>12.2</v>
      </c>
      <c r="R2" s="4">
        <f>LARGE(CHOOSE({1;2;3;4},F2,I2,L2,O2),1)+LARGE(CHOOSE({1;2;3;4},F2,I2,L2,O2),2)+LARGE(CHOOSE({1;2;3;4},F2,I2,L2,O2),3)</f>
        <v>13.200000000000001</v>
      </c>
      <c r="S2" s="7">
        <f>LARGE(CHOOSE({1;2;3;4},G2,J2,M2,P2),1)+LARGE(CHOOSE({1;2;3;4},G2,J2,M2,P2),2)+LARGE(CHOOSE({1;2;3;4},G2,J2,M2,P2),3)</f>
        <v>24.4</v>
      </c>
      <c r="T2" s="7">
        <f>LARGE(CHOOSE({1;2;3;4},H2,K2,N2,Q2),1)+LARGE(CHOOSE({1;2;3;4},H2,K2,N2,Q2),2)+LARGE(CHOOSE({1;2;3;4},H2,K2,N2,Q2),3)</f>
        <v>37.400000000000006</v>
      </c>
      <c r="U2" s="4" cm="1">
        <f t="array" ref="U2">IF(HB[[#This Row],[Number_of_competition]:[Number_of_competition]]&gt;=3,(LARGE(CHOOSE({1;2;3;4},F2,I2,L2,O2),1)+LARGE(CHOOSE({1;2;3;4},F2,I2,L2,O2),2)+LARGE(CHOOSE({1;2;3;4},F2,I2,L2,O2),3))/3,0)</f>
        <v>4.4000000000000004</v>
      </c>
      <c r="V2" s="7" cm="1">
        <f t="array" ref="V2">IF(HB[[#This Row],[Number_of_competition]:[Number_of_competition]]&gt;=3,(LARGE(CHOOSE({1;2;3;4},G2,J2,M2,P2),1)+LARGE(CHOOSE({1;2;3;4},G2,J2,M2,P2),2)+LARGE(CHOOSE({1;2;3;4},G2,J2,M2,P2),3))/3,0)</f>
        <v>8.1333333333333329</v>
      </c>
      <c r="W2" s="7" cm="1">
        <f t="array" ref="W2">IF(HB[[#This Row],[Number_of_competition]:[Number_of_competition]]&gt;=3,(LARGE(CHOOSE({1;2;3;4},H2,K2,N2,Q2),1)+LARGE(CHOOSE({1;2;3;4},H2,K2,N2,Q2),2)+LARGE(CHOOSE({1;2;3;4},H2,K2,N2,Q2),3))/3,0)</f>
        <v>12.466666666666669</v>
      </c>
      <c r="Y2" s="41" t="s">
        <v>60</v>
      </c>
      <c r="Z2" s="20" t="s">
        <v>269</v>
      </c>
      <c r="AA2" s="21" cm="1">
        <f t="array" ref="AA2">SUM(_xlfn._xlws.FILTER(HB[bydgoszcz_HB_Dscore],HB[Category]="senior"),_xlfn._xlws.FILTER(HB[zabrze_HB_Dscore],HB[Category]="senior"),_xlfn._xlws.FILTER(HB[cracow_HB_Dscore],HB[Category]="senior"),_xlfn._xlws.FILTER(HB[gdansk_HB_Dscore],HB[Category]="senior"))/(COUNTIFS(HB[bydgoszcz_HB_Dscore],"&gt;0",HB[Category],"senior")+COUNTIFS(HB[zabrze_HB_Dscore],"&gt;0",HB[Category],"senior")+COUNTIFS(HB[cracow_HB_Dscore],"&gt;0",HB[Category],"senior")+COUNTIFS(HB[gdansk_HB_Dscore],"&gt;0",HB[Category],"senior"))</f>
        <v>3.1875</v>
      </c>
      <c r="AB2" s="21" cm="1">
        <f t="array" ref="AB2">_xlfn.STDEV.S(_xlfn._xlws.FILTER(HB[bydgoszcz_HB_Dscore],(HB[Category]="senior")*(HB[bydgoszcz_HB_Dscore])&gt;0),_xlfn._xlws.FILTER(HB[zabrze_HB_Dscore],(HB[Category]="senior")*(HB[zabrze_HB_Dscore])&gt;0),_xlfn._xlws.FILTER(HB[cracow_HB_Dscore],(HB[Category]="senior")*(HB[cracow_HB_Dscore])&gt;0),_xlfn._xlws.FILTER(HB[gdansk_HB_Dscore],(HB[Category]="senior")*(HB[gdansk_HB_Dscore])&gt;0))</f>
        <v>0.86285646349537393</v>
      </c>
      <c r="AC2" s="21" cm="1">
        <f t="array" ref="AC2">MAX(_xlfn._xlws.FILTER(HB[bydgoszcz_HB_Dscore],HB[Category]="senior"),_xlfn._xlws.FILTER(HB[zabrze_HB_Dscore],HB[Category]="senior"),_xlfn._xlws.FILTER(HB[cracow_HB_Dscore],HB[Category]="senior"),_xlfn._xlws.FILTER(HB[gdansk_HB_Dscore],HB[Category]="senior"))</f>
        <v>4.9000000000000004</v>
      </c>
    </row>
    <row r="3" spans="1:29" x14ac:dyDescent="0.25">
      <c r="A3" t="s">
        <v>59</v>
      </c>
      <c r="B3" s="2" t="s">
        <v>60</v>
      </c>
      <c r="C3" s="2" t="s">
        <v>61</v>
      </c>
      <c r="D3" t="s">
        <v>62</v>
      </c>
      <c r="E3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3" s="4">
        <v>0</v>
      </c>
      <c r="G3" s="7">
        <v>0</v>
      </c>
      <c r="H3" s="7">
        <v>0</v>
      </c>
      <c r="I3" s="4">
        <v>4.5999999999999996</v>
      </c>
      <c r="J3" s="7">
        <v>7.4</v>
      </c>
      <c r="K3" s="7">
        <v>12</v>
      </c>
      <c r="L3" s="4">
        <v>4.5999999999999996</v>
      </c>
      <c r="M3" s="7">
        <v>8.15</v>
      </c>
      <c r="N3" s="7">
        <v>12.75</v>
      </c>
      <c r="O3" s="4">
        <v>4.9000000000000004</v>
      </c>
      <c r="P3" s="7">
        <v>6.9</v>
      </c>
      <c r="Q3" s="7">
        <v>11.8</v>
      </c>
      <c r="R3" s="4">
        <f>LARGE(CHOOSE({1;2;3;4},F3,I3,L3,O3),1)+LARGE(CHOOSE({1;2;3;4},F3,I3,L3,O3),2)+LARGE(CHOOSE({1;2;3;4},F3,I3,L3,O3),3)</f>
        <v>14.1</v>
      </c>
      <c r="S3" s="7">
        <f>LARGE(CHOOSE({1;2;3;4},G3,J3,M3,P3),1)+LARGE(CHOOSE({1;2;3;4},G3,J3,M3,P3),2)+LARGE(CHOOSE({1;2;3;4},G3,J3,M3,P3),3)</f>
        <v>22.450000000000003</v>
      </c>
      <c r="T3" s="7">
        <f>LARGE(CHOOSE({1;2;3;4},H3,K3,N3,Q3),1)+LARGE(CHOOSE({1;2;3;4},H3,K3,N3,Q3),2)+LARGE(CHOOSE({1;2;3;4},H3,K3,N3,Q3),3)</f>
        <v>36.549999999999997</v>
      </c>
      <c r="U3" s="4" cm="1">
        <f t="array" ref="U3">IF(HB[[#This Row],[Number_of_competition]:[Number_of_competition]]&gt;=3,(LARGE(CHOOSE({1;2;3;4},F3,I3,L3,O3),1)+LARGE(CHOOSE({1;2;3;4},F3,I3,L3,O3),2)+LARGE(CHOOSE({1;2;3;4},F3,I3,L3,O3),3))/3,0)</f>
        <v>4.7</v>
      </c>
      <c r="V3" s="7" cm="1">
        <f t="array" ref="V3">IF(HB[[#This Row],[Number_of_competition]:[Number_of_competition]]&gt;=3,(LARGE(CHOOSE({1;2;3;4},G3,J3,M3,P3),1)+LARGE(CHOOSE({1;2;3;4},G3,J3,M3,P3),2)+LARGE(CHOOSE({1;2;3;4},G3,J3,M3,P3),3))/3,0)</f>
        <v>7.4833333333333343</v>
      </c>
      <c r="W3" s="7" cm="1">
        <f t="array" ref="W3">IF(HB[[#This Row],[Number_of_competition]:[Number_of_competition]]&gt;=3,(LARGE(CHOOSE({1;2;3;4},H3,K3,N3,Q3),1)+LARGE(CHOOSE({1;2;3;4},H3,K3,N3,Q3),2)+LARGE(CHOOSE({1;2;3;4},H3,K3,N3,Q3),3))/3,0)</f>
        <v>12.183333333333332</v>
      </c>
      <c r="Y3" s="42"/>
      <c r="Z3" s="20" t="s">
        <v>267</v>
      </c>
      <c r="AA3" s="22" cm="1">
        <f t="array" ref="AA3">SUM(_xlfn._xlws.FILTER(HB[bydgoszcz_HB_Escore],HB[Category]="senior"),_xlfn._xlws.FILTER(HB[zabrze_HB_Escore],HB[Category]="senior"),_xlfn._xlws.FILTER(HB[cracow_HB_Escore],HB[Category]="senior"),_xlfn._xlws.FILTER(HB[gdansk_HB_Escore],HB[Category]="senior"))/(COUNTIFS(HB[bydgoszcz_HB_Escore],"&gt;0",HB[Category],"senior")+COUNTIFS(HB[zabrze_HB_Escore],"&gt;0",HB[Category],"senior")+COUNTIFS(HB[cracow_HB_Escore],"&gt;0",HB[Category],"senior")+COUNTIFS(HB[gdansk_HB_Escore],"&gt;0",HB[Category],"senior"))</f>
        <v>7.4031249999999984</v>
      </c>
      <c r="AB3" s="22" cm="1">
        <f t="array" ref="AB3">_xlfn.STDEV.S(_xlfn._xlws.FILTER(HB[bydgoszcz_HB_Escore],(HB[Category]="senior")*(HB[bydgoszcz_HB_Escore])&gt;0),_xlfn._xlws.FILTER(HB[zabrze_HB_Escore],(HB[Category]="senior")*(HB[zabrze_HB_Escore])&gt;0),_xlfn._xlws.FILTER(HB[cracow_HB_Escore],(HB[Category]="senior")*(HB[cracow_HB_Escore])&gt;0),_xlfn._xlws.FILTER(HB[gdansk_HB_Escore],(HB[Category]="senior")*(HB[gdansk_HB_Escore])&gt;0))</f>
        <v>1.2906128451078793</v>
      </c>
      <c r="AC3" s="22" cm="1">
        <f t="array" ref="AC3">MAX(_xlfn._xlws.FILTER(HB[bydgoszcz_HB_Escore],HB[Category]="senior"),_xlfn._xlws.FILTER(HB[zabrze_HB_Escore],HB[Category]="senior"),_xlfn._xlws.FILTER(HB[cracow_HB_Escore],HB[Category]="senior"),_xlfn._xlws.FILTER(HB[gdansk_HB_Escore],HB[Category]="senior"))</f>
        <v>8.9</v>
      </c>
    </row>
    <row r="4" spans="1:29" x14ac:dyDescent="0.25">
      <c r="A4" t="s">
        <v>25</v>
      </c>
      <c r="B4" s="2" t="s">
        <v>26</v>
      </c>
      <c r="C4" s="2" t="s">
        <v>27</v>
      </c>
      <c r="D4" t="s">
        <v>28</v>
      </c>
      <c r="E4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4" s="4">
        <v>2.6</v>
      </c>
      <c r="G4" s="7">
        <v>9</v>
      </c>
      <c r="H4" s="7">
        <v>11.6</v>
      </c>
      <c r="I4" s="4">
        <v>2.7</v>
      </c>
      <c r="J4" s="7">
        <v>9.1</v>
      </c>
      <c r="K4" s="7">
        <v>11.8</v>
      </c>
      <c r="L4" s="4">
        <v>2.7</v>
      </c>
      <c r="M4" s="7">
        <v>9.4499999999999993</v>
      </c>
      <c r="N4" s="7">
        <v>12.15</v>
      </c>
      <c r="O4" s="4">
        <v>2.7</v>
      </c>
      <c r="P4" s="7">
        <v>9.3000000000000007</v>
      </c>
      <c r="Q4" s="7">
        <v>12</v>
      </c>
      <c r="R4" s="4">
        <f>LARGE(CHOOSE({1;2;3;4},F4,I4,L4,O4),1)+LARGE(CHOOSE({1;2;3;4},F4,I4,L4,O4),2)+LARGE(CHOOSE({1;2;3;4},F4,I4,L4,O4),3)</f>
        <v>8.1000000000000014</v>
      </c>
      <c r="S4" s="7">
        <f>LARGE(CHOOSE({1;2;3;4},G4,J4,M4,P4),1)+LARGE(CHOOSE({1;2;3;4},G4,J4,M4,P4),2)+LARGE(CHOOSE({1;2;3;4},G4,J4,M4,P4),3)</f>
        <v>27.85</v>
      </c>
      <c r="T4" s="7">
        <f>LARGE(CHOOSE({1;2;3;4},H4,K4,N4,Q4),1)+LARGE(CHOOSE({1;2;3;4},H4,K4,N4,Q4),2)+LARGE(CHOOSE({1;2;3;4},H4,K4,N4,Q4),3)</f>
        <v>35.950000000000003</v>
      </c>
      <c r="U4" s="4" cm="1">
        <f t="array" ref="U4">IF(HB[[#This Row],[Number_of_competition]:[Number_of_competition]]&gt;=3,(LARGE(CHOOSE({1;2;3;4},F4,I4,L4,O4),1)+LARGE(CHOOSE({1;2;3;4},F4,I4,L4,O4),2)+LARGE(CHOOSE({1;2;3;4},F4,I4,L4,O4),3))/3,0)</f>
        <v>2.7000000000000006</v>
      </c>
      <c r="V4" s="7" cm="1">
        <f t="array" ref="V4">IF(HB[[#This Row],[Number_of_competition]:[Number_of_competition]]&gt;=3,(LARGE(CHOOSE({1;2;3;4},G4,J4,M4,P4),1)+LARGE(CHOOSE({1;2;3;4},G4,J4,M4,P4),2)+LARGE(CHOOSE({1;2;3;4},G4,J4,M4,P4),3))/3,0)</f>
        <v>9.2833333333333332</v>
      </c>
      <c r="W4" s="7" cm="1">
        <f t="array" ref="W4">IF(HB[[#This Row],[Number_of_competition]:[Number_of_competition]]&gt;=3,(LARGE(CHOOSE({1;2;3;4},H4,K4,N4,Q4),1)+LARGE(CHOOSE({1;2;3;4},H4,K4,N4,Q4),2)+LARGE(CHOOSE({1;2;3;4},H4,K4,N4,Q4),3))/3,0)</f>
        <v>11.983333333333334</v>
      </c>
      <c r="Y4" s="42"/>
      <c r="Z4" s="20" t="s">
        <v>268</v>
      </c>
      <c r="AA4" s="22" cm="1">
        <f t="array" ref="AA4">SUM(_xlfn._xlws.FILTER(HB[bydgoszcz_HB_Total_Score],HB[Category]="senior"),_xlfn._xlws.FILTER(HB[zabrze_HB_Total_Score],HB[Category]="senior"),_xlfn._xlws.FILTER(HB[cracow_HB_Total_Score],HB[Category]="senior"),_xlfn._xlws.FILTER(HB[gdansk_HB_Total_Score],HB[Category]="senior"))/(COUNTIFS(HB[bydgoszcz_HB_Total_Score],"&gt;0",HB[Category],"senior")+COUNTIFS(HB[zabrze_HB_Total_Score],"&gt;0",HB[Category],"senior")+COUNTIFS(HB[cracow_HB_Total_Score],"&gt;0",HB[Category],"senior")+COUNTIFS(HB[gdansk_HB_Total_Score],"&gt;0",HB[Category],"senior"))</f>
        <v>10.590624999999999</v>
      </c>
      <c r="AB4" s="22" cm="1">
        <f t="array" ref="AB4">_xlfn.STDEV.S(_xlfn._xlws.FILTER(HB[bydgoszcz_HB_Total_Score],(HB[Category]="senior")*(HB[bydgoszcz_HB_Total_Score])&gt;0),_xlfn._xlws.FILTER(HB[zabrze_HB_Total_Score],(HB[Category]="senior")*(HB[zabrze_HB_Total_Score])&gt;0),_xlfn._xlws.FILTER(HB[cracow_HB_Total_Score],(HB[Category]="senior")*(HB[cracow_HB_Total_Score])&gt;0),_xlfn._xlws.FILTER(HB[gdansk_HB_Total_Score],(HB[Category]="senior")*(HB[gdansk_HB_Total_Score])&gt;0))</f>
        <v>1.6950069431226658</v>
      </c>
      <c r="AC4" s="22" cm="1">
        <f t="array" ref="AC4">MAX(_xlfn._xlws.FILTER(HB[bydgoszcz_HB_Total_Score],HB[Category]="senior"),_xlfn._xlws.FILTER(HB[zabrze_HB_Total_Score],HB[Category]="senior"),_xlfn._xlws.FILTER(HB[cracow_HB_Total_Score],HB[Category]="senior"),_xlfn._xlws.FILTER(HB[gdansk_HB_Total_Score],HB[Category]="senior"))</f>
        <v>12.8</v>
      </c>
    </row>
    <row r="5" spans="1:29" x14ac:dyDescent="0.25">
      <c r="A5" t="s">
        <v>82</v>
      </c>
      <c r="B5" s="2" t="s">
        <v>60</v>
      </c>
      <c r="C5" s="2" t="s">
        <v>83</v>
      </c>
      <c r="D5" t="s">
        <v>36</v>
      </c>
      <c r="E5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5" s="4">
        <v>0</v>
      </c>
      <c r="G5" s="7">
        <v>0</v>
      </c>
      <c r="H5" s="7">
        <v>0</v>
      </c>
      <c r="I5" s="4">
        <v>3.3</v>
      </c>
      <c r="J5" s="7">
        <v>7.8</v>
      </c>
      <c r="K5" s="7">
        <v>11.1</v>
      </c>
      <c r="L5" s="4">
        <v>4</v>
      </c>
      <c r="M5" s="7">
        <v>8.25</v>
      </c>
      <c r="N5" s="7">
        <v>12.25</v>
      </c>
      <c r="O5" s="4">
        <v>3.3</v>
      </c>
      <c r="P5" s="7">
        <v>8</v>
      </c>
      <c r="Q5" s="7">
        <v>11.3</v>
      </c>
      <c r="R5" s="4">
        <f>LARGE(CHOOSE({1;2;3;4},F5,I5,L5,O5),1)+LARGE(CHOOSE({1;2;3;4},F5,I5,L5,O5),2)+LARGE(CHOOSE({1;2;3;4},F5,I5,L5,O5),3)</f>
        <v>10.6</v>
      </c>
      <c r="S5" s="7">
        <f>LARGE(CHOOSE({1;2;3;4},G5,J5,M5,P5),1)+LARGE(CHOOSE({1;2;3;4},G5,J5,M5,P5),2)+LARGE(CHOOSE({1;2;3;4},G5,J5,M5,P5),3)</f>
        <v>24.05</v>
      </c>
      <c r="T5" s="7">
        <f>LARGE(CHOOSE({1;2;3;4},H5,K5,N5,Q5),1)+LARGE(CHOOSE({1;2;3;4},H5,K5,N5,Q5),2)+LARGE(CHOOSE({1;2;3;4},H5,K5,N5,Q5),3)</f>
        <v>34.65</v>
      </c>
      <c r="U5" s="4" cm="1">
        <f t="array" ref="U5">IF(HB[[#This Row],[Number_of_competition]:[Number_of_competition]]&gt;=3,(LARGE(CHOOSE({1;2;3;4},F5,I5,L5,O5),1)+LARGE(CHOOSE({1;2;3;4},F5,I5,L5,O5),2)+LARGE(CHOOSE({1;2;3;4},F5,I5,L5,O5),3))/3,0)</f>
        <v>3.5333333333333332</v>
      </c>
      <c r="V5" s="7" cm="1">
        <f t="array" ref="V5">IF(HB[[#This Row],[Number_of_competition]:[Number_of_competition]]&gt;=3,(LARGE(CHOOSE({1;2;3;4},G5,J5,M5,P5),1)+LARGE(CHOOSE({1;2;3;4},G5,J5,M5,P5),2)+LARGE(CHOOSE({1;2;3;4},G5,J5,M5,P5),3))/3,0)</f>
        <v>8.0166666666666675</v>
      </c>
      <c r="W5" s="7" cm="1">
        <f t="array" ref="W5">IF(HB[[#This Row],[Number_of_competition]:[Number_of_competition]]&gt;=3,(LARGE(CHOOSE({1;2;3;4},H5,K5,N5,Q5),1)+LARGE(CHOOSE({1;2;3;4},H5,K5,N5,Q5),2)+LARGE(CHOOSE({1;2;3;4},H5,K5,N5,Q5),3))/3,0)</f>
        <v>11.549999999999999</v>
      </c>
      <c r="Y5" s="42"/>
      <c r="Z5" s="20" t="s">
        <v>275</v>
      </c>
      <c r="AA5" s="21" cm="1">
        <f t="array" ref="AA5">SUM(_xlfn._xlws.FILTER(HB[Year_Dscore],(HB[Category]="senior")*(HB[Number_of_competition]&gt;=3))/COUNTIFS(HB[Number_of_competition],"&gt;=3",HB[Category],"senior"))</f>
        <v>9.5666666666666682</v>
      </c>
      <c r="AB5" s="21" cm="1">
        <f t="array" ref="AB5">_xlfn.STDEV.S(_xlfn._xlws.FILTER(HB[Year_Dscore],(HB[Category]="senior")*(HB[Number_of_competition]&gt;=3)))</f>
        <v>2.552939482243954</v>
      </c>
      <c r="AC5" s="21" cm="1">
        <f t="array" ref="AC5">MAX(_xlfn._xlws.FILTER(HB[Year_Dscore],HB[Category]="senior"))</f>
        <v>14.1</v>
      </c>
    </row>
    <row r="6" spans="1:29" x14ac:dyDescent="0.25">
      <c r="A6" t="s">
        <v>34</v>
      </c>
      <c r="B6" s="2" t="s">
        <v>26</v>
      </c>
      <c r="C6" s="2" t="s">
        <v>35</v>
      </c>
      <c r="D6" t="s">
        <v>36</v>
      </c>
      <c r="E6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6" s="4">
        <v>3.4</v>
      </c>
      <c r="G6" s="7">
        <v>7.4</v>
      </c>
      <c r="H6" s="7">
        <v>10.8</v>
      </c>
      <c r="I6" s="4">
        <v>3.4</v>
      </c>
      <c r="J6" s="7">
        <v>7.5</v>
      </c>
      <c r="K6" s="7">
        <v>10.9</v>
      </c>
      <c r="L6" s="4">
        <v>3.4</v>
      </c>
      <c r="M6" s="7">
        <v>8.6</v>
      </c>
      <c r="N6" s="7">
        <v>12</v>
      </c>
      <c r="O6" s="4">
        <v>2.7</v>
      </c>
      <c r="P6" s="7">
        <v>7.5</v>
      </c>
      <c r="Q6" s="7">
        <v>10.199999999999999</v>
      </c>
      <c r="R6" s="4">
        <f>LARGE(CHOOSE({1;2;3;4},F6,I6,L6,O6),1)+LARGE(CHOOSE({1;2;3;4},F6,I6,L6,O6),2)+LARGE(CHOOSE({1;2;3;4},F6,I6,L6,O6),3)</f>
        <v>10.199999999999999</v>
      </c>
      <c r="S6" s="7">
        <f>LARGE(CHOOSE({1;2;3;4},G6,J6,M6,P6),1)+LARGE(CHOOSE({1;2;3;4},G6,J6,M6,P6),2)+LARGE(CHOOSE({1;2;3;4},G6,J6,M6,P6),3)</f>
        <v>23.6</v>
      </c>
      <c r="T6" s="7">
        <f>LARGE(CHOOSE({1;2;3;4},H6,K6,N6,Q6),1)+LARGE(CHOOSE({1;2;3;4},H6,K6,N6,Q6),2)+LARGE(CHOOSE({1;2;3;4},H6,K6,N6,Q6),3)</f>
        <v>33.700000000000003</v>
      </c>
      <c r="U6" s="4" cm="1">
        <f t="array" ref="U6">IF(HB[[#This Row],[Number_of_competition]:[Number_of_competition]]&gt;=3,(LARGE(CHOOSE({1;2;3;4},F6,I6,L6,O6),1)+LARGE(CHOOSE({1;2;3;4},F6,I6,L6,O6),2)+LARGE(CHOOSE({1;2;3;4},F6,I6,L6,O6),3))/3,0)</f>
        <v>3.4</v>
      </c>
      <c r="V6" s="7" cm="1">
        <f t="array" ref="V6">IF(HB[[#This Row],[Number_of_competition]:[Number_of_competition]]&gt;=3,(LARGE(CHOOSE({1;2;3;4},G6,J6,M6,P6),1)+LARGE(CHOOSE({1;2;3;4},G6,J6,M6,P6),2)+LARGE(CHOOSE({1;2;3;4},G6,J6,M6,P6),3))/3,0)</f>
        <v>7.8666666666666671</v>
      </c>
      <c r="W6" s="7" cm="1">
        <f t="array" ref="W6">IF(HB[[#This Row],[Number_of_competition]:[Number_of_competition]]&gt;=3,(LARGE(CHOOSE({1;2;3;4},H6,K6,N6,Q6),1)+LARGE(CHOOSE({1;2;3;4},H6,K6,N6,Q6),2)+LARGE(CHOOSE({1;2;3;4},H6,K6,N6,Q6),3))/3,0)</f>
        <v>11.233333333333334</v>
      </c>
      <c r="Y6" s="42"/>
      <c r="Z6" s="20" t="s">
        <v>276</v>
      </c>
      <c r="AA6" s="22" cm="1">
        <f t="array" ref="AA6">SUM(_xlfn._xlws.FILTER(HB[Year_Escore],(HB[Category]="senior")*(HB[Number_of_competition]&gt;=3))/COUNTIFS(HB[Number_of_competition],"&gt;=3",HB[Category],"senior"))</f>
        <v>23.238888888888891</v>
      </c>
      <c r="AB6" s="22" cm="1">
        <f t="array" ref="AB6">_xlfn.STDEV.S(_xlfn._xlws.FILTER(HB[Year_Escore],(HB[Category]="senior")*(HB[Number_of_competition]&gt;=3)))</f>
        <v>1.3568754958031741</v>
      </c>
      <c r="AC6" s="22" cm="1">
        <f t="array" ref="AC6">MAX(_xlfn._xlws.FILTER(HB[Year_Escore],HB[Category]="senior"))</f>
        <v>25.15</v>
      </c>
    </row>
    <row r="7" spans="1:29" x14ac:dyDescent="0.25">
      <c r="A7" t="s">
        <v>84</v>
      </c>
      <c r="B7" s="2" t="s">
        <v>60</v>
      </c>
      <c r="C7" s="2" t="s">
        <v>85</v>
      </c>
      <c r="D7" t="s">
        <v>39</v>
      </c>
      <c r="E7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7" s="4">
        <v>3.2</v>
      </c>
      <c r="G7" s="7">
        <v>7.2</v>
      </c>
      <c r="H7" s="7">
        <v>10.4</v>
      </c>
      <c r="I7" s="4">
        <v>2.8</v>
      </c>
      <c r="J7" s="7">
        <v>8</v>
      </c>
      <c r="K7" s="7">
        <v>10.8</v>
      </c>
      <c r="L7" s="4">
        <v>2.9</v>
      </c>
      <c r="M7" s="7">
        <v>7.25</v>
      </c>
      <c r="N7" s="7">
        <v>10.15</v>
      </c>
      <c r="O7" s="4">
        <v>2.5</v>
      </c>
      <c r="P7" s="7">
        <v>8.6999999999999993</v>
      </c>
      <c r="Q7" s="7">
        <v>11.2</v>
      </c>
      <c r="R7" s="4">
        <f>LARGE(CHOOSE({1;2;3;4},F7,I7,L7,O7),1)+LARGE(CHOOSE({1;2;3;4},F7,I7,L7,O7),2)+LARGE(CHOOSE({1;2;3;4},F7,I7,L7,O7),3)</f>
        <v>8.8999999999999986</v>
      </c>
      <c r="S7" s="7">
        <f>LARGE(CHOOSE({1;2;3;4},G7,J7,M7,P7),1)+LARGE(CHOOSE({1;2;3;4},G7,J7,M7,P7),2)+LARGE(CHOOSE({1;2;3;4},G7,J7,M7,P7),3)</f>
        <v>23.95</v>
      </c>
      <c r="T7" s="7">
        <f>LARGE(CHOOSE({1;2;3;4},H7,K7,N7,Q7),1)+LARGE(CHOOSE({1;2;3;4},H7,K7,N7,Q7),2)+LARGE(CHOOSE({1;2;3;4},H7,K7,N7,Q7),3)</f>
        <v>32.4</v>
      </c>
      <c r="U7" s="4" cm="1">
        <f t="array" ref="U7">IF(HB[[#This Row],[Number_of_competition]:[Number_of_competition]]&gt;=3,(LARGE(CHOOSE({1;2;3;4},F7,I7,L7,O7),1)+LARGE(CHOOSE({1;2;3;4},F7,I7,L7,O7),2)+LARGE(CHOOSE({1;2;3;4},F7,I7,L7,O7),3))/3,0)</f>
        <v>2.9666666666666663</v>
      </c>
      <c r="V7" s="7" cm="1">
        <f t="array" ref="V7">IF(HB[[#This Row],[Number_of_competition]:[Number_of_competition]]&gt;=3,(LARGE(CHOOSE({1;2;3;4},G7,J7,M7,P7),1)+LARGE(CHOOSE({1;2;3;4},G7,J7,M7,P7),2)+LARGE(CHOOSE({1;2;3;4},G7,J7,M7,P7),3))/3,0)</f>
        <v>7.9833333333333334</v>
      </c>
      <c r="W7" s="7" cm="1">
        <f t="array" ref="W7">IF(HB[[#This Row],[Number_of_competition]:[Number_of_competition]]&gt;=3,(LARGE(CHOOSE({1;2;3;4},H7,K7,N7,Q7),1)+LARGE(CHOOSE({1;2;3;4},H7,K7,N7,Q7),2)+LARGE(CHOOSE({1;2;3;4},H7,K7,N7,Q7),3))/3,0)</f>
        <v>10.799999999999999</v>
      </c>
      <c r="Y7" s="43"/>
      <c r="Z7" s="20" t="s">
        <v>277</v>
      </c>
      <c r="AA7" s="22" cm="1">
        <f t="array" ref="AA7">SUM(_xlfn._xlws.FILTER(HB[Year_Total_Score],(HB[Category]="senior")*(HB[Number_of_competition]&gt;=3))/COUNTIFS(HB[Number_of_competition],"&gt;=3",HB[Category],"senior"))</f>
        <v>32.68333333333333</v>
      </c>
      <c r="AB7" s="22" cm="1">
        <f t="array" ref="AB7">_xlfn.STDEV.S(_xlfn._xlws.FILTER(HB[Year_Total_Score],(HB[Category]="senior")*(HB[Number_of_competition]&gt;=3)))</f>
        <v>3.1069478592342037</v>
      </c>
      <c r="AC7" s="22" cm="1">
        <f t="array" ref="AC7">MAX(_xlfn._xlws.FILTER(HB[Year_Total_Score],HB[Category]="senior"))</f>
        <v>37.400000000000006</v>
      </c>
    </row>
    <row r="8" spans="1:29" x14ac:dyDescent="0.25">
      <c r="A8" t="s">
        <v>68</v>
      </c>
      <c r="B8" s="2" t="s">
        <v>60</v>
      </c>
      <c r="C8" s="2" t="s">
        <v>69</v>
      </c>
      <c r="D8" t="s">
        <v>31</v>
      </c>
      <c r="E8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8" s="4">
        <v>2.1</v>
      </c>
      <c r="G8" s="7">
        <v>8.4</v>
      </c>
      <c r="H8" s="7">
        <v>10.5</v>
      </c>
      <c r="I8" s="4">
        <v>2.2000000000000002</v>
      </c>
      <c r="J8" s="7">
        <v>7.85</v>
      </c>
      <c r="K8" s="7">
        <v>10.050000000000001</v>
      </c>
      <c r="L8" s="4">
        <v>2.6</v>
      </c>
      <c r="M8" s="7">
        <v>8.9</v>
      </c>
      <c r="N8" s="7">
        <v>11.5</v>
      </c>
      <c r="O8" s="4">
        <v>2.6</v>
      </c>
      <c r="P8" s="7">
        <v>7.6</v>
      </c>
      <c r="Q8" s="7">
        <v>10.199999999999999</v>
      </c>
      <c r="R8" s="4">
        <f>LARGE(CHOOSE({1;2;3;4},F8,I8,L8,O8),1)+LARGE(CHOOSE({1;2;3;4},F8,I8,L8,O8),2)+LARGE(CHOOSE({1;2;3;4},F8,I8,L8,O8),3)</f>
        <v>7.4</v>
      </c>
      <c r="S8" s="7">
        <f>LARGE(CHOOSE({1;2;3;4},G8,J8,M8,P8),1)+LARGE(CHOOSE({1;2;3;4},G8,J8,M8,P8),2)+LARGE(CHOOSE({1;2;3;4},G8,J8,M8,P8),3)</f>
        <v>25.15</v>
      </c>
      <c r="T8" s="7">
        <f>LARGE(CHOOSE({1;2;3;4},H8,K8,N8,Q8),1)+LARGE(CHOOSE({1;2;3;4},H8,K8,N8,Q8),2)+LARGE(CHOOSE({1;2;3;4},H8,K8,N8,Q8),3)</f>
        <v>32.200000000000003</v>
      </c>
      <c r="U8" s="4" cm="1">
        <f t="array" ref="U8">IF(HB[[#This Row],[Number_of_competition]:[Number_of_competition]]&gt;=3,(LARGE(CHOOSE({1;2;3;4},F8,I8,L8,O8),1)+LARGE(CHOOSE({1;2;3;4},F8,I8,L8,O8),2)+LARGE(CHOOSE({1;2;3;4},F8,I8,L8,O8),3))/3,0)</f>
        <v>2.4666666666666668</v>
      </c>
      <c r="V8" s="7" cm="1">
        <f t="array" ref="V8">IF(HB[[#This Row],[Number_of_competition]:[Number_of_competition]]&gt;=3,(LARGE(CHOOSE({1;2;3;4},G8,J8,M8,P8),1)+LARGE(CHOOSE({1;2;3;4},G8,J8,M8,P8),2)+LARGE(CHOOSE({1;2;3;4},G8,J8,M8,P8),3))/3,0)</f>
        <v>8.3833333333333329</v>
      </c>
      <c r="W8" s="7" cm="1">
        <f t="array" ref="W8">IF(HB[[#This Row],[Number_of_competition]:[Number_of_competition]]&gt;=3,(LARGE(CHOOSE({1;2;3;4},H8,K8,N8,Q8),1)+LARGE(CHOOSE({1;2;3;4},H8,K8,N8,Q8),2)+LARGE(CHOOSE({1;2;3;4},H8,K8,N8,Q8),3))/3,0)</f>
        <v>10.733333333333334</v>
      </c>
      <c r="Y8" s="41" t="s">
        <v>26</v>
      </c>
      <c r="Z8" s="20" t="s">
        <v>269</v>
      </c>
      <c r="AA8" s="21" cm="1">
        <f t="array" ref="AA8">SUM(_xlfn._xlws.FILTER(HB[bydgoszcz_HB_Dscore],HB[Category]="junior"),_xlfn._xlws.FILTER(HB[zabrze_HB_Dscore],HB[Category]="junior"),_xlfn._xlws.FILTER(HB[cracow_HB_Dscore],HB[Category]="junior"),_xlfn._xlws.FILTER(HB[gdansk_HB_Dscore],HB[Category]="junior"))/(COUNTIFS(HB[bydgoszcz_HB_Dscore],"&gt;0",HB[Category],"junior")+COUNTIFS(HB[zabrze_HB_Dscore],"&gt;0",HB[Category],"junior")+COUNTIFS(HB[cracow_HB_Dscore],"&gt;0",HB[Category],"junior")+COUNTIFS(HB[gdansk_HB_Dscore],"&gt;0",HB[Category],"junior"))</f>
        <v>2.406122448979592</v>
      </c>
      <c r="AB8" s="21" cm="1">
        <f t="array" ref="AB8">_xlfn.STDEV.S(_xlfn._xlws.FILTER(HB[bydgoszcz_HB_Dscore],(HB[Category]="junior")*(HB[bydgoszcz_HB_Dscore])&gt;0),_xlfn._xlws.FILTER(HB[zabrze_HB_Dscore],(HB[Category]="junior")*(HB[zabrze_HB_Dscore])&gt;0),_xlfn._xlws.FILTER(HB[cracow_HB_Dscore],(HB[Category]="junior")*(HB[cracow_HB_Dscore])&gt;0),_xlfn._xlws.FILTER(HB[gdansk_HB_Dscore],(HB[Category]="junior")*(HB[gdansk_HB_Dscore])&gt;0))</f>
        <v>0.67989219833775683</v>
      </c>
      <c r="AC8" s="21" cm="1">
        <f t="array" ref="AC8">MAX(_xlfn._xlws.FILTER(HB[bydgoszcz_HB_Dscore],HB[Category]="junior"),_xlfn._xlws.FILTER(HB[zabrze_HB_Dscore],HB[Category]="junior"),_xlfn._xlws.FILTER(HB[cracow_HB_Dscore],HB[Category]="junior"),_xlfn._xlws.FILTER(HB[gdansk_HB_Dscore],HB[Category]="junior"))</f>
        <v>3.4</v>
      </c>
    </row>
    <row r="9" spans="1:29" x14ac:dyDescent="0.25">
      <c r="A9" t="s">
        <v>37</v>
      </c>
      <c r="B9" s="2" t="s">
        <v>26</v>
      </c>
      <c r="C9" s="2" t="s">
        <v>38</v>
      </c>
      <c r="D9" t="s">
        <v>39</v>
      </c>
      <c r="E9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9" s="4">
        <v>3</v>
      </c>
      <c r="G9" s="7">
        <v>7.8</v>
      </c>
      <c r="H9" s="7">
        <v>10.8</v>
      </c>
      <c r="I9" s="4">
        <v>3</v>
      </c>
      <c r="J9" s="7">
        <v>7.2</v>
      </c>
      <c r="K9" s="7">
        <v>10.199999999999999</v>
      </c>
      <c r="L9" s="4">
        <v>3.1</v>
      </c>
      <c r="M9" s="7">
        <v>7.65</v>
      </c>
      <c r="N9" s="7">
        <v>10.75</v>
      </c>
      <c r="O9" s="4">
        <v>2.8</v>
      </c>
      <c r="P9" s="7">
        <v>6.5</v>
      </c>
      <c r="Q9" s="7">
        <v>9.3000000000000007</v>
      </c>
      <c r="R9" s="4">
        <f>LARGE(CHOOSE({1;2;3;4},F9,I9,L9,O9),1)+LARGE(CHOOSE({1;2;3;4},F9,I9,L9,O9),2)+LARGE(CHOOSE({1;2;3;4},F9,I9,L9,O9),3)</f>
        <v>9.1</v>
      </c>
      <c r="S9" s="7">
        <f>LARGE(CHOOSE({1;2;3;4},G9,J9,M9,P9),1)+LARGE(CHOOSE({1;2;3;4},G9,J9,M9,P9),2)+LARGE(CHOOSE({1;2;3;4},G9,J9,M9,P9),3)</f>
        <v>22.65</v>
      </c>
      <c r="T9" s="7">
        <f>LARGE(CHOOSE({1;2;3;4},H9,K9,N9,Q9),1)+LARGE(CHOOSE({1;2;3;4},H9,K9,N9,Q9),2)+LARGE(CHOOSE({1;2;3;4},H9,K9,N9,Q9),3)</f>
        <v>31.75</v>
      </c>
      <c r="U9" s="4" cm="1">
        <f t="array" ref="U9">IF(HB[[#This Row],[Number_of_competition]:[Number_of_competition]]&gt;=3,(LARGE(CHOOSE({1;2;3;4},F9,I9,L9,O9),1)+LARGE(CHOOSE({1;2;3;4},F9,I9,L9,O9),2)+LARGE(CHOOSE({1;2;3;4},F9,I9,L9,O9),3))/3,0)</f>
        <v>3.0333333333333332</v>
      </c>
      <c r="V9" s="7" cm="1">
        <f t="array" ref="V9">IF(HB[[#This Row],[Number_of_competition]:[Number_of_competition]]&gt;=3,(LARGE(CHOOSE({1;2;3;4},G9,J9,M9,P9),1)+LARGE(CHOOSE({1;2;3;4},G9,J9,M9,P9),2)+LARGE(CHOOSE({1;2;3;4},G9,J9,M9,P9),3))/3,0)</f>
        <v>7.55</v>
      </c>
      <c r="W9" s="7" cm="1">
        <f t="array" ref="W9">IF(HB[[#This Row],[Number_of_competition]:[Number_of_competition]]&gt;=3,(LARGE(CHOOSE({1;2;3;4},H9,K9,N9,Q9),1)+LARGE(CHOOSE({1;2;3;4},H9,K9,N9,Q9),2)+LARGE(CHOOSE({1;2;3;4},H9,K9,N9,Q9),3))/3,0)</f>
        <v>10.583333333333334</v>
      </c>
      <c r="Y9" s="42"/>
      <c r="Z9" s="20" t="s">
        <v>267</v>
      </c>
      <c r="AA9" s="22" cm="1">
        <f t="array" ref="AA9">SUM(_xlfn._xlws.FILTER(HB[bydgoszcz_HB_Escore],HB[Category]="junior"),_xlfn._xlws.FILTER(HB[zabrze_HB_Escore],HB[Category]="junior"),_xlfn._xlws.FILTER(HB[cracow_HB_Escore],HB[Category]="junior"),_xlfn._xlws.FILTER(HB[gdansk_HB_Escore],HB[Category]="junior"))/(COUNTIFS(HB[bydgoszcz_HB_Escore],"&gt;0",HB[Category],"junior")+COUNTIFS(HB[zabrze_HB_Escore],"&gt;0",HB[Category],"junior")+COUNTIFS(HB[cracow_HB_Escore],"&gt;0",HB[Category],"junior")+COUNTIFS(HB[gdansk_HB_Escore],"&gt;0",HB[Category],"junior"))</f>
        <v>7.4622448979591836</v>
      </c>
      <c r="AB9" s="22" cm="1">
        <f t="array" ref="AB9">_xlfn.STDEV.S(_xlfn._xlws.FILTER(HB[bydgoszcz_HB_Escore],(HB[Category]="junior")*(HB[bydgoszcz_HB_Escore])&gt;0),_xlfn._xlws.FILTER(HB[zabrze_HB_Escore],(HB[Category]="junior")*(HB[zabrze_HB_Escore])&gt;0),_xlfn._xlws.FILTER(HB[cracow_HB_Escore],(HB[Category]="junior")*(HB[cracow_HB_Escore])&gt;0),_xlfn._xlws.FILTER(HB[gdansk_HB_Escore],(HB[Category]="junior")*(HB[gdansk_HB_Escore])&gt;0))</f>
        <v>1.656443561401604</v>
      </c>
      <c r="AC9" s="22" cm="1">
        <f t="array" ref="AC9">MAX(_xlfn._xlws.FILTER(HB[bydgoszcz_HB_Escore],HB[Category]="junior"),_xlfn._xlws.FILTER(HB[zabrze_HB_Escore],HB[Category]="junior"),_xlfn._xlws.FILTER(HB[cracow_HB_Escore],HB[Category]="junior"),_xlfn._xlws.FILTER(HB[gdansk_HB_Escore],HB[Category]="junior"))</f>
        <v>9.4499999999999993</v>
      </c>
    </row>
    <row r="10" spans="1:29" x14ac:dyDescent="0.25">
      <c r="A10" t="s">
        <v>73</v>
      </c>
      <c r="B10" s="2" t="s">
        <v>60</v>
      </c>
      <c r="C10" s="2" t="s">
        <v>74</v>
      </c>
      <c r="D10" t="s">
        <v>62</v>
      </c>
      <c r="E10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0" s="4">
        <v>3.1</v>
      </c>
      <c r="G10" s="7">
        <v>7.3</v>
      </c>
      <c r="H10" s="7">
        <v>10.4</v>
      </c>
      <c r="I10" s="4">
        <v>2.7</v>
      </c>
      <c r="J10" s="7">
        <v>7.55</v>
      </c>
      <c r="K10" s="7">
        <v>10.25</v>
      </c>
      <c r="L10" s="4">
        <v>2.7</v>
      </c>
      <c r="M10" s="7">
        <v>8.1999999999999993</v>
      </c>
      <c r="N10" s="7">
        <v>10.9</v>
      </c>
      <c r="O10" s="4">
        <v>2.6</v>
      </c>
      <c r="P10" s="7">
        <v>5.8</v>
      </c>
      <c r="Q10" s="7">
        <v>8.4</v>
      </c>
      <c r="R10" s="4">
        <f>LARGE(CHOOSE({1;2;3;4},F10,I10,L10,O10),1)+LARGE(CHOOSE({1;2;3;4},F10,I10,L10,O10),2)+LARGE(CHOOSE({1;2;3;4},F10,I10,L10,O10),3)</f>
        <v>8.5</v>
      </c>
      <c r="S10" s="7">
        <f>LARGE(CHOOSE({1;2;3;4},G10,J10,M10,P10),1)+LARGE(CHOOSE({1;2;3;4},G10,J10,M10,P10),2)+LARGE(CHOOSE({1;2;3;4},G10,J10,M10,P10),3)</f>
        <v>23.05</v>
      </c>
      <c r="T10" s="7">
        <f>LARGE(CHOOSE({1;2;3;4},H10,K10,N10,Q10),1)+LARGE(CHOOSE({1;2;3;4},H10,K10,N10,Q10),2)+LARGE(CHOOSE({1;2;3;4},H10,K10,N10,Q10),3)</f>
        <v>31.55</v>
      </c>
      <c r="U10" s="4" cm="1">
        <f t="array" ref="U10">IF(HB[[#This Row],[Number_of_competition]:[Number_of_competition]]&gt;=3,(LARGE(CHOOSE({1;2;3;4},F10,I10,L10,O10),1)+LARGE(CHOOSE({1;2;3;4},F10,I10,L10,O10),2)+LARGE(CHOOSE({1;2;3;4},F10,I10,L10,O10),3))/3,0)</f>
        <v>2.8333333333333335</v>
      </c>
      <c r="V10" s="7" cm="1">
        <f t="array" ref="V10">IF(HB[[#This Row],[Number_of_competition]:[Number_of_competition]]&gt;=3,(LARGE(CHOOSE({1;2;3;4},G10,J10,M10,P10),1)+LARGE(CHOOSE({1;2;3;4},G10,J10,M10,P10),2)+LARGE(CHOOSE({1;2;3;4},G10,J10,M10,P10),3))/3,0)</f>
        <v>7.6833333333333336</v>
      </c>
      <c r="W10" s="7" cm="1">
        <f t="array" ref="W10">IF(HB[[#This Row],[Number_of_competition]:[Number_of_competition]]&gt;=3,(LARGE(CHOOSE({1;2;3;4},H10,K10,N10,Q10),1)+LARGE(CHOOSE({1;2;3;4},H10,K10,N10,Q10),2)+LARGE(CHOOSE({1;2;3;4},H10,K10,N10,Q10),3))/3,0)</f>
        <v>10.516666666666667</v>
      </c>
      <c r="Y10" s="42"/>
      <c r="Z10" s="20" t="s">
        <v>268</v>
      </c>
      <c r="AA10" s="22" cm="1">
        <f t="array" ref="AA10">SUM(_xlfn._xlws.FILTER(HB[bydgoszcz_HB_Total_Score],HB[Category]="junior"),_xlfn._xlws.FILTER(HB[zabrze_HB_Total_Score],HB[Category]="junior"),_xlfn._xlws.FILTER(HB[cracow_HB_Total_Score],HB[Category]="junior"),_xlfn._xlws.FILTER(HB[gdansk_HB_Total_Score],HB[Category]="junior"))/(COUNTIFS(HB[bydgoszcz_HB_Total_Score],"&gt;0",HB[Category],"junior")+COUNTIFS(HB[zabrze_HB_Total_Score],"&gt;0",HB[Category],"junior")+COUNTIFS(HB[cracow_HB_Total_Score],"&gt;0",HB[Category],"junior")+COUNTIFS(HB[gdansk_HB_Total_Score],"&gt;0",HB[Category],"junior"))</f>
        <v>9.8683673469387774</v>
      </c>
      <c r="AB10" s="22" cm="1">
        <f t="array" ref="AB10">_xlfn.STDEV.S(_xlfn._xlws.FILTER(HB[bydgoszcz_HB_Total_Score],(HB[Category]="junior")*(HB[bydgoszcz_HB_Total_Score])&gt;0),_xlfn._xlws.FILTER(HB[zabrze_HB_Total_Score],(HB[Category]="junior")*(HB[zabrze_HB_Total_Score])&gt;0),_xlfn._xlws.FILTER(HB[cracow_HB_Total_Score],(HB[Category]="junior")*(HB[cracow_HB_Total_Score])&gt;0),_xlfn._xlws.FILTER(HB[gdansk_HB_Total_Score],(HB[Category]="junior")*(HB[gdansk_HB_Total_Score])&gt;0))</f>
        <v>2.0639437845004838</v>
      </c>
      <c r="AC10" s="22" cm="1">
        <f t="array" ref="AC10">MAX(_xlfn._xlws.FILTER(HB[bydgoszcz_HB_Total_Score],HB[Category]="junior"),_xlfn._xlws.FILTER(HB[zabrze_HB_Total_Score],HB[Category]="junior"),_xlfn._xlws.FILTER(HB[cracow_HB_Total_Score],HB[Category]="junior"),_xlfn._xlws.FILTER(HB[gdansk_HB_Total_Score],HB[Category]="junior"))</f>
        <v>12.15</v>
      </c>
    </row>
    <row r="11" spans="1:29" x14ac:dyDescent="0.25">
      <c r="A11" t="s">
        <v>77</v>
      </c>
      <c r="B11" s="2" t="s">
        <v>60</v>
      </c>
      <c r="C11" s="2" t="s">
        <v>78</v>
      </c>
      <c r="D11" t="s">
        <v>79</v>
      </c>
      <c r="E11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1" s="4">
        <v>3</v>
      </c>
      <c r="G11" s="7">
        <v>7.2</v>
      </c>
      <c r="H11" s="7">
        <v>10.199999999999999</v>
      </c>
      <c r="I11" s="4">
        <v>2.6</v>
      </c>
      <c r="J11" s="7">
        <v>7.5</v>
      </c>
      <c r="K11" s="7">
        <v>10.1</v>
      </c>
      <c r="L11" s="4">
        <v>3</v>
      </c>
      <c r="M11" s="7">
        <v>8.1</v>
      </c>
      <c r="N11" s="7">
        <v>11.1</v>
      </c>
      <c r="O11" s="4">
        <v>2.6</v>
      </c>
      <c r="P11" s="7">
        <v>7.3</v>
      </c>
      <c r="Q11" s="7">
        <v>9.9</v>
      </c>
      <c r="R11" s="4">
        <f>LARGE(CHOOSE({1;2;3;4},F11,I11,L11,O11),1)+LARGE(CHOOSE({1;2;3;4},F11,I11,L11,O11),2)+LARGE(CHOOSE({1;2;3;4},F11,I11,L11,O11),3)</f>
        <v>8.6</v>
      </c>
      <c r="S11" s="7">
        <f>LARGE(CHOOSE({1;2;3;4},G11,J11,M11,P11),1)+LARGE(CHOOSE({1;2;3;4},G11,J11,M11,P11),2)+LARGE(CHOOSE({1;2;3;4},G11,J11,M11,P11),3)</f>
        <v>22.9</v>
      </c>
      <c r="T11" s="7">
        <f>LARGE(CHOOSE({1;2;3;4},H11,K11,N11,Q11),1)+LARGE(CHOOSE({1;2;3;4},H11,K11,N11,Q11),2)+LARGE(CHOOSE({1;2;3;4},H11,K11,N11,Q11),3)</f>
        <v>31.4</v>
      </c>
      <c r="U11" s="4" cm="1">
        <f t="array" ref="U11">IF(HB[[#This Row],[Number_of_competition]:[Number_of_competition]]&gt;=3,(LARGE(CHOOSE({1;2;3;4},F11,I11,L11,O11),1)+LARGE(CHOOSE({1;2;3;4},F11,I11,L11,O11),2)+LARGE(CHOOSE({1;2;3;4},F11,I11,L11,O11),3))/3,0)</f>
        <v>2.8666666666666667</v>
      </c>
      <c r="V11" s="7" cm="1">
        <f t="array" ref="V11">IF(HB[[#This Row],[Number_of_competition]:[Number_of_competition]]&gt;=3,(LARGE(CHOOSE({1;2;3;4},G11,J11,M11,P11),1)+LARGE(CHOOSE({1;2;3;4},G11,J11,M11,P11),2)+LARGE(CHOOSE({1;2;3;4},G11,J11,M11,P11),3))/3,0)</f>
        <v>7.6333333333333329</v>
      </c>
      <c r="W11" s="7" cm="1">
        <f t="array" ref="W11">IF(HB[[#This Row],[Number_of_competition]:[Number_of_competition]]&gt;=3,(LARGE(CHOOSE({1;2;3;4},H11,K11,N11,Q11),1)+LARGE(CHOOSE({1;2;3;4},H11,K11,N11,Q11),2)+LARGE(CHOOSE({1;2;3;4},H11,K11,N11,Q11),3))/3,0)</f>
        <v>10.466666666666667</v>
      </c>
      <c r="Y11" s="42"/>
      <c r="Z11" s="20" t="s">
        <v>275</v>
      </c>
      <c r="AA11" s="21" cm="1">
        <f t="array" ref="AA11">SUM(_xlfn._xlws.FILTER(HB[Year_Dscore],(HB[Category]="junior")*(HB[Number_of_competition]&gt;=3))/COUNTIFS(HB[Number_of_competition],"&gt;=3",HB[Category],"junior"))</f>
        <v>7.4363636363636365</v>
      </c>
      <c r="AB11" s="21" cm="1">
        <f t="array" ref="AB11">_xlfn.STDEV.S(_xlfn._xlws.FILTER(HB[Year_Dscore],(HB[Category]="junior")*(HB[Number_of_competition]&gt;=3)))</f>
        <v>1.7755408906993468</v>
      </c>
      <c r="AC11" s="21" cm="1">
        <f t="array" ref="AC11">MAX(_xlfn._xlws.FILTER(HB[Year_Dscore],HB[Category]="junior"))</f>
        <v>10.199999999999999</v>
      </c>
    </row>
    <row r="12" spans="1:29" x14ac:dyDescent="0.25">
      <c r="A12" t="s">
        <v>44</v>
      </c>
      <c r="B12" s="2" t="s">
        <v>26</v>
      </c>
      <c r="C12" s="2" t="s">
        <v>45</v>
      </c>
      <c r="D12" t="s">
        <v>39</v>
      </c>
      <c r="E12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2" s="4">
        <v>2.4</v>
      </c>
      <c r="G12" s="7">
        <v>7.8</v>
      </c>
      <c r="H12" s="7">
        <v>10.199999999999999</v>
      </c>
      <c r="I12" s="4">
        <v>2.4</v>
      </c>
      <c r="J12" s="7">
        <v>7.9</v>
      </c>
      <c r="K12" s="7">
        <v>10.3</v>
      </c>
      <c r="L12" s="4">
        <v>2.7</v>
      </c>
      <c r="M12" s="7">
        <v>8.15</v>
      </c>
      <c r="N12" s="7">
        <v>10.85</v>
      </c>
      <c r="O12" s="4">
        <v>2.2999999999999998</v>
      </c>
      <c r="P12" s="7">
        <v>7.5</v>
      </c>
      <c r="Q12" s="7">
        <v>9.8000000000000007</v>
      </c>
      <c r="R12" s="4">
        <f>LARGE(CHOOSE({1;2;3;4},F12,I12,L12,O12),1)+LARGE(CHOOSE({1;2;3;4},F12,I12,L12,O12),2)+LARGE(CHOOSE({1;2;3;4},F12,I12,L12,O12),3)</f>
        <v>7.5</v>
      </c>
      <c r="S12" s="7">
        <f>LARGE(CHOOSE({1;2;3;4},G12,J12,M12,P12),1)+LARGE(CHOOSE({1;2;3;4},G12,J12,M12,P12),2)+LARGE(CHOOSE({1;2;3;4},G12,J12,M12,P12),3)</f>
        <v>23.85</v>
      </c>
      <c r="T12" s="7">
        <f>LARGE(CHOOSE({1;2;3;4},H12,K12,N12,Q12),1)+LARGE(CHOOSE({1;2;3;4},H12,K12,N12,Q12),2)+LARGE(CHOOSE({1;2;3;4},H12,K12,N12,Q12),3)</f>
        <v>31.349999999999998</v>
      </c>
      <c r="U12" s="4" cm="1">
        <f t="array" ref="U12">IF(HB[[#This Row],[Number_of_competition]:[Number_of_competition]]&gt;=3,(LARGE(CHOOSE({1;2;3;4},F12,I12,L12,O12),1)+LARGE(CHOOSE({1;2;3;4},F12,I12,L12,O12),2)+LARGE(CHOOSE({1;2;3;4},F12,I12,L12,O12),3))/3,0)</f>
        <v>2.5</v>
      </c>
      <c r="V12" s="7" cm="1">
        <f t="array" ref="V12">IF(HB[[#This Row],[Number_of_competition]:[Number_of_competition]]&gt;=3,(LARGE(CHOOSE({1;2;3;4},G12,J12,M12,P12),1)+LARGE(CHOOSE({1;2;3;4},G12,J12,M12,P12),2)+LARGE(CHOOSE({1;2;3;4},G12,J12,M12,P12),3))/3,0)</f>
        <v>7.95</v>
      </c>
      <c r="W12" s="7" cm="1">
        <f t="array" ref="W12">IF(HB[[#This Row],[Number_of_competition]:[Number_of_competition]]&gt;=3,(LARGE(CHOOSE({1;2;3;4},H12,K12,N12,Q12),1)+LARGE(CHOOSE({1;2;3;4},H12,K12,N12,Q12),2)+LARGE(CHOOSE({1;2;3;4},H12,K12,N12,Q12),3))/3,0)</f>
        <v>10.45</v>
      </c>
      <c r="Y12" s="42"/>
      <c r="Z12" s="20" t="s">
        <v>276</v>
      </c>
      <c r="AA12" s="22" cm="1">
        <f t="array" ref="AA12">SUM(_xlfn._xlws.FILTER(HB[Year_Escore],(HB[Category]="junior")*(HB[Number_of_competition]&gt;=3))/COUNTIFS(HB[Number_of_competition],"&gt;=3",HB[Category],"junior"))</f>
        <v>23.386363636363633</v>
      </c>
      <c r="AB12" s="22" cm="1">
        <f t="array" ref="AB12">_xlfn.STDEV.S(_xlfn._xlws.FILTER(HB[Year_Escore],(HB[Category]="junior")*(HB[Number_of_competition]&gt;=3)))</f>
        <v>2.4494990211358441</v>
      </c>
      <c r="AC12" s="22" cm="1">
        <f t="array" ref="AC12">MAX(_xlfn._xlws.FILTER(HB[Year_Escore],HB[Category]="junior"))</f>
        <v>27.85</v>
      </c>
    </row>
    <row r="13" spans="1:29" x14ac:dyDescent="0.25">
      <c r="A13" t="s">
        <v>32</v>
      </c>
      <c r="B13" s="2" t="s">
        <v>26</v>
      </c>
      <c r="C13" s="2" t="s">
        <v>33</v>
      </c>
      <c r="D13" t="s">
        <v>31</v>
      </c>
      <c r="E13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3" s="4">
        <v>3.1</v>
      </c>
      <c r="G13" s="7">
        <v>7.7</v>
      </c>
      <c r="H13" s="7">
        <v>10.8</v>
      </c>
      <c r="I13" s="4">
        <v>3.2</v>
      </c>
      <c r="J13" s="7">
        <v>7.8</v>
      </c>
      <c r="K13" s="7">
        <v>11</v>
      </c>
      <c r="L13" s="4">
        <v>3.1</v>
      </c>
      <c r="M13" s="7">
        <v>4.7</v>
      </c>
      <c r="N13" s="7">
        <v>7.8</v>
      </c>
      <c r="O13" s="4">
        <v>2.9</v>
      </c>
      <c r="P13" s="7">
        <v>6.2</v>
      </c>
      <c r="Q13" s="7">
        <v>9.1</v>
      </c>
      <c r="R13" s="4">
        <f>LARGE(CHOOSE({1;2;3;4},F13,I13,L13,O13),1)+LARGE(CHOOSE({1;2;3;4},F13,I13,L13,O13),2)+LARGE(CHOOSE({1;2;3;4},F13,I13,L13,O13),3)</f>
        <v>9.4</v>
      </c>
      <c r="S13" s="7">
        <f>LARGE(CHOOSE({1;2;3;4},G13,J13,M13,P13),1)+LARGE(CHOOSE({1;2;3;4},G13,J13,M13,P13),2)+LARGE(CHOOSE({1;2;3;4},G13,J13,M13,P13),3)</f>
        <v>21.7</v>
      </c>
      <c r="T13" s="7">
        <f>LARGE(CHOOSE({1;2;3;4},H13,K13,N13,Q13),1)+LARGE(CHOOSE({1;2;3;4},H13,K13,N13,Q13),2)+LARGE(CHOOSE({1;2;3;4},H13,K13,N13,Q13),3)</f>
        <v>30.9</v>
      </c>
      <c r="U13" s="4" cm="1">
        <f t="array" ref="U13">IF(HB[[#This Row],[Number_of_competition]:[Number_of_competition]]&gt;=3,(LARGE(CHOOSE({1;2;3;4},F13,I13,L13,O13),1)+LARGE(CHOOSE({1;2;3;4},F13,I13,L13,O13),2)+LARGE(CHOOSE({1;2;3;4},F13,I13,L13,O13),3))/3,0)</f>
        <v>3.1333333333333333</v>
      </c>
      <c r="V13" s="7" cm="1">
        <f t="array" ref="V13">IF(HB[[#This Row],[Number_of_competition]:[Number_of_competition]]&gt;=3,(LARGE(CHOOSE({1;2;3;4},G13,J13,M13,P13),1)+LARGE(CHOOSE({1;2;3;4},G13,J13,M13,P13),2)+LARGE(CHOOSE({1;2;3;4},G13,J13,M13,P13),3))/3,0)</f>
        <v>7.2333333333333334</v>
      </c>
      <c r="W13" s="7" cm="1">
        <f t="array" ref="W13">IF(HB[[#This Row],[Number_of_competition]:[Number_of_competition]]&gt;=3,(LARGE(CHOOSE({1;2;3;4},H13,K13,N13,Q13),1)+LARGE(CHOOSE({1;2;3;4},H13,K13,N13,Q13),2)+LARGE(CHOOSE({1;2;3;4},H13,K13,N13,Q13),3))/3,0)</f>
        <v>10.299999999999999</v>
      </c>
      <c r="Y13" s="43"/>
      <c r="Z13" s="20" t="s">
        <v>277</v>
      </c>
      <c r="AA13" s="22" cm="1">
        <f t="array" ref="AA13">SUM(_xlfn._xlws.FILTER(HB[Year_Total_Score],(HB[Category]="junior")*(HB[Number_of_competition]&gt;=3))/COUNTIFS(HB[Number_of_competition],"&gt;=3",HB[Category],"junior"))</f>
        <v>30.795454545454543</v>
      </c>
      <c r="AB13" s="22" cm="1">
        <f t="array" ref="AB13">_xlfn.STDEV.S(_xlfn._xlws.FILTER(HB[Year_Total_Score],(HB[Category]="junior")*(HB[Number_of_competition]&gt;=3)))</f>
        <v>3.0969706606177718</v>
      </c>
      <c r="AC13" s="22" cm="1">
        <f t="array" ref="AC13">MAX(_xlfn._xlws.FILTER(HB[Year_Total_Score],HB[Category]="junior"))</f>
        <v>35.950000000000003</v>
      </c>
    </row>
    <row r="14" spans="1:29" x14ac:dyDescent="0.25">
      <c r="A14" t="s">
        <v>48</v>
      </c>
      <c r="B14" s="2" t="s">
        <v>26</v>
      </c>
      <c r="C14" s="2" t="s">
        <v>49</v>
      </c>
      <c r="D14" t="s">
        <v>36</v>
      </c>
      <c r="E14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4" s="4">
        <v>1.9</v>
      </c>
      <c r="G14" s="7">
        <v>8</v>
      </c>
      <c r="H14" s="7">
        <v>9.9</v>
      </c>
      <c r="I14" s="4">
        <v>1.9</v>
      </c>
      <c r="J14" s="7">
        <v>8.1999999999999993</v>
      </c>
      <c r="K14" s="7">
        <v>10.1</v>
      </c>
      <c r="L14" s="4">
        <v>1.9</v>
      </c>
      <c r="M14" s="7">
        <v>8.6</v>
      </c>
      <c r="N14" s="7">
        <v>10.5</v>
      </c>
      <c r="O14" s="4">
        <v>1.9</v>
      </c>
      <c r="P14" s="7">
        <v>8.1999999999999993</v>
      </c>
      <c r="Q14" s="7">
        <v>10.1</v>
      </c>
      <c r="R14" s="4">
        <f>LARGE(CHOOSE({1;2;3;4},F14,I14,L14,O14),1)+LARGE(CHOOSE({1;2;3;4},F14,I14,L14,O14),2)+LARGE(CHOOSE({1;2;3;4},F14,I14,L14,O14),3)</f>
        <v>5.6999999999999993</v>
      </c>
      <c r="S14" s="7">
        <f>LARGE(CHOOSE({1;2;3;4},G14,J14,M14,P14),1)+LARGE(CHOOSE({1;2;3;4},G14,J14,M14,P14),2)+LARGE(CHOOSE({1;2;3;4},G14,J14,M14,P14),3)</f>
        <v>24.999999999999996</v>
      </c>
      <c r="T14" s="7">
        <f>LARGE(CHOOSE({1;2;3;4},H14,K14,N14,Q14),1)+LARGE(CHOOSE({1;2;3;4},H14,K14,N14,Q14),2)+LARGE(CHOOSE({1;2;3;4},H14,K14,N14,Q14),3)</f>
        <v>30.700000000000003</v>
      </c>
      <c r="U14" s="4" cm="1">
        <f t="array" ref="U14">IF(HB[[#This Row],[Number_of_competition]:[Number_of_competition]]&gt;=3,(LARGE(CHOOSE({1;2;3;4},F14,I14,L14,O14),1)+LARGE(CHOOSE({1;2;3;4},F14,I14,L14,O14),2)+LARGE(CHOOSE({1;2;3;4},F14,I14,L14,O14),3))/3,0)</f>
        <v>1.8999999999999997</v>
      </c>
      <c r="V14" s="7" cm="1">
        <f t="array" ref="V14">IF(HB[[#This Row],[Number_of_competition]:[Number_of_competition]]&gt;=3,(LARGE(CHOOSE({1;2;3;4},G14,J14,M14,P14),1)+LARGE(CHOOSE({1;2;3;4},G14,J14,M14,P14),2)+LARGE(CHOOSE({1;2;3;4},G14,J14,M14,P14),3))/3,0)</f>
        <v>8.3333333333333321</v>
      </c>
      <c r="W14" s="7" cm="1">
        <f t="array" ref="W14">IF(HB[[#This Row],[Number_of_competition]:[Number_of_competition]]&gt;=3,(LARGE(CHOOSE({1;2;3;4},H14,K14,N14,Q14),1)+LARGE(CHOOSE({1;2;3;4},H14,K14,N14,Q14),2)+LARGE(CHOOSE({1;2;3;4},H14,K14,N14,Q14),3))/3,0)</f>
        <v>10.233333333333334</v>
      </c>
    </row>
    <row r="15" spans="1:29" x14ac:dyDescent="0.25">
      <c r="A15" t="s">
        <v>80</v>
      </c>
      <c r="B15" s="2" t="s">
        <v>60</v>
      </c>
      <c r="C15" s="2" t="s">
        <v>81</v>
      </c>
      <c r="D15" t="s">
        <v>62</v>
      </c>
      <c r="E15" s="6">
        <f>COUNTIF(HB[[#This Row],[bydgoszcz_HB_Total_Score]],"&gt;0")+COUNTIF(HB[[#This Row],[zabrze_HB_Total_Score]],"&gt;0")+COUNTIF(HB[[#This Row],[cracow_HB_Total_Score]],"&gt;0")+COUNTIF(HB[[#This Row],[gdansk_HB_Total_Score]],"&gt;0")</f>
        <v>4</v>
      </c>
      <c r="F15" s="4">
        <v>3</v>
      </c>
      <c r="G15" s="7">
        <v>7.6</v>
      </c>
      <c r="H15" s="7">
        <v>10.6</v>
      </c>
      <c r="I15" s="4">
        <v>2.5</v>
      </c>
      <c r="J15" s="7">
        <v>7.9</v>
      </c>
      <c r="K15" s="7">
        <v>10.4</v>
      </c>
      <c r="L15" s="4">
        <v>2.5</v>
      </c>
      <c r="M15" s="7">
        <v>7.2</v>
      </c>
      <c r="N15" s="7">
        <v>9.6999999999999993</v>
      </c>
      <c r="O15" s="4">
        <v>2.2000000000000002</v>
      </c>
      <c r="P15" s="7">
        <v>1</v>
      </c>
      <c r="Q15" s="7">
        <v>3.2</v>
      </c>
      <c r="R15" s="4">
        <f>LARGE(CHOOSE({1;2;3;4},F15,I15,L15,O15),1)+LARGE(CHOOSE({1;2;3;4},F15,I15,L15,O15),2)+LARGE(CHOOSE({1;2;3;4},F15,I15,L15,O15),3)</f>
        <v>8</v>
      </c>
      <c r="S15" s="7">
        <f>LARGE(CHOOSE({1;2;3;4},G15,J15,M15,P15),1)+LARGE(CHOOSE({1;2;3;4},G15,J15,M15,P15),2)+LARGE(CHOOSE({1;2;3;4},G15,J15,M15,P15),3)</f>
        <v>22.7</v>
      </c>
      <c r="T15" s="7">
        <f>LARGE(CHOOSE({1;2;3;4},H15,K15,N15,Q15),1)+LARGE(CHOOSE({1;2;3;4},H15,K15,N15,Q15),2)+LARGE(CHOOSE({1;2;3;4},H15,K15,N15,Q15),3)</f>
        <v>30.7</v>
      </c>
      <c r="U15" s="4" cm="1">
        <f t="array" ref="U15">IF(HB[[#This Row],[Number_of_competition]:[Number_of_competition]]&gt;=3,(LARGE(CHOOSE({1;2;3;4},F15,I15,L15,O15),1)+LARGE(CHOOSE({1;2;3;4},F15,I15,L15,O15),2)+LARGE(CHOOSE({1;2;3;4},F15,I15,L15,O15),3))/3,0)</f>
        <v>2.6666666666666665</v>
      </c>
      <c r="V15" s="7" cm="1">
        <f t="array" ref="V15">IF(HB[[#This Row],[Number_of_competition]:[Number_of_competition]]&gt;=3,(LARGE(CHOOSE({1;2;3;4},G15,J15,M15,P15),1)+LARGE(CHOOSE({1;2;3;4},G15,J15,M15,P15),2)+LARGE(CHOOSE({1;2;3;4},G15,J15,M15,P15),3))/3,0)</f>
        <v>7.5666666666666664</v>
      </c>
      <c r="W15" s="7" cm="1">
        <f t="array" ref="W15">IF(HB[[#This Row],[Number_of_competition]:[Number_of_competition]]&gt;=3,(LARGE(CHOOSE({1;2;3;4},H15,K15,N15,Q15),1)+LARGE(CHOOSE({1;2;3;4},H15,K15,N15,Q15),2)+LARGE(CHOOSE({1;2;3;4},H15,K15,N15,Q15),3))/3,0)</f>
        <v>10.233333333333333</v>
      </c>
      <c r="Y15" s="28" t="s">
        <v>296</v>
      </c>
    </row>
    <row r="16" spans="1:29" x14ac:dyDescent="0.25">
      <c r="A16" t="s">
        <v>29</v>
      </c>
      <c r="B16" s="2" t="s">
        <v>26</v>
      </c>
      <c r="C16" s="2" t="s">
        <v>30</v>
      </c>
      <c r="D16" t="s">
        <v>31</v>
      </c>
      <c r="E16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6" s="4">
        <v>2.4</v>
      </c>
      <c r="G16" s="7">
        <v>7.9</v>
      </c>
      <c r="H16" s="7">
        <v>10.3</v>
      </c>
      <c r="I16" s="4">
        <v>3</v>
      </c>
      <c r="J16" s="7">
        <v>7.9</v>
      </c>
      <c r="K16" s="7">
        <v>10.9</v>
      </c>
      <c r="L16" s="4">
        <v>0</v>
      </c>
      <c r="M16" s="7">
        <v>0</v>
      </c>
      <c r="N16" s="7">
        <v>0</v>
      </c>
      <c r="O16" s="4">
        <v>2.7</v>
      </c>
      <c r="P16" s="7">
        <v>6.7</v>
      </c>
      <c r="Q16" s="7">
        <v>9.4</v>
      </c>
      <c r="R16" s="4">
        <f>LARGE(CHOOSE({1;2;3;4},F16,I16,L16,O16),1)+LARGE(CHOOSE({1;2;3;4},F16,I16,L16,O16),2)+LARGE(CHOOSE({1;2;3;4},F16,I16,L16,O16),3)</f>
        <v>8.1</v>
      </c>
      <c r="S16" s="7">
        <f>LARGE(CHOOSE({1;2;3;4},G16,J16,M16,P16),1)+LARGE(CHOOSE({1;2;3;4},G16,J16,M16,P16),2)+LARGE(CHOOSE({1;2;3;4},G16,J16,M16,P16),3)</f>
        <v>22.5</v>
      </c>
      <c r="T16" s="7">
        <f>LARGE(CHOOSE({1;2;3;4},H16,K16,N16,Q16),1)+LARGE(CHOOSE({1;2;3;4},H16,K16,N16,Q16),2)+LARGE(CHOOSE({1;2;3;4},H16,K16,N16,Q16),3)</f>
        <v>30.6</v>
      </c>
      <c r="U16" s="4" cm="1">
        <f t="array" ref="U16">IF(HB[[#This Row],[Number_of_competition]:[Number_of_competition]]&gt;=3,(LARGE(CHOOSE({1;2;3;4},F16,I16,L16,O16),1)+LARGE(CHOOSE({1;2;3;4},F16,I16,L16,O16),2)+LARGE(CHOOSE({1;2;3;4},F16,I16,L16,O16),3))/3,0)</f>
        <v>2.6999999999999997</v>
      </c>
      <c r="V16" s="7" cm="1">
        <f t="array" ref="V16">IF(HB[[#This Row],[Number_of_competition]:[Number_of_competition]]&gt;=3,(LARGE(CHOOSE({1;2;3;4},G16,J16,M16,P16),1)+LARGE(CHOOSE({1;2;3;4},G16,J16,M16,P16),2)+LARGE(CHOOSE({1;2;3;4},G16,J16,M16,P16),3))/3,0)</f>
        <v>7.5</v>
      </c>
      <c r="W16" s="7" cm="1">
        <f t="array" ref="W16">IF(HB[[#This Row],[Number_of_competition]:[Number_of_competition]]&gt;=3,(LARGE(CHOOSE({1;2;3;4},H16,K16,N16,Q16),1)+LARGE(CHOOSE({1;2;3;4},H16,K16,N16,Q16),2)+LARGE(CHOOSE({1;2;3;4},H16,K16,N16,Q16),3))/3,0)</f>
        <v>10.200000000000001</v>
      </c>
      <c r="Y16" s="29" t="s">
        <v>297</v>
      </c>
    </row>
    <row r="17" spans="1:25" x14ac:dyDescent="0.25">
      <c r="A17" t="s">
        <v>40</v>
      </c>
      <c r="B17" s="2" t="s">
        <v>26</v>
      </c>
      <c r="C17" s="2" t="s">
        <v>41</v>
      </c>
      <c r="D17" t="s">
        <v>39</v>
      </c>
      <c r="E17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7" s="4">
        <v>0</v>
      </c>
      <c r="G17" s="7">
        <v>0</v>
      </c>
      <c r="H17" s="7">
        <v>0</v>
      </c>
      <c r="I17" s="4">
        <v>2.7</v>
      </c>
      <c r="J17" s="7">
        <v>8</v>
      </c>
      <c r="K17" s="7">
        <v>10.7</v>
      </c>
      <c r="L17" s="4">
        <v>2.6</v>
      </c>
      <c r="M17" s="7">
        <v>7.65</v>
      </c>
      <c r="N17" s="7">
        <v>10.25</v>
      </c>
      <c r="O17" s="4">
        <v>2.4</v>
      </c>
      <c r="P17" s="7">
        <v>7.2</v>
      </c>
      <c r="Q17" s="7">
        <v>9.6</v>
      </c>
      <c r="R17" s="4">
        <f>LARGE(CHOOSE({1;2;3;4},F17,I17,L17,O17),1)+LARGE(CHOOSE({1;2;3;4},F17,I17,L17,O17),2)+LARGE(CHOOSE({1;2;3;4},F17,I17,L17,O17),3)</f>
        <v>7.7000000000000011</v>
      </c>
      <c r="S17" s="7">
        <f>LARGE(CHOOSE({1;2;3;4},G17,J17,M17,P17),1)+LARGE(CHOOSE({1;2;3;4},G17,J17,M17,P17),2)+LARGE(CHOOSE({1;2;3;4},G17,J17,M17,P17),3)</f>
        <v>22.85</v>
      </c>
      <c r="T17" s="7">
        <f>LARGE(CHOOSE({1;2;3;4},H17,K17,N17,Q17),1)+LARGE(CHOOSE({1;2;3;4},H17,K17,N17,Q17),2)+LARGE(CHOOSE({1;2;3;4},H17,K17,N17,Q17),3)</f>
        <v>30.549999999999997</v>
      </c>
      <c r="U17" s="4" cm="1">
        <f t="array" ref="U17">IF(HB[[#This Row],[Number_of_competition]:[Number_of_competition]]&gt;=3,(LARGE(CHOOSE({1;2;3;4},F17,I17,L17,O17),1)+LARGE(CHOOSE({1;2;3;4},F17,I17,L17,O17),2)+LARGE(CHOOSE({1;2;3;4},F17,I17,L17,O17),3))/3,0)</f>
        <v>2.5666666666666669</v>
      </c>
      <c r="V17" s="7" cm="1">
        <f t="array" ref="V17">IF(HB[[#This Row],[Number_of_competition]:[Number_of_competition]]&gt;=3,(LARGE(CHOOSE({1;2;3;4},G17,J17,M17,P17),1)+LARGE(CHOOSE({1;2;3;4},G17,J17,M17,P17),2)+LARGE(CHOOSE({1;2;3;4},G17,J17,M17,P17),3))/3,0)</f>
        <v>7.6166666666666671</v>
      </c>
      <c r="W17" s="7" cm="1">
        <f t="array" ref="W17">IF(HB[[#This Row],[Number_of_competition]:[Number_of_competition]]&gt;=3,(LARGE(CHOOSE({1;2;3;4},H17,K17,N17,Q17),1)+LARGE(CHOOSE({1;2;3;4},H17,K17,N17,Q17),2)+LARGE(CHOOSE({1;2;3;4},H17,K17,N17,Q17),3))/3,0)</f>
        <v>10.183333333333332</v>
      </c>
      <c r="Y17" s="30" t="s">
        <v>298</v>
      </c>
    </row>
    <row r="18" spans="1:25" x14ac:dyDescent="0.25">
      <c r="A18" t="s">
        <v>42</v>
      </c>
      <c r="B18" s="2" t="s">
        <v>26</v>
      </c>
      <c r="C18" s="2" t="s">
        <v>43</v>
      </c>
      <c r="D18" t="s">
        <v>36</v>
      </c>
      <c r="E18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8" s="4">
        <v>0</v>
      </c>
      <c r="G18" s="7">
        <v>0</v>
      </c>
      <c r="H18" s="7">
        <v>0</v>
      </c>
      <c r="I18" s="4">
        <v>1.8</v>
      </c>
      <c r="J18" s="7">
        <v>8.4</v>
      </c>
      <c r="K18" s="7">
        <v>10.199999999999999</v>
      </c>
      <c r="L18" s="4">
        <v>1.8</v>
      </c>
      <c r="M18" s="7">
        <v>8.4</v>
      </c>
      <c r="N18" s="7">
        <v>10.199999999999999</v>
      </c>
      <c r="O18" s="4">
        <v>1.8</v>
      </c>
      <c r="P18" s="7">
        <v>7.9</v>
      </c>
      <c r="Q18" s="7">
        <v>9.6999999999999993</v>
      </c>
      <c r="R18" s="4">
        <f>LARGE(CHOOSE({1;2;3;4},F18,I18,L18,O18),1)+LARGE(CHOOSE({1;2;3;4},F18,I18,L18,O18),2)+LARGE(CHOOSE({1;2;3;4},F18,I18,L18,O18),3)</f>
        <v>5.4</v>
      </c>
      <c r="S18" s="7">
        <f>LARGE(CHOOSE({1;2;3;4},G18,J18,M18,P18),1)+LARGE(CHOOSE({1;2;3;4},G18,J18,M18,P18),2)+LARGE(CHOOSE({1;2;3;4},G18,J18,M18,P18),3)</f>
        <v>24.700000000000003</v>
      </c>
      <c r="T18" s="7">
        <f>LARGE(CHOOSE({1;2;3;4},H18,K18,N18,Q18),1)+LARGE(CHOOSE({1;2;3;4},H18,K18,N18,Q18),2)+LARGE(CHOOSE({1;2;3;4},H18,K18,N18,Q18),3)</f>
        <v>30.099999999999998</v>
      </c>
      <c r="U18" s="4" cm="1">
        <f t="array" ref="U18">IF(HB[[#This Row],[Number_of_competition]:[Number_of_competition]]&gt;=3,(LARGE(CHOOSE({1;2;3;4},F18,I18,L18,O18),1)+LARGE(CHOOSE({1;2;3;4},F18,I18,L18,O18),2)+LARGE(CHOOSE({1;2;3;4},F18,I18,L18,O18),3))/3,0)</f>
        <v>1.8</v>
      </c>
      <c r="V18" s="7" cm="1">
        <f t="array" ref="V18">IF(HB[[#This Row],[Number_of_competition]:[Number_of_competition]]&gt;=3,(LARGE(CHOOSE({1;2;3;4},G18,J18,M18,P18),1)+LARGE(CHOOSE({1;2;3;4},G18,J18,M18,P18),2)+LARGE(CHOOSE({1;2;3;4},G18,J18,M18,P18),3))/3,0)</f>
        <v>8.2333333333333343</v>
      </c>
      <c r="W18" s="7" cm="1">
        <f t="array" ref="W18">IF(HB[[#This Row],[Number_of_competition]:[Number_of_competition]]&gt;=3,(LARGE(CHOOSE({1;2;3;4},H18,K18,N18,Q18),1)+LARGE(CHOOSE({1;2;3;4},H18,K18,N18,Q18),2)+LARGE(CHOOSE({1;2;3;4},H18,K18,N18,Q18),3))/3,0)</f>
        <v>10.033333333333333</v>
      </c>
      <c r="Y18" s="31" t="s">
        <v>300</v>
      </c>
    </row>
    <row r="19" spans="1:25" x14ac:dyDescent="0.25">
      <c r="A19" t="s">
        <v>114</v>
      </c>
      <c r="B19" s="2" t="s">
        <v>26</v>
      </c>
      <c r="C19" s="2" t="s">
        <v>115</v>
      </c>
      <c r="D19" t="s">
        <v>36</v>
      </c>
      <c r="E19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19" s="4">
        <v>1.8</v>
      </c>
      <c r="G19" s="7">
        <v>8</v>
      </c>
      <c r="H19" s="7">
        <v>9.8000000000000007</v>
      </c>
      <c r="I19" s="4">
        <v>0</v>
      </c>
      <c r="J19" s="7">
        <v>0</v>
      </c>
      <c r="K19" s="7">
        <v>0</v>
      </c>
      <c r="L19" s="4">
        <v>1.8</v>
      </c>
      <c r="M19" s="7">
        <v>8.8000000000000007</v>
      </c>
      <c r="N19" s="7">
        <v>10.6</v>
      </c>
      <c r="O19" s="4">
        <v>1.8</v>
      </c>
      <c r="P19" s="7">
        <v>7.8</v>
      </c>
      <c r="Q19" s="7">
        <v>9.6</v>
      </c>
      <c r="R19" s="4">
        <f>LARGE(CHOOSE({1;2;3;4},F19,I19,L19,O19),1)+LARGE(CHOOSE({1;2;3;4},F19,I19,L19,O19),2)+LARGE(CHOOSE({1;2;3;4},F19,I19,L19,O19),3)</f>
        <v>5.4</v>
      </c>
      <c r="S19" s="7">
        <f>LARGE(CHOOSE({1;2;3;4},G19,J19,M19,P19),1)+LARGE(CHOOSE({1;2;3;4},G19,J19,M19,P19),2)+LARGE(CHOOSE({1;2;3;4},G19,J19,M19,P19),3)</f>
        <v>24.6</v>
      </c>
      <c r="T19" s="7">
        <f>LARGE(CHOOSE({1;2;3;4},H19,K19,N19,Q19),1)+LARGE(CHOOSE({1;2;3;4},H19,K19,N19,Q19),2)+LARGE(CHOOSE({1;2;3;4},H19,K19,N19,Q19),3)</f>
        <v>30</v>
      </c>
      <c r="U19" s="4" cm="1">
        <f t="array" ref="U19">IF(HB[[#This Row],[Number_of_competition]:[Number_of_competition]]&gt;=3,(LARGE(CHOOSE({1;2;3;4},F19,I19,L19,O19),1)+LARGE(CHOOSE({1;2;3;4},F19,I19,L19,O19),2)+LARGE(CHOOSE({1;2;3;4},F19,I19,L19,O19),3))/3,0)</f>
        <v>1.8</v>
      </c>
      <c r="V19" s="7" cm="1">
        <f t="array" ref="V19">IF(HB[[#This Row],[Number_of_competition]:[Number_of_competition]]&gt;=3,(LARGE(CHOOSE({1;2;3;4},G19,J19,M19,P19),1)+LARGE(CHOOSE({1;2;3;4},G19,J19,M19,P19),2)+LARGE(CHOOSE({1;2;3;4},G19,J19,M19,P19),3))/3,0)</f>
        <v>8.2000000000000011</v>
      </c>
      <c r="W19" s="7" cm="1">
        <f t="array" ref="W19">IF(HB[[#This Row],[Number_of_competition]:[Number_of_competition]]&gt;=3,(LARGE(CHOOSE({1;2;3;4},H19,K19,N19,Q19),1)+LARGE(CHOOSE({1;2;3;4},H19,K19,N19,Q19),2)+LARGE(CHOOSE({1;2;3;4},H19,K19,N19,Q19),3))/3,0)</f>
        <v>10</v>
      </c>
      <c r="Y19" s="32" t="s">
        <v>299</v>
      </c>
    </row>
    <row r="20" spans="1:25" x14ac:dyDescent="0.25">
      <c r="A20" t="s">
        <v>100</v>
      </c>
      <c r="B20" s="2" t="s">
        <v>60</v>
      </c>
      <c r="C20" s="2" t="s">
        <v>101</v>
      </c>
      <c r="D20" t="s">
        <v>31</v>
      </c>
      <c r="E20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20" s="4">
        <v>2.7</v>
      </c>
      <c r="G20" s="7">
        <v>6.8</v>
      </c>
      <c r="H20" s="7">
        <v>9.5</v>
      </c>
      <c r="I20" s="4">
        <v>2</v>
      </c>
      <c r="J20" s="7">
        <v>5.2</v>
      </c>
      <c r="K20" s="7">
        <v>7.2</v>
      </c>
      <c r="L20" s="4">
        <v>2.1</v>
      </c>
      <c r="M20" s="7">
        <v>8.5</v>
      </c>
      <c r="N20" s="7">
        <v>10.6</v>
      </c>
      <c r="O20" s="4">
        <v>0</v>
      </c>
      <c r="P20" s="7">
        <v>0</v>
      </c>
      <c r="Q20" s="7">
        <v>0</v>
      </c>
      <c r="R20" s="4">
        <f>LARGE(CHOOSE({1;2;3;4},F20,I20,L20,O20),1)+LARGE(CHOOSE({1;2;3;4},F20,I20,L20,O20),2)+LARGE(CHOOSE({1;2;3;4},F20,I20,L20,O20),3)</f>
        <v>6.8000000000000007</v>
      </c>
      <c r="S20" s="7">
        <f>LARGE(CHOOSE({1;2;3;4},G20,J20,M20,P20),1)+LARGE(CHOOSE({1;2;3;4},G20,J20,M20,P20),2)+LARGE(CHOOSE({1;2;3;4},G20,J20,M20,P20),3)</f>
        <v>20.5</v>
      </c>
      <c r="T20" s="7">
        <f>LARGE(CHOOSE({1;2;3;4},H20,K20,N20,Q20),1)+LARGE(CHOOSE({1;2;3;4},H20,K20,N20,Q20),2)+LARGE(CHOOSE({1;2;3;4},H20,K20,N20,Q20),3)</f>
        <v>27.3</v>
      </c>
      <c r="U20" s="4" cm="1">
        <f t="array" ref="U20">IF(HB[[#This Row],[Number_of_competition]:[Number_of_competition]]&gt;=3,(LARGE(CHOOSE({1;2;3;4},F20,I20,L20,O20),1)+LARGE(CHOOSE({1;2;3;4},F20,I20,L20,O20),2)+LARGE(CHOOSE({1;2;3;4},F20,I20,L20,O20),3))/3,0)</f>
        <v>2.2666666666666671</v>
      </c>
      <c r="V20" s="7" cm="1">
        <f t="array" ref="V20">IF(HB[[#This Row],[Number_of_competition]:[Number_of_competition]]&gt;=3,(LARGE(CHOOSE({1;2;3;4},G20,J20,M20,P20),1)+LARGE(CHOOSE({1;2;3;4},G20,J20,M20,P20),2)+LARGE(CHOOSE({1;2;3;4},G20,J20,M20,P20),3))/3,0)</f>
        <v>6.833333333333333</v>
      </c>
      <c r="W20" s="7" cm="1">
        <f t="array" ref="W20">IF(HB[[#This Row],[Number_of_competition]:[Number_of_competition]]&gt;=3,(LARGE(CHOOSE({1;2;3;4},H20,K20,N20,Q20),1)+LARGE(CHOOSE({1;2;3;4},H20,K20,N20,Q20),2)+LARGE(CHOOSE({1;2;3;4},H20,K20,N20,Q20),3))/3,0)</f>
        <v>9.1</v>
      </c>
      <c r="Y20" s="33" t="s">
        <v>252</v>
      </c>
    </row>
    <row r="21" spans="1:25" x14ac:dyDescent="0.25">
      <c r="A21" t="s">
        <v>127</v>
      </c>
      <c r="B21" s="2" t="s">
        <v>60</v>
      </c>
      <c r="C21" s="2" t="s">
        <v>128</v>
      </c>
      <c r="D21" t="s">
        <v>72</v>
      </c>
      <c r="E21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1" s="4">
        <v>4.0999999999999996</v>
      </c>
      <c r="G21" s="7">
        <v>8.4</v>
      </c>
      <c r="H21" s="7">
        <v>12.5</v>
      </c>
      <c r="I21" s="4">
        <v>0</v>
      </c>
      <c r="J21" s="7">
        <v>0</v>
      </c>
      <c r="K21" s="7">
        <v>0</v>
      </c>
      <c r="L21" s="4">
        <v>4</v>
      </c>
      <c r="M21" s="7">
        <v>8.0500000000000007</v>
      </c>
      <c r="N21" s="7">
        <v>12.05</v>
      </c>
      <c r="O21" s="4">
        <v>0</v>
      </c>
      <c r="P21" s="7">
        <v>0</v>
      </c>
      <c r="Q21" s="7">
        <v>0</v>
      </c>
      <c r="R21" s="4">
        <f>LARGE(CHOOSE({1;2;3;4},F21,I21,L21,O21),1)+LARGE(CHOOSE({1;2;3;4},F21,I21,L21,O21),2)+LARGE(CHOOSE({1;2;3;4},F21,I21,L21,O21),3)</f>
        <v>8.1</v>
      </c>
      <c r="S21" s="7">
        <f>LARGE(CHOOSE({1;2;3;4},G21,J21,M21,P21),1)+LARGE(CHOOSE({1;2;3;4},G21,J21,M21,P21),2)+LARGE(CHOOSE({1;2;3;4},G21,J21,M21,P21),3)</f>
        <v>16.450000000000003</v>
      </c>
      <c r="T21" s="7">
        <f>LARGE(CHOOSE({1;2;3;4},H21,K21,N21,Q21),1)+LARGE(CHOOSE({1;2;3;4},H21,K21,N21,Q21),2)+LARGE(CHOOSE({1;2;3;4},H21,K21,N21,Q21),3)</f>
        <v>24.55</v>
      </c>
      <c r="U21" s="4" cm="1">
        <f t="array" ref="U21">IF(HB[[#This Row],[Number_of_competition]:[Number_of_competition]]&gt;=3,(LARGE(CHOOSE({1;2;3;4},F21,I21,L21,O21),1)+LARGE(CHOOSE({1;2;3;4},F21,I21,L21,O21),2)+LARGE(CHOOSE({1;2;3;4},F21,I21,L21,O21),3))/3,0)</f>
        <v>0</v>
      </c>
      <c r="V21" s="7" cm="1">
        <f t="array" ref="V21">IF(HB[[#This Row],[Number_of_competition]:[Number_of_competition]]&gt;=3,(LARGE(CHOOSE({1;2;3;4},G21,J21,M21,P21),1)+LARGE(CHOOSE({1;2;3;4},G21,J21,M21,P21),2)+LARGE(CHOOSE({1;2;3;4},G21,J21,M21,P21),3))/3,0)</f>
        <v>0</v>
      </c>
      <c r="W21" s="7" cm="1">
        <f t="array" ref="W21">IF(HB[[#This Row],[Number_of_competition]:[Number_of_competition]]&gt;=3,(LARGE(CHOOSE({1;2;3;4},H21,K21,N21,Q21),1)+LARGE(CHOOSE({1;2;3;4},H21,K21,N21,Q21),2)+LARGE(CHOOSE({1;2;3;4},H21,K21,N21,Q21),3))/3,0)</f>
        <v>0</v>
      </c>
      <c r="Y21" s="34" t="s">
        <v>301</v>
      </c>
    </row>
    <row r="22" spans="1:25" x14ac:dyDescent="0.25">
      <c r="A22" t="s">
        <v>46</v>
      </c>
      <c r="B22" s="2" t="s">
        <v>26</v>
      </c>
      <c r="C22" s="2" t="s">
        <v>47</v>
      </c>
      <c r="D22" t="s">
        <v>36</v>
      </c>
      <c r="E22" s="6">
        <f>COUNTIF(HB[[#This Row],[bydgoszcz_HB_Total_Score]],"&gt;0")+COUNTIF(HB[[#This Row],[zabrze_HB_Total_Score]],"&gt;0")+COUNTIF(HB[[#This Row],[cracow_HB_Total_Score]],"&gt;0")+COUNTIF(HB[[#This Row],[gdansk_HB_Total_Score]],"&gt;0")</f>
        <v>3</v>
      </c>
      <c r="F22" s="4">
        <v>0</v>
      </c>
      <c r="G22" s="7">
        <v>0</v>
      </c>
      <c r="H22" s="7">
        <v>0</v>
      </c>
      <c r="I22" s="4">
        <v>1.8</v>
      </c>
      <c r="J22" s="7">
        <v>7.7</v>
      </c>
      <c r="K22" s="7">
        <v>9.5</v>
      </c>
      <c r="L22" s="4">
        <v>1.9</v>
      </c>
      <c r="M22" s="7">
        <v>7.75</v>
      </c>
      <c r="N22" s="7">
        <v>9.65</v>
      </c>
      <c r="O22" s="4">
        <v>1.5</v>
      </c>
      <c r="P22" s="7">
        <v>2.5</v>
      </c>
      <c r="Q22" s="7">
        <v>4</v>
      </c>
      <c r="R22" s="4">
        <f>LARGE(CHOOSE({1;2;3;4},F22,I22,L22,O22),1)+LARGE(CHOOSE({1;2;3;4},F22,I22,L22,O22),2)+LARGE(CHOOSE({1;2;3;4},F22,I22,L22,O22),3)</f>
        <v>5.2</v>
      </c>
      <c r="S22" s="7">
        <f>LARGE(CHOOSE({1;2;3;4},G22,J22,M22,P22),1)+LARGE(CHOOSE({1;2;3;4},G22,J22,M22,P22),2)+LARGE(CHOOSE({1;2;3;4},G22,J22,M22,P22),3)</f>
        <v>17.95</v>
      </c>
      <c r="T22" s="7">
        <f>LARGE(CHOOSE({1;2;3;4},H22,K22,N22,Q22),1)+LARGE(CHOOSE({1;2;3;4},H22,K22,N22,Q22),2)+LARGE(CHOOSE({1;2;3;4},H22,K22,N22,Q22),3)</f>
        <v>23.15</v>
      </c>
      <c r="U22" s="4" cm="1">
        <f t="array" ref="U22">IF(HB[[#This Row],[Number_of_competition]:[Number_of_competition]]&gt;=3,(LARGE(CHOOSE({1;2;3;4},F22,I22,L22,O22),1)+LARGE(CHOOSE({1;2;3;4},F22,I22,L22,O22),2)+LARGE(CHOOSE({1;2;3;4},F22,I22,L22,O22),3))/3,0)</f>
        <v>1.7333333333333334</v>
      </c>
      <c r="V22" s="7" cm="1">
        <f t="array" ref="V22">IF(HB[[#This Row],[Number_of_competition]:[Number_of_competition]]&gt;=3,(LARGE(CHOOSE({1;2;3;4},G22,J22,M22,P22),1)+LARGE(CHOOSE({1;2;3;4},G22,J22,M22,P22),2)+LARGE(CHOOSE({1;2;3;4},G22,J22,M22,P22),3))/3,0)</f>
        <v>5.9833333333333334</v>
      </c>
      <c r="W22" s="7" cm="1">
        <f t="array" ref="W22">IF(HB[[#This Row],[Number_of_competition]:[Number_of_competition]]&gt;=3,(LARGE(CHOOSE({1;2;3;4},H22,K22,N22,Q22),1)+LARGE(CHOOSE({1;2;3;4},H22,K22,N22,Q22),2)+LARGE(CHOOSE({1;2;3;4},H22,K22,N22,Q22),3))/3,0)</f>
        <v>7.7166666666666659</v>
      </c>
      <c r="Y22" s="37" t="s">
        <v>304</v>
      </c>
    </row>
    <row r="23" spans="1:25" x14ac:dyDescent="0.25">
      <c r="A23" t="s">
        <v>70</v>
      </c>
      <c r="B23" s="2" t="s">
        <v>60</v>
      </c>
      <c r="C23" s="2" t="s">
        <v>71</v>
      </c>
      <c r="D23" t="s">
        <v>72</v>
      </c>
      <c r="E23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3" s="4">
        <v>0</v>
      </c>
      <c r="G23" s="7">
        <v>0</v>
      </c>
      <c r="H23" s="7">
        <v>0</v>
      </c>
      <c r="I23" s="4">
        <v>3.7</v>
      </c>
      <c r="J23" s="7">
        <v>7.95</v>
      </c>
      <c r="K23" s="7">
        <v>11.65</v>
      </c>
      <c r="L23" s="4">
        <v>3.7</v>
      </c>
      <c r="M23" s="7">
        <v>7.4</v>
      </c>
      <c r="N23" s="7">
        <v>11.1</v>
      </c>
      <c r="O23" s="4">
        <v>0</v>
      </c>
      <c r="P23" s="7">
        <v>0</v>
      </c>
      <c r="Q23" s="7">
        <v>0</v>
      </c>
      <c r="R23" s="4">
        <f>LARGE(CHOOSE({1;2;3;4},F23,I23,L23,O23),1)+LARGE(CHOOSE({1;2;3;4},F23,I23,L23,O23),2)+LARGE(CHOOSE({1;2;3;4},F23,I23,L23,O23),3)</f>
        <v>7.4</v>
      </c>
      <c r="S23" s="7">
        <f>LARGE(CHOOSE({1;2;3;4},G23,J23,M23,P23),1)+LARGE(CHOOSE({1;2;3;4},G23,J23,M23,P23),2)+LARGE(CHOOSE({1;2;3;4},G23,J23,M23,P23),3)</f>
        <v>15.350000000000001</v>
      </c>
      <c r="T23" s="7">
        <f>LARGE(CHOOSE({1;2;3;4},H23,K23,N23,Q23),1)+LARGE(CHOOSE({1;2;3;4},H23,K23,N23,Q23),2)+LARGE(CHOOSE({1;2;3;4},H23,K23,N23,Q23),3)</f>
        <v>22.75</v>
      </c>
      <c r="U23" s="4" cm="1">
        <f t="array" ref="U23">IF(HB[[#This Row],[Number_of_competition]:[Number_of_competition]]&gt;=3,(LARGE(CHOOSE({1;2;3;4},F23,I23,L23,O23),1)+LARGE(CHOOSE({1;2;3;4},F23,I23,L23,O23),2)+LARGE(CHOOSE({1;2;3;4},F23,I23,L23,O23),3))/3,0)</f>
        <v>0</v>
      </c>
      <c r="V23" s="7" cm="1">
        <f t="array" ref="V23">IF(HB[[#This Row],[Number_of_competition]:[Number_of_competition]]&gt;=3,(LARGE(CHOOSE({1;2;3;4},G23,J23,M23,P23),1)+LARGE(CHOOSE({1;2;3;4},G23,J23,M23,P23),2)+LARGE(CHOOSE({1;2;3;4},G23,J23,M23,P23),3))/3,0)</f>
        <v>0</v>
      </c>
      <c r="W23" s="7" cm="1">
        <f t="array" ref="W23">IF(HB[[#This Row],[Number_of_competition]:[Number_of_competition]]&gt;=3,(LARGE(CHOOSE({1;2;3;4},H23,K23,N23,Q23),1)+LARGE(CHOOSE({1;2;3;4},H23,K23,N23,Q23),2)+LARGE(CHOOSE({1;2;3;4},H23,K23,N23,Q23),3))/3,0)</f>
        <v>0</v>
      </c>
      <c r="Y23" s="35" t="s">
        <v>302</v>
      </c>
    </row>
    <row r="24" spans="1:25" x14ac:dyDescent="0.25">
      <c r="A24" t="s">
        <v>65</v>
      </c>
      <c r="B24" s="2" t="s">
        <v>60</v>
      </c>
      <c r="C24" s="2" t="s">
        <v>66</v>
      </c>
      <c r="D24" t="s">
        <v>67</v>
      </c>
      <c r="E24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4" s="4">
        <v>0</v>
      </c>
      <c r="G24" s="7">
        <v>0</v>
      </c>
      <c r="H24" s="7">
        <v>0</v>
      </c>
      <c r="I24" s="4">
        <v>3.6</v>
      </c>
      <c r="J24" s="7">
        <v>7.1</v>
      </c>
      <c r="K24" s="7">
        <v>10.7</v>
      </c>
      <c r="L24" s="4">
        <v>0</v>
      </c>
      <c r="M24" s="7">
        <v>0</v>
      </c>
      <c r="N24" s="7">
        <v>0</v>
      </c>
      <c r="O24" s="4">
        <v>3.6</v>
      </c>
      <c r="P24" s="7">
        <v>8.3000000000000007</v>
      </c>
      <c r="Q24" s="7">
        <v>11.9</v>
      </c>
      <c r="R24" s="4">
        <f>LARGE(CHOOSE({1;2;3;4},F24,I24,L24,O24),1)+LARGE(CHOOSE({1;2;3;4},F24,I24,L24,O24),2)+LARGE(CHOOSE({1;2;3;4},F24,I24,L24,O24),3)</f>
        <v>7.2</v>
      </c>
      <c r="S24" s="7">
        <f>LARGE(CHOOSE({1;2;3;4},G24,J24,M24,P24),1)+LARGE(CHOOSE({1;2;3;4},G24,J24,M24,P24),2)+LARGE(CHOOSE({1;2;3;4},G24,J24,M24,P24),3)</f>
        <v>15.4</v>
      </c>
      <c r="T24" s="7">
        <f>LARGE(CHOOSE({1;2;3;4},H24,K24,N24,Q24),1)+LARGE(CHOOSE({1;2;3;4},H24,K24,N24,Q24),2)+LARGE(CHOOSE({1;2;3;4},H24,K24,N24,Q24),3)</f>
        <v>22.6</v>
      </c>
      <c r="U24" s="4" cm="1">
        <f t="array" ref="U24">IF(HB[[#This Row],[Number_of_competition]:[Number_of_competition]]&gt;=3,(LARGE(CHOOSE({1;2;3;4},F24,I24,L24,O24),1)+LARGE(CHOOSE({1;2;3;4},F24,I24,L24,O24),2)+LARGE(CHOOSE({1;2;3;4},F24,I24,L24,O24),3))/3,0)</f>
        <v>0</v>
      </c>
      <c r="V24" s="7" cm="1">
        <f t="array" ref="V24">IF(HB[[#This Row],[Number_of_competition]:[Number_of_competition]]&gt;=3,(LARGE(CHOOSE({1;2;3;4},G24,J24,M24,P24),1)+LARGE(CHOOSE({1;2;3;4},G24,J24,M24,P24),2)+LARGE(CHOOSE({1;2;3;4},G24,J24,M24,P24),3))/3,0)</f>
        <v>0</v>
      </c>
      <c r="W24" s="7" cm="1">
        <f t="array" ref="W24">IF(HB[[#This Row],[Number_of_competition]:[Number_of_competition]]&gt;=3,(LARGE(CHOOSE({1;2;3;4},H24,K24,N24,Q24),1)+LARGE(CHOOSE({1;2;3;4},H24,K24,N24,Q24),2)+LARGE(CHOOSE({1;2;3;4},H24,K24,N24,Q24),3))/3,0)</f>
        <v>0</v>
      </c>
      <c r="Y24" s="36" t="s">
        <v>303</v>
      </c>
    </row>
    <row r="25" spans="1:25" x14ac:dyDescent="0.25">
      <c r="A25" t="s">
        <v>50</v>
      </c>
      <c r="B25" s="2" t="s">
        <v>26</v>
      </c>
      <c r="C25" s="2" t="s">
        <v>51</v>
      </c>
      <c r="D25" t="s">
        <v>36</v>
      </c>
      <c r="E25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5" s="4">
        <v>0</v>
      </c>
      <c r="G25" s="7">
        <v>0</v>
      </c>
      <c r="H25" s="7">
        <v>0</v>
      </c>
      <c r="I25" s="4">
        <v>2.7</v>
      </c>
      <c r="J25" s="7">
        <v>8</v>
      </c>
      <c r="K25" s="7">
        <v>10.7</v>
      </c>
      <c r="L25" s="4">
        <v>2.7</v>
      </c>
      <c r="M25" s="7">
        <v>9.1</v>
      </c>
      <c r="N25" s="7">
        <v>11.8</v>
      </c>
      <c r="O25" s="4">
        <v>0</v>
      </c>
      <c r="P25" s="7">
        <v>0</v>
      </c>
      <c r="Q25" s="7">
        <v>0</v>
      </c>
      <c r="R25" s="4">
        <f>LARGE(CHOOSE({1;2;3;4},F25,I25,L25,O25),1)+LARGE(CHOOSE({1;2;3;4},F25,I25,L25,O25),2)+LARGE(CHOOSE({1;2;3;4},F25,I25,L25,O25),3)</f>
        <v>5.4</v>
      </c>
      <c r="S25" s="7">
        <f>LARGE(CHOOSE({1;2;3;4},G25,J25,M25,P25),1)+LARGE(CHOOSE({1;2;3;4},G25,J25,M25,P25),2)+LARGE(CHOOSE({1;2;3;4},G25,J25,M25,P25),3)</f>
        <v>17.100000000000001</v>
      </c>
      <c r="T25" s="7">
        <f>LARGE(CHOOSE({1;2;3;4},H25,K25,N25,Q25),1)+LARGE(CHOOSE({1;2;3;4},H25,K25,N25,Q25),2)+LARGE(CHOOSE({1;2;3;4},H25,K25,N25,Q25),3)</f>
        <v>22.5</v>
      </c>
      <c r="U25" s="4" cm="1">
        <f t="array" ref="U25">IF(HB[[#This Row],[Number_of_competition]:[Number_of_competition]]&gt;=3,(LARGE(CHOOSE({1;2;3;4},F25,I25,L25,O25),1)+LARGE(CHOOSE({1;2;3;4},F25,I25,L25,O25),2)+LARGE(CHOOSE({1;2;3;4},F25,I25,L25,O25),3))/3,0)</f>
        <v>0</v>
      </c>
      <c r="V25" s="7" cm="1">
        <f t="array" ref="V25">IF(HB[[#This Row],[Number_of_competition]:[Number_of_competition]]&gt;=3,(LARGE(CHOOSE({1;2;3;4},G25,J25,M25,P25),1)+LARGE(CHOOSE({1;2;3;4},G25,J25,M25,P25),2)+LARGE(CHOOSE({1;2;3;4},G25,J25,M25,P25),3))/3,0)</f>
        <v>0</v>
      </c>
      <c r="W25" s="7" cm="1">
        <f t="array" ref="W25">IF(HB[[#This Row],[Number_of_competition]:[Number_of_competition]]&gt;=3,(LARGE(CHOOSE({1;2;3;4},H25,K25,N25,Q25),1)+LARGE(CHOOSE({1;2;3;4},H25,K25,N25,Q25),2)+LARGE(CHOOSE({1;2;3;4},H25,K25,N25,Q25),3))/3,0)</f>
        <v>0</v>
      </c>
    </row>
    <row r="26" spans="1:25" x14ac:dyDescent="0.25">
      <c r="A26" t="s">
        <v>116</v>
      </c>
      <c r="B26" s="2" t="s">
        <v>60</v>
      </c>
      <c r="C26" s="2" t="s">
        <v>117</v>
      </c>
      <c r="D26" t="s">
        <v>62</v>
      </c>
      <c r="E26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6" s="4">
        <v>0</v>
      </c>
      <c r="G26" s="7">
        <v>0</v>
      </c>
      <c r="H26" s="7">
        <v>0</v>
      </c>
      <c r="I26" s="4">
        <v>0</v>
      </c>
      <c r="J26" s="7">
        <v>0</v>
      </c>
      <c r="K26" s="7">
        <v>0</v>
      </c>
      <c r="L26" s="4">
        <v>4.5999999999999996</v>
      </c>
      <c r="M26" s="7">
        <v>6.65</v>
      </c>
      <c r="N26" s="7">
        <v>11.25</v>
      </c>
      <c r="O26" s="4">
        <v>4.8</v>
      </c>
      <c r="P26" s="7">
        <v>6.3</v>
      </c>
      <c r="Q26" s="7">
        <v>11.1</v>
      </c>
      <c r="R26" s="4">
        <f>LARGE(CHOOSE({1;2;3;4},F26,I26,L26,O26),1)+LARGE(CHOOSE({1;2;3;4},F26,I26,L26,O26),2)+LARGE(CHOOSE({1;2;3;4},F26,I26,L26,O26),3)</f>
        <v>9.3999999999999986</v>
      </c>
      <c r="S26" s="7">
        <f>LARGE(CHOOSE({1;2;3;4},G26,J26,M26,P26),1)+LARGE(CHOOSE({1;2;3;4},G26,J26,M26,P26),2)+LARGE(CHOOSE({1;2;3;4},G26,J26,M26,P26),3)</f>
        <v>12.95</v>
      </c>
      <c r="T26" s="7">
        <f>LARGE(CHOOSE({1;2;3;4},H26,K26,N26,Q26),1)+LARGE(CHOOSE({1;2;3;4},H26,K26,N26,Q26),2)+LARGE(CHOOSE({1;2;3;4},H26,K26,N26,Q26),3)</f>
        <v>22.35</v>
      </c>
      <c r="U26" s="4" cm="1">
        <f t="array" ref="U26">IF(HB[[#This Row],[Number_of_competition]:[Number_of_competition]]&gt;=3,(LARGE(CHOOSE({1;2;3;4},F26,I26,L26,O26),1)+LARGE(CHOOSE({1;2;3;4},F26,I26,L26,O26),2)+LARGE(CHOOSE({1;2;3;4},F26,I26,L26,O26),3))/3,0)</f>
        <v>0</v>
      </c>
      <c r="V26" s="7" cm="1">
        <f t="array" ref="V26">IF(HB[[#This Row],[Number_of_competition]:[Number_of_competition]]&gt;=3,(LARGE(CHOOSE({1;2;3;4},G26,J26,M26,P26),1)+LARGE(CHOOSE({1;2;3;4},G26,J26,M26,P26),2)+LARGE(CHOOSE({1;2;3;4},G26,J26,M26,P26),3))/3,0)</f>
        <v>0</v>
      </c>
      <c r="W26" s="7" cm="1">
        <f t="array" ref="W26">IF(HB[[#This Row],[Number_of_competition]:[Number_of_competition]]&gt;=3,(LARGE(CHOOSE({1;2;3;4},H26,K26,N26,Q26),1)+LARGE(CHOOSE({1;2;3;4},H26,K26,N26,Q26),2)+LARGE(CHOOSE({1;2;3;4},H26,K26,N26,Q26),3))/3,0)</f>
        <v>0</v>
      </c>
    </row>
    <row r="27" spans="1:25" x14ac:dyDescent="0.25">
      <c r="A27" t="s">
        <v>112</v>
      </c>
      <c r="B27" s="2" t="s">
        <v>26</v>
      </c>
      <c r="C27" s="2" t="s">
        <v>113</v>
      </c>
      <c r="D27" t="s">
        <v>31</v>
      </c>
      <c r="E27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7" s="4">
        <v>3.4</v>
      </c>
      <c r="G27" s="7">
        <v>7.8</v>
      </c>
      <c r="H27" s="7">
        <v>11.2</v>
      </c>
      <c r="I27" s="4">
        <v>0</v>
      </c>
      <c r="J27" s="7">
        <v>0</v>
      </c>
      <c r="K27" s="7">
        <v>0</v>
      </c>
      <c r="L27" s="4">
        <v>0</v>
      </c>
      <c r="M27" s="7">
        <v>0</v>
      </c>
      <c r="N27" s="7">
        <v>0</v>
      </c>
      <c r="O27" s="4">
        <v>3.2</v>
      </c>
      <c r="P27" s="7">
        <v>7.5</v>
      </c>
      <c r="Q27" s="7">
        <v>10.7</v>
      </c>
      <c r="R27" s="4">
        <f>LARGE(CHOOSE({1;2;3;4},F27,I27,L27,O27),1)+LARGE(CHOOSE({1;2;3;4},F27,I27,L27,O27),2)+LARGE(CHOOSE({1;2;3;4},F27,I27,L27,O27),3)</f>
        <v>6.6</v>
      </c>
      <c r="S27" s="7">
        <f>LARGE(CHOOSE({1;2;3;4},G27,J27,M27,P27),1)+LARGE(CHOOSE({1;2;3;4},G27,J27,M27,P27),2)+LARGE(CHOOSE({1;2;3;4},G27,J27,M27,P27),3)</f>
        <v>15.3</v>
      </c>
      <c r="T27" s="7">
        <f>LARGE(CHOOSE({1;2;3;4},H27,K27,N27,Q27),1)+LARGE(CHOOSE({1;2;3;4},H27,K27,N27,Q27),2)+LARGE(CHOOSE({1;2;3;4},H27,K27,N27,Q27),3)</f>
        <v>21.9</v>
      </c>
      <c r="U27" s="4" cm="1">
        <f t="array" ref="U27">IF(HB[[#This Row],[Number_of_competition]:[Number_of_competition]]&gt;=3,(LARGE(CHOOSE({1;2;3;4},F27,I27,L27,O27),1)+LARGE(CHOOSE({1;2;3;4},F27,I27,L27,O27),2)+LARGE(CHOOSE({1;2;3;4},F27,I27,L27,O27),3))/3,0)</f>
        <v>0</v>
      </c>
      <c r="V27" s="7" cm="1">
        <f t="array" ref="V27">IF(HB[[#This Row],[Number_of_competition]:[Number_of_competition]]&gt;=3,(LARGE(CHOOSE({1;2;3;4},G27,J27,M27,P27),1)+LARGE(CHOOSE({1;2;3;4},G27,J27,M27,P27),2)+LARGE(CHOOSE({1;2;3;4},G27,J27,M27,P27),3))/3,0)</f>
        <v>0</v>
      </c>
      <c r="W27" s="7" cm="1">
        <f t="array" ref="W27">IF(HB[[#This Row],[Number_of_competition]:[Number_of_competition]]&gt;=3,(LARGE(CHOOSE({1;2;3;4},H27,K27,N27,Q27),1)+LARGE(CHOOSE({1;2;3;4},H27,K27,N27,Q27),2)+LARGE(CHOOSE({1;2;3;4},H27,K27,N27,Q27),3))/3,0)</f>
        <v>0</v>
      </c>
    </row>
    <row r="28" spans="1:25" x14ac:dyDescent="0.25">
      <c r="A28" t="s">
        <v>75</v>
      </c>
      <c r="B28" s="2" t="s">
        <v>60</v>
      </c>
      <c r="C28" s="2" t="s">
        <v>76</v>
      </c>
      <c r="D28" t="s">
        <v>28</v>
      </c>
      <c r="E28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8" s="4">
        <v>0</v>
      </c>
      <c r="G28" s="7">
        <v>0</v>
      </c>
      <c r="H28" s="7">
        <v>0</v>
      </c>
      <c r="I28" s="4">
        <v>2.2000000000000002</v>
      </c>
      <c r="J28" s="7">
        <v>8.1</v>
      </c>
      <c r="K28" s="7">
        <v>10.3</v>
      </c>
      <c r="L28" s="4">
        <v>2.5</v>
      </c>
      <c r="M28" s="7">
        <v>8.15</v>
      </c>
      <c r="N28" s="7">
        <v>10.65</v>
      </c>
      <c r="O28" s="4">
        <v>0</v>
      </c>
      <c r="P28" s="7">
        <v>0</v>
      </c>
      <c r="Q28" s="7">
        <v>0</v>
      </c>
      <c r="R28" s="4">
        <f>LARGE(CHOOSE({1;2;3;4},F28,I28,L28,O28),1)+LARGE(CHOOSE({1;2;3;4},F28,I28,L28,O28),2)+LARGE(CHOOSE({1;2;3;4},F28,I28,L28,O28),3)</f>
        <v>4.7</v>
      </c>
      <c r="S28" s="7">
        <f>LARGE(CHOOSE({1;2;3;4},G28,J28,M28,P28),1)+LARGE(CHOOSE({1;2;3;4},G28,J28,M28,P28),2)+LARGE(CHOOSE({1;2;3;4},G28,J28,M28,P28),3)</f>
        <v>16.25</v>
      </c>
      <c r="T28" s="7">
        <f>LARGE(CHOOSE({1;2;3;4},H28,K28,N28,Q28),1)+LARGE(CHOOSE({1;2;3;4},H28,K28,N28,Q28),2)+LARGE(CHOOSE({1;2;3;4},H28,K28,N28,Q28),3)</f>
        <v>20.950000000000003</v>
      </c>
      <c r="U28" s="4" cm="1">
        <f t="array" ref="U28">IF(HB[[#This Row],[Number_of_competition]:[Number_of_competition]]&gt;=3,(LARGE(CHOOSE({1;2;3;4},F28,I28,L28,O28),1)+LARGE(CHOOSE({1;2;3;4},F28,I28,L28,O28),2)+LARGE(CHOOSE({1;2;3;4},F28,I28,L28,O28),3))/3,0)</f>
        <v>0</v>
      </c>
      <c r="V28" s="7" cm="1">
        <f t="array" ref="V28">IF(HB[[#This Row],[Number_of_competition]:[Number_of_competition]]&gt;=3,(LARGE(CHOOSE({1;2;3;4},G28,J28,M28,P28),1)+LARGE(CHOOSE({1;2;3;4},G28,J28,M28,P28),2)+LARGE(CHOOSE({1;2;3;4},G28,J28,M28,P28),3))/3,0)</f>
        <v>0</v>
      </c>
      <c r="W28" s="7" cm="1">
        <f t="array" ref="W28">IF(HB[[#This Row],[Number_of_competition]:[Number_of_competition]]&gt;=3,(LARGE(CHOOSE({1;2;3;4},H28,K28,N28,Q28),1)+LARGE(CHOOSE({1;2;3;4},H28,K28,N28,Q28),2)+LARGE(CHOOSE({1;2;3;4},H28,K28,N28,Q28),3))/3,0)</f>
        <v>0</v>
      </c>
    </row>
    <row r="29" spans="1:25" x14ac:dyDescent="0.25">
      <c r="A29" t="s">
        <v>88</v>
      </c>
      <c r="B29" s="2" t="s">
        <v>60</v>
      </c>
      <c r="C29" s="2" t="s">
        <v>89</v>
      </c>
      <c r="D29" t="s">
        <v>36</v>
      </c>
      <c r="E29" s="6">
        <f>COUNTIF(HB[[#This Row],[bydgoszcz_HB_Total_Score]],"&gt;0")+COUNTIF(HB[[#This Row],[zabrze_HB_Total_Score]],"&gt;0")+COUNTIF(HB[[#This Row],[cracow_HB_Total_Score]],"&gt;0")+COUNTIF(HB[[#This Row],[gdansk_HB_Total_Score]],"&gt;0")</f>
        <v>2</v>
      </c>
      <c r="F29" s="4">
        <v>0</v>
      </c>
      <c r="G29" s="7">
        <v>0</v>
      </c>
      <c r="H29" s="7">
        <v>0</v>
      </c>
      <c r="I29" s="4">
        <v>2.1</v>
      </c>
      <c r="J29" s="7">
        <v>6.9</v>
      </c>
      <c r="K29" s="7">
        <v>9</v>
      </c>
      <c r="L29" s="4">
        <v>0</v>
      </c>
      <c r="M29" s="7">
        <v>0</v>
      </c>
      <c r="N29" s="7">
        <v>0</v>
      </c>
      <c r="O29" s="4">
        <v>1.9</v>
      </c>
      <c r="P29" s="7">
        <v>4.2</v>
      </c>
      <c r="Q29" s="7">
        <v>6.1</v>
      </c>
      <c r="R29" s="4">
        <f>LARGE(CHOOSE({1;2;3;4},F29,I29,L29,O29),1)+LARGE(CHOOSE({1;2;3;4},F29,I29,L29,O29),2)+LARGE(CHOOSE({1;2;3;4},F29,I29,L29,O29),3)</f>
        <v>4</v>
      </c>
      <c r="S29" s="7">
        <f>LARGE(CHOOSE({1;2;3;4},G29,J29,M29,P29),1)+LARGE(CHOOSE({1;2;3;4},G29,J29,M29,P29),2)+LARGE(CHOOSE({1;2;3;4},G29,J29,M29,P29),3)</f>
        <v>11.100000000000001</v>
      </c>
      <c r="T29" s="7">
        <f>LARGE(CHOOSE({1;2;3;4},H29,K29,N29,Q29),1)+LARGE(CHOOSE({1;2;3;4},H29,K29,N29,Q29),2)+LARGE(CHOOSE({1;2;3;4},H29,K29,N29,Q29),3)</f>
        <v>15.1</v>
      </c>
      <c r="U29" s="4" cm="1">
        <f t="array" ref="U29">IF(HB[[#This Row],[Number_of_competition]:[Number_of_competition]]&gt;=3,(LARGE(CHOOSE({1;2;3;4},F29,I29,L29,O29),1)+LARGE(CHOOSE({1;2;3;4},F29,I29,L29,O29),2)+LARGE(CHOOSE({1;2;3;4},F29,I29,L29,O29),3))/3,0)</f>
        <v>0</v>
      </c>
      <c r="V29" s="7" cm="1">
        <f t="array" ref="V29">IF(HB[[#This Row],[Number_of_competition]:[Number_of_competition]]&gt;=3,(LARGE(CHOOSE({1;2;3;4},G29,J29,M29,P29),1)+LARGE(CHOOSE({1;2;3;4},G29,J29,M29,P29),2)+LARGE(CHOOSE({1;2;3;4},G29,J29,M29,P29),3))/3,0)</f>
        <v>0</v>
      </c>
      <c r="W29" s="7" cm="1">
        <f t="array" ref="W29">IF(HB[[#This Row],[Number_of_competition]:[Number_of_competition]]&gt;=3,(LARGE(CHOOSE({1;2;3;4},H29,K29,N29,Q29),1)+LARGE(CHOOSE({1;2;3;4},H29,K29,N29,Q29),2)+LARGE(CHOOSE({1;2;3;4},H29,K29,N29,Q29),3))/3,0)</f>
        <v>0</v>
      </c>
    </row>
    <row r="30" spans="1:25" x14ac:dyDescent="0.25">
      <c r="A30" t="s">
        <v>118</v>
      </c>
      <c r="B30" s="2" t="s">
        <v>60</v>
      </c>
      <c r="C30" s="2" t="s">
        <v>119</v>
      </c>
      <c r="D30" t="s">
        <v>31</v>
      </c>
      <c r="E30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0" s="4">
        <v>0</v>
      </c>
      <c r="G30" s="7">
        <v>0</v>
      </c>
      <c r="H30" s="7">
        <v>0</v>
      </c>
      <c r="I30" s="4">
        <v>0</v>
      </c>
      <c r="J30" s="7">
        <v>0</v>
      </c>
      <c r="K30" s="7">
        <v>0</v>
      </c>
      <c r="L30" s="4">
        <v>3.7</v>
      </c>
      <c r="M30" s="7">
        <v>8.15</v>
      </c>
      <c r="N30" s="7">
        <v>11.85</v>
      </c>
      <c r="O30" s="4">
        <v>0</v>
      </c>
      <c r="P30" s="7">
        <v>0</v>
      </c>
      <c r="Q30" s="7">
        <v>0</v>
      </c>
      <c r="R30" s="4">
        <f>LARGE(CHOOSE({1;2;3;4},F30,I30,L30,O30),1)+LARGE(CHOOSE({1;2;3;4},F30,I30,L30,O30),2)+LARGE(CHOOSE({1;2;3;4},F30,I30,L30,O30),3)</f>
        <v>3.7</v>
      </c>
      <c r="S30" s="7">
        <f>LARGE(CHOOSE({1;2;3;4},G30,J30,M30,P30),1)+LARGE(CHOOSE({1;2;3;4},G30,J30,M30,P30),2)+LARGE(CHOOSE({1;2;3;4},G30,J30,M30,P30),3)</f>
        <v>8.15</v>
      </c>
      <c r="T30" s="7">
        <f>LARGE(CHOOSE({1;2;3;4},H30,K30,N30,Q30),1)+LARGE(CHOOSE({1;2;3;4},H30,K30,N30,Q30),2)+LARGE(CHOOSE({1;2;3;4},H30,K30,N30,Q30),3)</f>
        <v>11.85</v>
      </c>
      <c r="U30" s="4" cm="1">
        <f t="array" ref="U30">IF(HB[[#This Row],[Number_of_competition]:[Number_of_competition]]&gt;=3,(LARGE(CHOOSE({1;2;3;4},F30,I30,L30,O30),1)+LARGE(CHOOSE({1;2;3;4},F30,I30,L30,O30),2)+LARGE(CHOOSE({1;2;3;4},F30,I30,L30,O30),3))/3,0)</f>
        <v>0</v>
      </c>
      <c r="V30" s="7" cm="1">
        <f t="array" ref="V30">IF(HB[[#This Row],[Number_of_competition]:[Number_of_competition]]&gt;=3,(LARGE(CHOOSE({1;2;3;4},G30,J30,M30,P30),1)+LARGE(CHOOSE({1;2;3;4},G30,J30,M30,P30),2)+LARGE(CHOOSE({1;2;3;4},G30,J30,M30,P30),3))/3,0)</f>
        <v>0</v>
      </c>
      <c r="W30" s="7" cm="1">
        <f t="array" ref="W30">IF(HB[[#This Row],[Number_of_competition]:[Number_of_competition]]&gt;=3,(LARGE(CHOOSE({1;2;3;4},H30,K30,N30,Q30),1)+LARGE(CHOOSE({1;2;3;4},H30,K30,N30,Q30),2)+LARGE(CHOOSE({1;2;3;4},H30,K30,N30,Q30),3))/3,0)</f>
        <v>0</v>
      </c>
    </row>
    <row r="31" spans="1:25" x14ac:dyDescent="0.25">
      <c r="A31" t="s">
        <v>142</v>
      </c>
      <c r="B31" s="2" t="s">
        <v>60</v>
      </c>
      <c r="C31" s="2" t="s">
        <v>143</v>
      </c>
      <c r="D31" t="s">
        <v>62</v>
      </c>
      <c r="E31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1" s="4">
        <v>3.6</v>
      </c>
      <c r="G31" s="7">
        <v>8</v>
      </c>
      <c r="H31" s="7">
        <v>11.6</v>
      </c>
      <c r="I31" s="4">
        <v>0</v>
      </c>
      <c r="J31" s="7">
        <v>0</v>
      </c>
      <c r="K31" s="7">
        <v>0</v>
      </c>
      <c r="L31" s="4">
        <v>0</v>
      </c>
      <c r="M31" s="7">
        <v>0</v>
      </c>
      <c r="N31" s="7">
        <v>0</v>
      </c>
      <c r="O31" s="4">
        <v>0</v>
      </c>
      <c r="P31" s="7">
        <v>0</v>
      </c>
      <c r="Q31" s="7">
        <v>0</v>
      </c>
      <c r="R31" s="4">
        <f>LARGE(CHOOSE({1;2;3;4},F31,I31,L31,O31),1)+LARGE(CHOOSE({1;2;3;4},F31,I31,L31,O31),2)+LARGE(CHOOSE({1;2;3;4},F31,I31,L31,O31),3)</f>
        <v>3.6</v>
      </c>
      <c r="S31" s="7">
        <f>LARGE(CHOOSE({1;2;3;4},G31,J31,M31,P31),1)+LARGE(CHOOSE({1;2;3;4},G31,J31,M31,P31),2)+LARGE(CHOOSE({1;2;3;4},G31,J31,M31,P31),3)</f>
        <v>8</v>
      </c>
      <c r="T31" s="7">
        <f>LARGE(CHOOSE({1;2;3;4},H31,K31,N31,Q31),1)+LARGE(CHOOSE({1;2;3;4},H31,K31,N31,Q31),2)+LARGE(CHOOSE({1;2;3;4},H31,K31,N31,Q31),3)</f>
        <v>11.6</v>
      </c>
      <c r="U31" s="4" cm="1">
        <f t="array" ref="U31">IF(HB[[#This Row],[Number_of_competition]:[Number_of_competition]]&gt;=3,(LARGE(CHOOSE({1;2;3;4},F31,I31,L31,O31),1)+LARGE(CHOOSE({1;2;3;4},F31,I31,L31,O31),2)+LARGE(CHOOSE({1;2;3;4},F31,I31,L31,O31),3))/3,0)</f>
        <v>0</v>
      </c>
      <c r="V31" s="7" cm="1">
        <f t="array" ref="V31">IF(HB[[#This Row],[Number_of_competition]:[Number_of_competition]]&gt;=3,(LARGE(CHOOSE({1;2;3;4},G31,J31,M31,P31),1)+LARGE(CHOOSE({1;2;3;4},G31,J31,M31,P31),2)+LARGE(CHOOSE({1;2;3;4},G31,J31,M31,P31),3))/3,0)</f>
        <v>0</v>
      </c>
      <c r="W31" s="7" cm="1">
        <f t="array" ref="W31">IF(HB[[#This Row],[Number_of_competition]:[Number_of_competition]]&gt;=3,(LARGE(CHOOSE({1;2;3;4},H31,K31,N31,Q31),1)+LARGE(CHOOSE({1;2;3;4},H31,K31,N31,Q31),2)+LARGE(CHOOSE({1;2;3;4},H31,K31,N31,Q31),3))/3,0)</f>
        <v>0</v>
      </c>
    </row>
    <row r="32" spans="1:25" x14ac:dyDescent="0.25">
      <c r="A32" t="s">
        <v>132</v>
      </c>
      <c r="B32" s="2" t="s">
        <v>26</v>
      </c>
      <c r="C32" s="2" t="s">
        <v>133</v>
      </c>
      <c r="D32" t="s">
        <v>39</v>
      </c>
      <c r="E32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2" s="4">
        <v>2.4</v>
      </c>
      <c r="G32" s="7">
        <v>9.1</v>
      </c>
      <c r="H32" s="7">
        <v>11.5</v>
      </c>
      <c r="I32" s="4">
        <v>0</v>
      </c>
      <c r="J32" s="7">
        <v>0</v>
      </c>
      <c r="K32" s="7">
        <v>0</v>
      </c>
      <c r="L32" s="4">
        <v>0</v>
      </c>
      <c r="M32" s="7">
        <v>0</v>
      </c>
      <c r="N32" s="7">
        <v>0</v>
      </c>
      <c r="O32" s="4">
        <v>0</v>
      </c>
      <c r="P32" s="7">
        <v>0</v>
      </c>
      <c r="Q32" s="7">
        <v>0</v>
      </c>
      <c r="R32" s="4">
        <f>LARGE(CHOOSE({1;2;3;4},F32,I32,L32,O32),1)+LARGE(CHOOSE({1;2;3;4},F32,I32,L32,O32),2)+LARGE(CHOOSE({1;2;3;4},F32,I32,L32,O32),3)</f>
        <v>2.4</v>
      </c>
      <c r="S32" s="7">
        <f>LARGE(CHOOSE({1;2;3;4},G32,J32,M32,P32),1)+LARGE(CHOOSE({1;2;3;4},G32,J32,M32,P32),2)+LARGE(CHOOSE({1;2;3;4},G32,J32,M32,P32),3)</f>
        <v>9.1</v>
      </c>
      <c r="T32" s="7">
        <f>LARGE(CHOOSE({1;2;3;4},H32,K32,N32,Q32),1)+LARGE(CHOOSE({1;2;3;4},H32,K32,N32,Q32),2)+LARGE(CHOOSE({1;2;3;4},H32,K32,N32,Q32),3)</f>
        <v>11.5</v>
      </c>
      <c r="U32" s="4" cm="1">
        <f t="array" ref="U32">IF(HB[[#This Row],[Number_of_competition]:[Number_of_competition]]&gt;=3,(LARGE(CHOOSE({1;2;3;4},F32,I32,L32,O32),1)+LARGE(CHOOSE({1;2;3;4},F32,I32,L32,O32),2)+LARGE(CHOOSE({1;2;3;4},F32,I32,L32,O32),3))/3,0)</f>
        <v>0</v>
      </c>
      <c r="V32" s="7" cm="1">
        <f t="array" ref="V32">IF(HB[[#This Row],[Number_of_competition]:[Number_of_competition]]&gt;=3,(LARGE(CHOOSE({1;2;3;4},G32,J32,M32,P32),1)+LARGE(CHOOSE({1;2;3;4},G32,J32,M32,P32),2)+LARGE(CHOOSE({1;2;3;4},G32,J32,M32,P32),3))/3,0)</f>
        <v>0</v>
      </c>
      <c r="W32" s="7" cm="1">
        <f t="array" ref="W32">IF(HB[[#This Row],[Number_of_competition]:[Number_of_competition]]&gt;=3,(LARGE(CHOOSE({1;2;3;4},H32,K32,N32,Q32),1)+LARGE(CHOOSE({1;2;3;4},H32,K32,N32,Q32),2)+LARGE(CHOOSE({1;2;3;4},H32,K32,N32,Q32),3))/3,0)</f>
        <v>0</v>
      </c>
    </row>
    <row r="33" spans="1:23" x14ac:dyDescent="0.25">
      <c r="A33" t="s">
        <v>57</v>
      </c>
      <c r="B33" s="2" t="s">
        <v>26</v>
      </c>
      <c r="C33" s="2" t="s">
        <v>58</v>
      </c>
      <c r="D33" t="s">
        <v>36</v>
      </c>
      <c r="E33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3" s="4">
        <v>1.9</v>
      </c>
      <c r="G33" s="7">
        <v>8.1</v>
      </c>
      <c r="H33" s="7">
        <v>10</v>
      </c>
      <c r="I33" s="4">
        <v>0</v>
      </c>
      <c r="J33" s="7">
        <v>0</v>
      </c>
      <c r="K33" s="7">
        <v>0</v>
      </c>
      <c r="L33" s="4">
        <v>0</v>
      </c>
      <c r="M33" s="7">
        <v>0</v>
      </c>
      <c r="N33" s="7">
        <v>0</v>
      </c>
      <c r="O33" s="4">
        <v>0</v>
      </c>
      <c r="P33" s="7">
        <v>0</v>
      </c>
      <c r="Q33" s="7">
        <v>0</v>
      </c>
      <c r="R33" s="4">
        <f>LARGE(CHOOSE({1;2;3;4},F33,I33,L33,O33),1)+LARGE(CHOOSE({1;2;3;4},F33,I33,L33,O33),2)+LARGE(CHOOSE({1;2;3;4},F33,I33,L33,O33),3)</f>
        <v>1.9</v>
      </c>
      <c r="S33" s="7">
        <f>LARGE(CHOOSE({1;2;3;4},G33,J33,M33,P33),1)+LARGE(CHOOSE({1;2;3;4},G33,J33,M33,P33),2)+LARGE(CHOOSE({1;2;3;4},G33,J33,M33,P33),3)</f>
        <v>8.1</v>
      </c>
      <c r="T33" s="7">
        <f>LARGE(CHOOSE({1;2;3;4},H33,K33,N33,Q33),1)+LARGE(CHOOSE({1;2;3;4},H33,K33,N33,Q33),2)+LARGE(CHOOSE({1;2;3;4},H33,K33,N33,Q33),3)</f>
        <v>10</v>
      </c>
      <c r="U33" s="4" cm="1">
        <f t="array" ref="U33">IF(HB[[#This Row],[Number_of_competition]:[Number_of_competition]]&gt;=3,(LARGE(CHOOSE({1;2;3;4},F33,I33,L33,O33),1)+LARGE(CHOOSE({1;2;3;4},F33,I33,L33,O33),2)+LARGE(CHOOSE({1;2;3;4},F33,I33,L33,O33),3))/3,0)</f>
        <v>0</v>
      </c>
      <c r="V33" s="7" cm="1">
        <f t="array" ref="V33">IF(HB[[#This Row],[Number_of_competition]:[Number_of_competition]]&gt;=3,(LARGE(CHOOSE({1;2;3;4},G33,J33,M33,P33),1)+LARGE(CHOOSE({1;2;3;4},G33,J33,M33,P33),2)+LARGE(CHOOSE({1;2;3;4},G33,J33,M33,P33),3))/3,0)</f>
        <v>0</v>
      </c>
      <c r="W33" s="7" cm="1">
        <f t="array" ref="W33">IF(HB[[#This Row],[Number_of_competition]:[Number_of_competition]]&gt;=3,(LARGE(CHOOSE({1;2;3;4},H33,K33,N33,Q33),1)+LARGE(CHOOSE({1;2;3;4},H33,K33,N33,Q33),2)+LARGE(CHOOSE({1;2;3;4},H33,K33,N33,Q33),3))/3,0)</f>
        <v>0</v>
      </c>
    </row>
    <row r="34" spans="1:23" x14ac:dyDescent="0.25">
      <c r="A34" t="s">
        <v>98</v>
      </c>
      <c r="B34" s="2" t="s">
        <v>60</v>
      </c>
      <c r="C34" s="2" t="s">
        <v>99</v>
      </c>
      <c r="D34" t="s">
        <v>72</v>
      </c>
      <c r="E34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4" s="4">
        <v>0</v>
      </c>
      <c r="G34" s="7">
        <v>0</v>
      </c>
      <c r="H34" s="7">
        <v>0</v>
      </c>
      <c r="I34" s="4">
        <v>0</v>
      </c>
      <c r="J34" s="7">
        <v>0</v>
      </c>
      <c r="K34" s="7">
        <v>0</v>
      </c>
      <c r="L34" s="4">
        <v>2.6</v>
      </c>
      <c r="M34" s="7">
        <v>6.95</v>
      </c>
      <c r="N34" s="7">
        <v>9.5500000000000007</v>
      </c>
      <c r="O34" s="4">
        <v>0</v>
      </c>
      <c r="P34" s="7">
        <v>0</v>
      </c>
      <c r="Q34" s="7">
        <v>0</v>
      </c>
      <c r="R34" s="4">
        <f>LARGE(CHOOSE({1;2;3;4},F34,I34,L34,O34),1)+LARGE(CHOOSE({1;2;3;4},F34,I34,L34,O34),2)+LARGE(CHOOSE({1;2;3;4},F34,I34,L34,O34),3)</f>
        <v>2.6</v>
      </c>
      <c r="S34" s="7">
        <f>LARGE(CHOOSE({1;2;3;4},G34,J34,M34,P34),1)+LARGE(CHOOSE({1;2;3;4},G34,J34,M34,P34),2)+LARGE(CHOOSE({1;2;3;4},G34,J34,M34,P34),3)</f>
        <v>6.95</v>
      </c>
      <c r="T34" s="7">
        <f>LARGE(CHOOSE({1;2;3;4},H34,K34,N34,Q34),1)+LARGE(CHOOSE({1;2;3;4},H34,K34,N34,Q34),2)+LARGE(CHOOSE({1;2;3;4},H34,K34,N34,Q34),3)</f>
        <v>9.5500000000000007</v>
      </c>
      <c r="U34" s="4" cm="1">
        <f t="array" ref="U34">IF(HB[[#This Row],[Number_of_competition]:[Number_of_competition]]&gt;=3,(LARGE(CHOOSE({1;2;3;4},F34,I34,L34,O34),1)+LARGE(CHOOSE({1;2;3;4},F34,I34,L34,O34),2)+LARGE(CHOOSE({1;2;3;4},F34,I34,L34,O34),3))/3,0)</f>
        <v>0</v>
      </c>
      <c r="V34" s="7" cm="1">
        <f t="array" ref="V34">IF(HB[[#This Row],[Number_of_competition]:[Number_of_competition]]&gt;=3,(LARGE(CHOOSE({1;2;3;4},G34,J34,M34,P34),1)+LARGE(CHOOSE({1;2;3;4},G34,J34,M34,P34),2)+LARGE(CHOOSE({1;2;3;4},G34,J34,M34,P34),3))/3,0)</f>
        <v>0</v>
      </c>
      <c r="W34" s="7" cm="1">
        <f t="array" ref="W34">IF(HB[[#This Row],[Number_of_competition]:[Number_of_competition]]&gt;=3,(LARGE(CHOOSE({1;2;3;4},H34,K34,N34,Q34),1)+LARGE(CHOOSE({1;2;3;4},H34,K34,N34,Q34),2)+LARGE(CHOOSE({1;2;3;4},H34,K34,N34,Q34),3))/3,0)</f>
        <v>0</v>
      </c>
    </row>
    <row r="35" spans="1:23" x14ac:dyDescent="0.25">
      <c r="A35" t="s">
        <v>122</v>
      </c>
      <c r="B35" s="2" t="s">
        <v>26</v>
      </c>
      <c r="C35" s="2" t="s">
        <v>123</v>
      </c>
      <c r="D35" t="s">
        <v>124</v>
      </c>
      <c r="E35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5" s="4">
        <v>0</v>
      </c>
      <c r="G35" s="7">
        <v>0</v>
      </c>
      <c r="H35" s="7">
        <v>0</v>
      </c>
      <c r="I35" s="4">
        <v>0</v>
      </c>
      <c r="J35" s="7">
        <v>0</v>
      </c>
      <c r="K35" s="7">
        <v>0</v>
      </c>
      <c r="L35" s="4">
        <v>2</v>
      </c>
      <c r="M35" s="7">
        <v>6.6</v>
      </c>
      <c r="N35" s="7">
        <v>8.6</v>
      </c>
      <c r="O35" s="4">
        <v>0</v>
      </c>
      <c r="P35" s="7">
        <v>0</v>
      </c>
      <c r="Q35" s="7">
        <v>0</v>
      </c>
      <c r="R35" s="4">
        <f>LARGE(CHOOSE({1;2;3;4},F35,I35,L35,O35),1)+LARGE(CHOOSE({1;2;3;4},F35,I35,L35,O35),2)+LARGE(CHOOSE({1;2;3;4},F35,I35,L35,O35),3)</f>
        <v>2</v>
      </c>
      <c r="S35" s="7">
        <f>LARGE(CHOOSE({1;2;3;4},G35,J35,M35,P35),1)+LARGE(CHOOSE({1;2;3;4},G35,J35,M35,P35),2)+LARGE(CHOOSE({1;2;3;4},G35,J35,M35,P35),3)</f>
        <v>6.6</v>
      </c>
      <c r="T35" s="7">
        <f>LARGE(CHOOSE({1;2;3;4},H35,K35,N35,Q35),1)+LARGE(CHOOSE({1;2;3;4},H35,K35,N35,Q35),2)+LARGE(CHOOSE({1;2;3;4},H35,K35,N35,Q35),3)</f>
        <v>8.6</v>
      </c>
      <c r="U35" s="4" cm="1">
        <f t="array" ref="U35">IF(HB[[#This Row],[Number_of_competition]:[Number_of_competition]]&gt;=3,(LARGE(CHOOSE({1;2;3;4},F35,I35,L35,O35),1)+LARGE(CHOOSE({1;2;3;4},F35,I35,L35,O35),2)+LARGE(CHOOSE({1;2;3;4},F35,I35,L35,O35),3))/3,0)</f>
        <v>0</v>
      </c>
      <c r="V35" s="7" cm="1">
        <f t="array" ref="V35">IF(HB[[#This Row],[Number_of_competition]:[Number_of_competition]]&gt;=3,(LARGE(CHOOSE({1;2;3;4},G35,J35,M35,P35),1)+LARGE(CHOOSE({1;2;3;4},G35,J35,M35,P35),2)+LARGE(CHOOSE({1;2;3;4},G35,J35,M35,P35),3))/3,0)</f>
        <v>0</v>
      </c>
      <c r="W35" s="7" cm="1">
        <f t="array" ref="W35">IF(HB[[#This Row],[Number_of_competition]:[Number_of_competition]]&gt;=3,(LARGE(CHOOSE({1;2;3;4},H35,K35,N35,Q35),1)+LARGE(CHOOSE({1;2;3;4},H35,K35,N35,Q35),2)+LARGE(CHOOSE({1;2;3;4},H35,K35,N35,Q35),3))/3,0)</f>
        <v>0</v>
      </c>
    </row>
    <row r="36" spans="1:23" x14ac:dyDescent="0.25">
      <c r="A36" t="s">
        <v>135</v>
      </c>
      <c r="B36" s="2" t="s">
        <v>26</v>
      </c>
      <c r="C36" s="2" t="s">
        <v>136</v>
      </c>
      <c r="D36" t="s">
        <v>124</v>
      </c>
      <c r="E36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6" s="4">
        <v>1.5</v>
      </c>
      <c r="G36" s="7">
        <v>5</v>
      </c>
      <c r="H36" s="7">
        <v>6.5</v>
      </c>
      <c r="I36" s="4">
        <v>0</v>
      </c>
      <c r="J36" s="7">
        <v>0</v>
      </c>
      <c r="K36" s="7">
        <v>0</v>
      </c>
      <c r="L36" s="4">
        <v>0</v>
      </c>
      <c r="M36" s="7">
        <v>0</v>
      </c>
      <c r="N36" s="7">
        <v>0</v>
      </c>
      <c r="O36" s="4">
        <v>0</v>
      </c>
      <c r="P36" s="7">
        <v>0</v>
      </c>
      <c r="Q36" s="7">
        <v>0</v>
      </c>
      <c r="R36" s="4">
        <f>LARGE(CHOOSE({1;2;3;4},F36,I36,L36,O36),1)+LARGE(CHOOSE({1;2;3;4},F36,I36,L36,O36),2)+LARGE(CHOOSE({1;2;3;4},F36,I36,L36,O36),3)</f>
        <v>1.5</v>
      </c>
      <c r="S36" s="7">
        <f>LARGE(CHOOSE({1;2;3;4},G36,J36,M36,P36),1)+LARGE(CHOOSE({1;2;3;4},G36,J36,M36,P36),2)+LARGE(CHOOSE({1;2;3;4},G36,J36,M36,P36),3)</f>
        <v>5</v>
      </c>
      <c r="T36" s="7">
        <f>LARGE(CHOOSE({1;2;3;4},H36,K36,N36,Q36),1)+LARGE(CHOOSE({1;2;3;4},H36,K36,N36,Q36),2)+LARGE(CHOOSE({1;2;3;4},H36,K36,N36,Q36),3)</f>
        <v>6.5</v>
      </c>
      <c r="U36" s="4" cm="1">
        <f t="array" ref="U36">IF(HB[[#This Row],[Number_of_competition]:[Number_of_competition]]&gt;=3,(LARGE(CHOOSE({1;2;3;4},F36,I36,L36,O36),1)+LARGE(CHOOSE({1;2;3;4},F36,I36,L36,O36),2)+LARGE(CHOOSE({1;2;3;4},F36,I36,L36,O36),3))/3,0)</f>
        <v>0</v>
      </c>
      <c r="V36" s="7" cm="1">
        <f t="array" ref="V36">IF(HB[[#This Row],[Number_of_competition]:[Number_of_competition]]&gt;=3,(LARGE(CHOOSE({1;2;3;4},G36,J36,M36,P36),1)+LARGE(CHOOSE({1;2;3;4},G36,J36,M36,P36),2)+LARGE(CHOOSE({1;2;3;4},G36,J36,M36,P36),3))/3,0)</f>
        <v>0</v>
      </c>
      <c r="W36" s="7" cm="1">
        <f t="array" ref="W36">IF(HB[[#This Row],[Number_of_competition]:[Number_of_competition]]&gt;=3,(LARGE(CHOOSE({1;2;3;4},H36,K36,N36,Q36),1)+LARGE(CHOOSE({1;2;3;4},H36,K36,N36,Q36),2)+LARGE(CHOOSE({1;2;3;4},H36,K36,N36,Q36),3))/3,0)</f>
        <v>0</v>
      </c>
    </row>
    <row r="37" spans="1:23" x14ac:dyDescent="0.25">
      <c r="A37" t="s">
        <v>139</v>
      </c>
      <c r="B37" s="2" t="s">
        <v>26</v>
      </c>
      <c r="C37" s="2" t="s">
        <v>140</v>
      </c>
      <c r="D37" t="s">
        <v>124</v>
      </c>
      <c r="E37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7" s="4">
        <v>1</v>
      </c>
      <c r="G37" s="7">
        <v>3.1</v>
      </c>
      <c r="H37" s="7">
        <v>4.0999999999999996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f>LARGE(CHOOSE({1;2;3;4},F37,I37,L37,O37),1)+LARGE(CHOOSE({1;2;3;4},F37,I37,L37,O37),2)+LARGE(CHOOSE({1;2;3;4},F37,I37,L37,O37),3)</f>
        <v>1</v>
      </c>
      <c r="S37" s="7">
        <f>LARGE(CHOOSE({1;2;3;4},G37,J37,M37,P37),1)+LARGE(CHOOSE({1;2;3;4},G37,J37,M37,P37),2)+LARGE(CHOOSE({1;2;3;4},G37,J37,M37,P37),3)</f>
        <v>3.1</v>
      </c>
      <c r="T37" s="7">
        <f>LARGE(CHOOSE({1;2;3;4},H37,K37,N37,Q37),1)+LARGE(CHOOSE({1;2;3;4},H37,K37,N37,Q37),2)+LARGE(CHOOSE({1;2;3;4},H37,K37,N37,Q37),3)</f>
        <v>4.0999999999999996</v>
      </c>
      <c r="U37" s="4" cm="1">
        <f t="array" ref="U37">IF(HB[[#This Row],[Number_of_competition]:[Number_of_competition]]&gt;=3,(LARGE(CHOOSE({1;2;3;4},F37,I37,L37,O37),1)+LARGE(CHOOSE({1;2;3;4},F37,I37,L37,O37),2)+LARGE(CHOOSE({1;2;3;4},F37,I37,L37,O37),3))/3,0)</f>
        <v>0</v>
      </c>
      <c r="V37" s="7" cm="1">
        <f t="array" ref="V37">IF(HB[[#This Row],[Number_of_competition]:[Number_of_competition]]&gt;=3,(LARGE(CHOOSE({1;2;3;4},G37,J37,M37,P37),1)+LARGE(CHOOSE({1;2;3;4},G37,J37,M37,P37),2)+LARGE(CHOOSE({1;2;3;4},G37,J37,M37,P37),3))/3,0)</f>
        <v>0</v>
      </c>
      <c r="W37" s="7" cm="1">
        <f t="array" ref="W37">IF(HB[[#This Row],[Number_of_competition]:[Number_of_competition]]&gt;=3,(LARGE(CHOOSE({1;2;3;4},H37,K37,N37,Q37),1)+LARGE(CHOOSE({1;2;3;4},H37,K37,N37,Q37),2)+LARGE(CHOOSE({1;2;3;4},H37,K37,N37,Q37),3))/3,0)</f>
        <v>0</v>
      </c>
    </row>
    <row r="38" spans="1:23" x14ac:dyDescent="0.25">
      <c r="A38" t="s">
        <v>137</v>
      </c>
      <c r="B38" s="2" t="s">
        <v>26</v>
      </c>
      <c r="C38" s="2" t="s">
        <v>138</v>
      </c>
      <c r="D38" t="s">
        <v>124</v>
      </c>
      <c r="E38" s="6">
        <f>COUNTIF(HB[[#This Row],[bydgoszcz_HB_Total_Score]],"&gt;0")+COUNTIF(HB[[#This Row],[zabrze_HB_Total_Score]],"&gt;0")+COUNTIF(HB[[#This Row],[cracow_HB_Total_Score]],"&gt;0")+COUNTIF(HB[[#This Row],[gdansk_HB_Total_Score]],"&gt;0")</f>
        <v>1</v>
      </c>
      <c r="F38" s="4">
        <v>0.1</v>
      </c>
      <c r="G38" s="7">
        <v>1</v>
      </c>
      <c r="H38" s="7">
        <v>1.1000000000000001</v>
      </c>
      <c r="I38" s="4">
        <v>0</v>
      </c>
      <c r="J38" s="7">
        <v>0</v>
      </c>
      <c r="K38" s="7">
        <v>0</v>
      </c>
      <c r="L38" s="4">
        <v>0</v>
      </c>
      <c r="M38" s="7">
        <v>0</v>
      </c>
      <c r="N38" s="7">
        <v>0</v>
      </c>
      <c r="O38" s="4">
        <v>0</v>
      </c>
      <c r="P38" s="7">
        <v>0</v>
      </c>
      <c r="Q38" s="7">
        <v>0</v>
      </c>
      <c r="R38" s="4">
        <f>LARGE(CHOOSE({1;2;3;4},F38,I38,L38,O38),1)+LARGE(CHOOSE({1;2;3;4},F38,I38,L38,O38),2)+LARGE(CHOOSE({1;2;3;4},F38,I38,L38,O38),3)</f>
        <v>0.1</v>
      </c>
      <c r="S38" s="7">
        <f>LARGE(CHOOSE({1;2;3;4},G38,J38,M38,P38),1)+LARGE(CHOOSE({1;2;3;4},G38,J38,M38,P38),2)+LARGE(CHOOSE({1;2;3;4},G38,J38,M38,P38),3)</f>
        <v>1</v>
      </c>
      <c r="T38" s="7">
        <f>LARGE(CHOOSE({1;2;3;4},H38,K38,N38,Q38),1)+LARGE(CHOOSE({1;2;3;4},H38,K38,N38,Q38),2)+LARGE(CHOOSE({1;2;3;4},H38,K38,N38,Q38),3)</f>
        <v>1.1000000000000001</v>
      </c>
      <c r="U38" s="4" cm="1">
        <f t="array" ref="U38">IF(HB[[#This Row],[Number_of_competition]:[Number_of_competition]]&gt;=3,(LARGE(CHOOSE({1;2;3;4},F38,I38,L38,O38),1)+LARGE(CHOOSE({1;2;3;4},F38,I38,L38,O38),2)+LARGE(CHOOSE({1;2;3;4},F38,I38,L38,O38),3))/3,0)</f>
        <v>0</v>
      </c>
      <c r="V38" s="7" cm="1">
        <f t="array" ref="V38">IF(HB[[#This Row],[Number_of_competition]:[Number_of_competition]]&gt;=3,(LARGE(CHOOSE({1;2;3;4},G38,J38,M38,P38),1)+LARGE(CHOOSE({1;2;3;4},G38,J38,M38,P38),2)+LARGE(CHOOSE({1;2;3;4},G38,J38,M38,P38),3))/3,0)</f>
        <v>0</v>
      </c>
      <c r="W38" s="7" cm="1">
        <f t="array" ref="W38">IF(HB[[#This Row],[Number_of_competition]:[Number_of_competition]]&gt;=3,(LARGE(CHOOSE({1;2;3;4},H38,K38,N38,Q38),1)+LARGE(CHOOSE({1;2;3;4},H38,K38,N38,Q38),2)+LARGE(CHOOSE({1;2;3;4},H38,K38,N38,Q38),3))/3,0)</f>
        <v>0</v>
      </c>
    </row>
    <row r="39" spans="1:23" x14ac:dyDescent="0.25">
      <c r="R39" s="4"/>
      <c r="S39" s="7"/>
      <c r="T39" s="7"/>
      <c r="U39" s="4"/>
      <c r="V39" s="7"/>
      <c r="W39" s="7"/>
    </row>
    <row r="41" spans="1:23" ht="22.5" customHeight="1" x14ac:dyDescent="0.25">
      <c r="A41" s="16" t="s">
        <v>2</v>
      </c>
      <c r="B41" s="16" t="s">
        <v>266</v>
      </c>
      <c r="C41" s="16" t="s">
        <v>271</v>
      </c>
      <c r="D41" s="17" t="s">
        <v>272</v>
      </c>
      <c r="E41" s="17" t="s">
        <v>270</v>
      </c>
      <c r="F41" s="18" t="s">
        <v>253</v>
      </c>
    </row>
    <row r="42" spans="1:23" ht="22.5" customHeight="1" x14ac:dyDescent="0.25">
      <c r="A42" s="15" t="s">
        <v>60</v>
      </c>
      <c r="B42" s="15" t="s">
        <v>269</v>
      </c>
      <c r="C42" s="4" cm="1">
        <f t="array" ref="C42">SUM(_xlfn._xlws.FILTER(HB[bydgoszcz_HB_Dscore],HB[Category]="senior"),_xlfn._xlws.FILTER(HB[zabrze_HB_Dscore],HB[Category]="senior"),_xlfn._xlws.FILTER(HB[cracow_HB_Dscore],HB[Category]="senior"),_xlfn._xlws.FILTER(HB[gdansk_HB_Dscore],HB[Category]="senior"))/(COUNTIFS(HB[bydgoszcz_HB_Dscore],"&gt;0",HB[Category],"senior")+COUNTIFS(HB[zabrze_HB_Dscore],"&gt;0",HB[Category],"senior")+COUNTIFS(HB[cracow_HB_Dscore],"&gt;0",HB[Category],"senior")+COUNTIFS(HB[gdansk_HB_Dscore],"&gt;0",HB[Category],"senior"))</f>
        <v>3.1875</v>
      </c>
      <c r="D42" s="4" cm="1">
        <f t="array" ref="D42">_xlfn.STDEV.S(_xlfn._xlws.FILTER(HB[bydgoszcz_HB_Dscore],(HB[Category]="senior")*(HB[bydgoszcz_HB_Dscore])&gt;0),_xlfn._xlws.FILTER(HB[zabrze_HB_Dscore],(HB[Category]="senior")*(HB[zabrze_HB_Dscore])&gt;0),_xlfn._xlws.FILTER(HB[cracow_HB_Dscore],(HB[Category]="senior")*(HB[cracow_HB_Dscore])&gt;0),_xlfn._xlws.FILTER(HB[gdansk_HB_Dscore],(HB[Category]="senior")*(HB[gdansk_HB_Dscore])&gt;0))</f>
        <v>0.86285646349537393</v>
      </c>
      <c r="E42" s="4" cm="1">
        <f t="array" ref="E42">MAX(_xlfn._xlws.FILTER(HB[bydgoszcz_HB_Dscore],HB[Category]="senior"),_xlfn._xlws.FILTER(HB[zabrze_HB_Dscore],HB[Category]="senior"),_xlfn._xlws.FILTER(HB[cracow_HB_Dscore],HB[Category]="senior"),_xlfn._xlws.FILTER(HB[gdansk_HB_Dscore],HB[Category]="senior"))</f>
        <v>4.9000000000000004</v>
      </c>
      <c r="F42" s="2" t="str" cm="1">
        <f t="array" ref="F42">_xlfn.XLOOKUP(E42,_xlfn._xlws.FILTER(HB[bydgoszcz_HB_Dscore],HB[Category]="senior"),_xlfn._xlws.FILTER(HB[Name],HB[Category]="senior"),_xlfn.XLOOKUP(E42,_xlfn._xlws.FILTER(HB[zabrze_HB_Dscore],HB[Category]="senior"),_xlfn._xlws.FILTER(HB[Name],HB[Category]="senior"),_xlfn.XLOOKUP(E42,_xlfn._xlws.FILTER(HB[cracow_HB_Dscore],HB[Category]="senior"),_xlfn._xlws.FILTER(HB[Name],HB[Category]="senior"),_xlfn.XLOOKUP(E42,_xlfn._xlws.FILTER(HB[gdansk_HB_Dscore],HB[Category]="senior"),_xlfn._xlws.FILTER(HB[Name],HB[Category]="senior")))))</f>
        <v>GARNCZAREK Kacper</v>
      </c>
    </row>
    <row r="43" spans="1:23" ht="22.5" customHeight="1" x14ac:dyDescent="0.25">
      <c r="A43" s="15" t="s">
        <v>60</v>
      </c>
      <c r="B43" s="15" t="s">
        <v>267</v>
      </c>
      <c r="C43" s="7" cm="1">
        <f t="array" ref="C43">SUM(_xlfn._xlws.FILTER(HB[bydgoszcz_HB_Escore],HB[Category]="senior"),_xlfn._xlws.FILTER(HB[zabrze_HB_Escore],HB[Category]="senior"),_xlfn._xlws.FILTER(HB[cracow_HB_Escore],HB[Category]="senior"),_xlfn._xlws.FILTER(HB[gdansk_HB_Escore],HB[Category]="senior"))/(COUNTIFS(HB[bydgoszcz_HB_Escore],"&gt;0",HB[Category],"senior")+COUNTIFS(HB[zabrze_HB_Escore],"&gt;0",HB[Category],"senior")+COUNTIFS(HB[cracow_HB_Escore],"&gt;0",HB[Category],"senior")+COUNTIFS(HB[gdansk_HB_Escore],"&gt;0",HB[Category],"senior"))</f>
        <v>7.4031249999999984</v>
      </c>
      <c r="D43" s="7" cm="1">
        <f t="array" ref="D43">_xlfn.STDEV.S(_xlfn._xlws.FILTER(HB[bydgoszcz_HB_Escore],(HB[Category]="senior")*(HB[bydgoszcz_HB_Escore])&gt;0),_xlfn._xlws.FILTER(HB[zabrze_HB_Escore],(HB[Category]="senior")*(HB[zabrze_HB_Escore])&gt;0),_xlfn._xlws.FILTER(HB[cracow_HB_Escore],(HB[Category]="senior")*(HB[cracow_HB_Escore])&gt;0),_xlfn._xlws.FILTER(HB[gdansk_HB_Escore],(HB[Category]="senior")*(HB[gdansk_HB_Escore])&gt;0))</f>
        <v>1.2906128451078793</v>
      </c>
      <c r="E43" s="7" cm="1">
        <f t="array" ref="E43">MAX(_xlfn._xlws.FILTER(HB[bydgoszcz_HB_Escore],HB[Category]="senior"),_xlfn._xlws.FILTER(HB[zabrze_HB_Escore],HB[Category]="senior"),_xlfn._xlws.FILTER(HB[cracow_HB_Escore],HB[Category]="senior"),_xlfn._xlws.FILTER(HB[gdansk_HB_Escore],HB[Category]="senior"))</f>
        <v>8.9</v>
      </c>
      <c r="F43" s="2" t="str" cm="1">
        <f t="array" ref="F43">_xlfn.XLOOKUP(E43,_xlfn._xlws.FILTER(HB[bydgoszcz_HB_Escore],HB[Category]="senior"),_xlfn._xlws.FILTER(HB[Name],HB[Category]="senior"),_xlfn.XLOOKUP(E43,_xlfn._xlws.FILTER(HB[zabrze_HB_Escore],HB[Category]="senior"),_xlfn._xlws.FILTER(HB[Name],HB[Category]="senior"),_xlfn.XLOOKUP(E43,_xlfn._xlws.FILTER(HB[cracow_HB_Escore],HB[Category]="senior"),_xlfn._xlws.FILTER(HB[Name],HB[Category]="senior"),_xlfn.XLOOKUP(E43,_xlfn._xlws.FILTER(HB[gdansk_HB_Escore],HB[Category]="senior"),_xlfn._xlws.FILTER(HB[Name],HB[Category]="senior")))))</f>
        <v>KUROWSKI Jakub</v>
      </c>
    </row>
    <row r="44" spans="1:23" ht="22.5" customHeight="1" x14ac:dyDescent="0.25">
      <c r="A44" s="15" t="s">
        <v>60</v>
      </c>
      <c r="B44" s="15" t="s">
        <v>268</v>
      </c>
      <c r="C44" s="7" cm="1">
        <f t="array" ref="C44">SUM(_xlfn._xlws.FILTER(HB[bydgoszcz_HB_Total_Score],HB[Category]="senior"),_xlfn._xlws.FILTER(HB[zabrze_HB_Total_Score],HB[Category]="senior"),_xlfn._xlws.FILTER(HB[cracow_HB_Total_Score],HB[Category]="senior"),_xlfn._xlws.FILTER(HB[gdansk_HB_Total_Score],HB[Category]="senior"))/(COUNTIFS(HB[bydgoszcz_HB_Total_Score],"&gt;0",HB[Category],"senior")+COUNTIFS(HB[zabrze_HB_Total_Score],"&gt;0",HB[Category],"senior")+COUNTIFS(HB[cracow_HB_Total_Score],"&gt;0",HB[Category],"senior")+COUNTIFS(HB[gdansk_HB_Total_Score],"&gt;0",HB[Category],"senior"))</f>
        <v>10.590624999999999</v>
      </c>
      <c r="D44" s="7" cm="1">
        <f t="array" ref="D44">_xlfn.STDEV.S(_xlfn._xlws.FILTER(HB[bydgoszcz_HB_Total_Score],(HB[Category]="senior")*(HB[bydgoszcz_HB_Total_Score])&gt;0),_xlfn._xlws.FILTER(HB[zabrze_HB_Total_Score],(HB[Category]="senior")*(HB[zabrze_HB_Total_Score])&gt;0),_xlfn._xlws.FILTER(HB[cracow_HB_Total_Score],(HB[Category]="senior")*(HB[cracow_HB_Total_Score])&gt;0),_xlfn._xlws.FILTER(HB[gdansk_HB_Total_Score],(HB[Category]="senior")*(HB[gdansk_HB_Total_Score])&gt;0))</f>
        <v>1.6950069431226658</v>
      </c>
      <c r="E44" s="7" cm="1">
        <f t="array" ref="E44">MAX(_xlfn._xlws.FILTER(HB[bydgoszcz_HB_Total_Score],HB[Category]="senior"),_xlfn._xlws.FILTER(HB[zabrze_HB_Total_Score],HB[Category]="senior"),_xlfn._xlws.FILTER(HB[cracow_HB_Total_Score],HB[Category]="senior"),_xlfn._xlws.FILTER(HB[gdansk_HB_Total_Score],HB[Category]="senior"))</f>
        <v>12.8</v>
      </c>
      <c r="F44" s="2" t="str" cm="1">
        <f t="array" ref="F44">_xlfn.XLOOKUP(E44,_xlfn._xlws.FILTER(HB[bydgoszcz_HB_Total_Score],HB[Category]="senior"),_xlfn._xlws.FILTER(HB[Name],HB[Category]="senior"),_xlfn.XLOOKUP(E44,_xlfn._xlws.FILTER(HB[zabrze_HB_Total_Score],HB[Category]="senior"),_xlfn._xlws.FILTER(HB[Name],HB[Category]="senior"),_xlfn.XLOOKUP(E44,_xlfn._xlws.FILTER(HB[cracow_HB_Total_Score],HB[Category]="senior"),_xlfn._xlws.FILTER(HB[Name],HB[Category]="senior"),_xlfn.XLOOKUP(E44,_xlfn._xlws.FILTER(HB[gdansk_HB_Total_Score],HB[Category]="senior"),_xlfn._xlws.FILTER(HB[Name],HB[Category]="senior")))))</f>
        <v>SASNAL Filip</v>
      </c>
    </row>
    <row r="45" spans="1:23" ht="22.5" customHeight="1" x14ac:dyDescent="0.25">
      <c r="A45" s="15" t="s">
        <v>60</v>
      </c>
      <c r="B45" s="15" t="s">
        <v>275</v>
      </c>
      <c r="C45" s="4" cm="1">
        <f t="array" ref="C45">SUM(_xlfn._xlws.FILTER(HB[Year_Dscore],(HB[Category]="senior")*(HB[Number_of_competition]&gt;=3))/COUNTIFS(HB[Number_of_competition],"&gt;=3",HB[Category],"senior"))</f>
        <v>9.5666666666666682</v>
      </c>
      <c r="D45" s="4" cm="1">
        <f t="array" ref="D45">_xlfn.STDEV.S(_xlfn._xlws.FILTER(HB[Year_Dscore],(HB[Category]="senior")*(HB[Number_of_competition]&gt;=3)))</f>
        <v>2.552939482243954</v>
      </c>
      <c r="E45" s="4" cm="1">
        <f t="array" ref="E45">MAX(_xlfn._xlws.FILTER(HB[Year_Dscore],HB[Category]="senior"))</f>
        <v>14.1</v>
      </c>
      <c r="F45" s="2" t="str" cm="1">
        <f t="array" ref="F45">_xlfn.XLOOKUP(HB_Calculation[[#This Row],[Top]],_xlfn._xlws.FILTER(HB[Year_Dscore],HB[Category]="senior"),_xlfn._xlws.FILTER(HB[Name],HB[Category]="senior"))</f>
        <v>GARNCZAREK Kacper</v>
      </c>
    </row>
    <row r="46" spans="1:23" ht="22.5" customHeight="1" x14ac:dyDescent="0.25">
      <c r="A46" s="15" t="s">
        <v>60</v>
      </c>
      <c r="B46" s="15" t="s">
        <v>276</v>
      </c>
      <c r="C46" s="7" cm="1">
        <f t="array" ref="C46">SUM(_xlfn._xlws.FILTER(HB[Year_Escore],(HB[Category]="senior")*(HB[Number_of_competition]&gt;=3))/COUNTIFS(HB[Number_of_competition],"&gt;=3",HB[Category],"senior"))</f>
        <v>23.238888888888891</v>
      </c>
      <c r="D46" s="7" cm="1">
        <f t="array" ref="D46">_xlfn.STDEV.S(_xlfn._xlws.FILTER(HB[Year_Escore],(HB[Category]="senior")*(HB[Number_of_competition]&gt;=3)))</f>
        <v>1.3568754958031741</v>
      </c>
      <c r="E46" s="7" cm="1">
        <f t="array" ref="E46">MAX(_xlfn._xlws.FILTER(HB[Year_Escore],HB[Category]="senior"))</f>
        <v>25.15</v>
      </c>
      <c r="F46" s="2" t="str" cm="1">
        <f t="array" ref="F46">_xlfn.XLOOKUP(HB_Calculation[[#This Row],[Top]],_xlfn._xlws.FILTER(HB[Year_Escore],HB[Category]="senior"),_xlfn._xlws.FILTER(HB[Name],HB[Category]="senior"))</f>
        <v>KUROWSKI Jakub</v>
      </c>
    </row>
    <row r="47" spans="1:23" ht="22.5" customHeight="1" x14ac:dyDescent="0.25">
      <c r="A47" s="15" t="s">
        <v>60</v>
      </c>
      <c r="B47" s="15" t="s">
        <v>277</v>
      </c>
      <c r="C47" s="7" cm="1">
        <f t="array" ref="C47">SUM(_xlfn._xlws.FILTER(HB[Year_Total_Score],(HB[Category]="senior")*(HB[Number_of_competition]&gt;=3))/COUNTIFS(HB[Number_of_competition],"&gt;=3",HB[Category],"senior"))</f>
        <v>32.68333333333333</v>
      </c>
      <c r="D47" s="7" cm="1">
        <f t="array" ref="D47">_xlfn.STDEV.S(_xlfn._xlws.FILTER(HB[Year_Total_Score],(HB[Category]="senior")*(HB[Number_of_competition]&gt;=3)))</f>
        <v>3.1069478592342037</v>
      </c>
      <c r="E47" s="7" cm="1">
        <f t="array" ref="E47">MAX(_xlfn._xlws.FILTER(HB[Year_Total_Score],HB[Category]="senior"))</f>
        <v>37.400000000000006</v>
      </c>
      <c r="F47" s="2" t="str" cm="1">
        <f t="array" ref="F47">_xlfn.XLOOKUP(HB_Calculation[[#This Row],[Top]],_xlfn._xlws.FILTER(HB[Year_Total_Score],HB[Category]="senior"),_xlfn._xlws.FILTER(HB[Name],HB[Category]="senior"))</f>
        <v>SASNAL Filip</v>
      </c>
    </row>
    <row r="48" spans="1:23" x14ac:dyDescent="0.25">
      <c r="A48" s="14" t="s">
        <v>26</v>
      </c>
      <c r="B48" s="14" t="s">
        <v>269</v>
      </c>
      <c r="C48" s="4" cm="1">
        <f t="array" ref="C48">SUM(_xlfn._xlws.FILTER(HB[bydgoszcz_HB_Dscore],HB[Category]="junior"),_xlfn._xlws.FILTER(HB[zabrze_HB_Dscore],HB[Category]="junior"),_xlfn._xlws.FILTER(HB[cracow_HB_Dscore],HB[Category]="junior"),_xlfn._xlws.FILTER(HB[gdansk_HB_Dscore],HB[Category]="junior"))/(COUNTIFS(HB[bydgoszcz_HB_Dscore],"&gt;0",HB[Category],"junior")+COUNTIFS(HB[zabrze_HB_Dscore],"&gt;0",HB[Category],"junior")+COUNTIFS(HB[cracow_HB_Dscore],"&gt;0",HB[Category],"junior")+COUNTIFS(HB[gdansk_HB_Dscore],"&gt;0",HB[Category],"junior"))</f>
        <v>2.406122448979592</v>
      </c>
      <c r="D48" s="4" cm="1">
        <f t="array" ref="D48">_xlfn.STDEV.S(_xlfn._xlws.FILTER(HB[bydgoszcz_HB_Dscore],(HB[Category]="junior")*(HB[bydgoszcz_HB_Dscore])&gt;0),_xlfn._xlws.FILTER(HB[zabrze_HB_Dscore],(HB[Category]="junior")*(HB[zabrze_HB_Dscore])&gt;0),_xlfn._xlws.FILTER(HB[cracow_HB_Dscore],(HB[Category]="junior")*(HB[cracow_HB_Dscore])&gt;0),_xlfn._xlws.FILTER(HB[gdansk_HB_Dscore],(HB[Category]="junior")*(HB[gdansk_HB_Dscore])&gt;0))</f>
        <v>0.67989219833775683</v>
      </c>
      <c r="E48" s="4" cm="1">
        <f t="array" ref="E48">MAX(_xlfn._xlws.FILTER(HB[bydgoszcz_HB_Dscore],HB[Category]="junior"),_xlfn._xlws.FILTER(HB[zabrze_HB_Dscore],HB[Category]="junior"),_xlfn._xlws.FILTER(HB[cracow_HB_Dscore],HB[Category]="junior"),_xlfn._xlws.FILTER(HB[gdansk_HB_Dscore],HB[Category]="junior"))</f>
        <v>3.4</v>
      </c>
      <c r="F48" s="2" t="str" cm="1">
        <f t="array" ref="F48">_xlfn.XLOOKUP(E48,_xlfn._xlws.FILTER(HB[bydgoszcz_HB_Dscore],HB[Category]="junior"),_xlfn._xlws.FILTER(HB[Name],HB[Category]="junior"),_xlfn.XLOOKUP(E48,_xlfn._xlws.FILTER(HB[zabrze_HB_Dscore],HB[Category]="junior"),_xlfn._xlws.FILTER(HB[Name],HB[Category]="junior"),_xlfn.XLOOKUP(E48,_xlfn._xlws.FILTER(HB[cracow_HB_Dscore],HB[Category]="junior"),_xlfn._xlws.FILTER(HB[Name],HB[Category]="junior"),_xlfn.XLOOKUP(E48,_xlfn._xlws.FILTER(HB[gdansk_HB_Dscore],HB[Category]="junior"),_xlfn._xlws.FILTER(HB[Name],HB[Category]="junior")))))</f>
        <v>KUZDRA Christian</v>
      </c>
    </row>
    <row r="49" spans="1:6" x14ac:dyDescent="0.25">
      <c r="A49" s="14" t="s">
        <v>26</v>
      </c>
      <c r="B49" s="14" t="s">
        <v>267</v>
      </c>
      <c r="C49" s="7" cm="1">
        <f t="array" ref="C49">SUM(_xlfn._xlws.FILTER(HB[bydgoszcz_HB_Escore],HB[Category]="junior"),_xlfn._xlws.FILTER(HB[zabrze_HB_Escore],HB[Category]="junior"),_xlfn._xlws.FILTER(HB[cracow_HB_Escore],HB[Category]="junior"),_xlfn._xlws.FILTER(HB[gdansk_HB_Escore],HB[Category]="junior"))/(COUNTIFS(HB[bydgoszcz_HB_Escore],"&gt;0",HB[Category],"junior")+COUNTIFS(HB[zabrze_HB_Escore],"&gt;0",HB[Category],"junior")+COUNTIFS(HB[cracow_HB_Escore],"&gt;0",HB[Category],"junior")+COUNTIFS(HB[gdansk_HB_Escore],"&gt;0",HB[Category],"junior"))</f>
        <v>7.4622448979591836</v>
      </c>
      <c r="D49" s="7" cm="1">
        <f t="array" ref="D49">_xlfn.STDEV.S(_xlfn._xlws.FILTER(HB[bydgoszcz_HB_Escore],(HB[Category]="junior")*(HB[bydgoszcz_HB_Escore])&gt;0),_xlfn._xlws.FILTER(HB[zabrze_HB_Escore],(HB[Category]="junior")*(HB[zabrze_HB_Escore])&gt;0),_xlfn._xlws.FILTER(HB[cracow_HB_Escore],(HB[Category]="junior")*(HB[cracow_HB_Escore])&gt;0),_xlfn._xlws.FILTER(HB[gdansk_HB_Escore],(HB[Category]="junior")*(HB[gdansk_HB_Escore])&gt;0))</f>
        <v>1.656443561401604</v>
      </c>
      <c r="E49" s="7" cm="1">
        <f t="array" ref="E49">MAX(_xlfn._xlws.FILTER(HB[bydgoszcz_HB_Escore],HB[Category]="junior"),_xlfn._xlws.FILTER(HB[zabrze_HB_Escore],HB[Category]="junior"),_xlfn._xlws.FILTER(HB[cracow_HB_Escore],HB[Category]="junior"),_xlfn._xlws.FILTER(HB[gdansk_HB_Escore],HB[Category]="junior"))</f>
        <v>9.4499999999999993</v>
      </c>
      <c r="F49" s="2" t="str" cm="1">
        <f t="array" ref="F49">_xlfn.XLOOKUP(E49,_xlfn._xlws.FILTER(HB[bydgoszcz_HB_Escore],HB[Category]="junior"),_xlfn._xlws.FILTER(HB[Name],HB[Category]="junior"),_xlfn.XLOOKUP(E49,_xlfn._xlws.FILTER(HB[zabrze_HB_Escore],HB[Category]="junior"),_xlfn._xlws.FILTER(HB[Name],HB[Category]="junior"),_xlfn.XLOOKUP(E49,_xlfn._xlws.FILTER(HB[cracow_HB_Escore],HB[Category]="junior"),_xlfn._xlws.FILTER(HB[Name],HB[Category]="junior"),_xlfn.XLOOKUP(E49,_xlfn._xlws.FILTER(HB[gdansk_HB_Escore],HB[Category]="junior"),_xlfn._xlws.FILTER(HB[Name],HB[Category]="junior")))))</f>
        <v>LEKHAC Tomasz</v>
      </c>
    </row>
    <row r="50" spans="1:6" x14ac:dyDescent="0.25">
      <c r="A50" s="14" t="s">
        <v>26</v>
      </c>
      <c r="B50" s="14" t="s">
        <v>268</v>
      </c>
      <c r="C50" s="7" cm="1">
        <f t="array" ref="C50">SUM(_xlfn._xlws.FILTER(HB[bydgoszcz_HB_Total_Score],HB[Category]="junior"),_xlfn._xlws.FILTER(HB[zabrze_HB_Total_Score],HB[Category]="junior"),_xlfn._xlws.FILTER(HB[cracow_HB_Total_Score],HB[Category]="junior"),_xlfn._xlws.FILTER(HB[gdansk_HB_Total_Score],HB[Category]="junior"))/(COUNTIFS(HB[bydgoszcz_HB_Total_Score],"&gt;0",HB[Category],"junior")+COUNTIFS(HB[zabrze_HB_Total_Score],"&gt;0",HB[Category],"junior")+COUNTIFS(HB[cracow_HB_Total_Score],"&gt;0",HB[Category],"junior")+COUNTIFS(HB[gdansk_HB_Total_Score],"&gt;0",HB[Category],"junior"))</f>
        <v>9.8683673469387774</v>
      </c>
      <c r="D50" s="7" cm="1">
        <f t="array" ref="D50">_xlfn.STDEV.S(_xlfn._xlws.FILTER(HB[bydgoszcz_HB_Total_Score],(HB[Category]="junior")*(HB[bydgoszcz_HB_Total_Score])&gt;0),_xlfn._xlws.FILTER(HB[zabrze_HB_Total_Score],(HB[Category]="junior")*(HB[zabrze_HB_Total_Score])&gt;0),_xlfn._xlws.FILTER(HB[cracow_HB_Total_Score],(HB[Category]="junior")*(HB[cracow_HB_Total_Score])&gt;0),_xlfn._xlws.FILTER(HB[gdansk_HB_Total_Score],(HB[Category]="junior")*(HB[gdansk_HB_Total_Score])&gt;0))</f>
        <v>2.0639437845004838</v>
      </c>
      <c r="E50" s="7" cm="1">
        <f t="array" ref="E50">MAX(_xlfn._xlws.FILTER(HB[bydgoszcz_HB_Total_Score],HB[Category]="junior"),_xlfn._xlws.FILTER(HB[zabrze_HB_Total_Score],HB[Category]="junior"),_xlfn._xlws.FILTER(HB[cracow_HB_Total_Score],HB[Category]="junior"),_xlfn._xlws.FILTER(HB[gdansk_HB_Total_Score],HB[Category]="junior"))</f>
        <v>12.15</v>
      </c>
      <c r="F50" s="2" t="str" cm="1">
        <f t="array" ref="F50">_xlfn.XLOOKUP(E50,_xlfn._xlws.FILTER(HB[bydgoszcz_HB_Total_Score],HB[Category]="junior"),_xlfn._xlws.FILTER(HB[Name],HB[Category]="junior"),_xlfn.XLOOKUP(E50,_xlfn._xlws.FILTER(HB[zabrze_HB_Total_Score],HB[Category]="junior"),_xlfn._xlws.FILTER(HB[Name],HB[Category]="junior"),_xlfn.XLOOKUP(E50,_xlfn._xlws.FILTER(HB[cracow_HB_Total_Score],HB[Category]="junior"),_xlfn._xlws.FILTER(HB[Name],HB[Category]="junior"),_xlfn.XLOOKUP(E50,_xlfn._xlws.FILTER(HB[gdansk_HB_Total_Score],HB[Category]="junior"),_xlfn._xlws.FILTER(HB[Name],HB[Category]="junior")))))</f>
        <v>LEKHAC Tomasz</v>
      </c>
    </row>
    <row r="51" spans="1:6" x14ac:dyDescent="0.25">
      <c r="A51" s="15" t="s">
        <v>26</v>
      </c>
      <c r="B51" s="15" t="s">
        <v>275</v>
      </c>
      <c r="C51" s="4" cm="1">
        <f t="array" ref="C51">SUM(_xlfn._xlws.FILTER(HB[Year_Dscore],(HB[Category]="junior")*(HB[Number_of_competition]&gt;=3))/COUNTIFS(HB[Number_of_competition],"&gt;=3",HB[Category],"junior"))</f>
        <v>7.4363636363636365</v>
      </c>
      <c r="D51" s="4" cm="1">
        <f t="array" ref="D51">_xlfn.STDEV.S(_xlfn._xlws.FILTER(HB[Year_Dscore],(HB[Category]="junior")*(HB[Number_of_competition]&gt;=3)))</f>
        <v>1.7755408906993468</v>
      </c>
      <c r="E51" s="4" cm="1">
        <f t="array" ref="E51">MAX(_xlfn._xlws.FILTER(HB[Year_Dscore],HB[Category]="junior"))</f>
        <v>10.199999999999999</v>
      </c>
      <c r="F51" s="2" t="str" cm="1">
        <f t="array" ref="F51">_xlfn.XLOOKUP(HB_Calculation[[#This Row],[Top]],_xlfn._xlws.FILTER(HB[Year_Dscore],HB[Category]="junior"),_xlfn._xlws.FILTER(HB[Name],HB[Category]="junior"))</f>
        <v>KUZDRA Christian</v>
      </c>
    </row>
    <row r="52" spans="1:6" x14ac:dyDescent="0.25">
      <c r="A52" s="15" t="s">
        <v>26</v>
      </c>
      <c r="B52" s="15" t="s">
        <v>276</v>
      </c>
      <c r="C52" s="7" cm="1">
        <f t="array" ref="C52">SUM(_xlfn._xlws.FILTER(HB[Year_Escore],(HB[Category]="junior")*(HB[Number_of_competition]&gt;=3))/COUNTIFS(HB[Number_of_competition],"&gt;=3",HB[Category],"junior"))</f>
        <v>23.386363636363633</v>
      </c>
      <c r="D52" s="7" cm="1">
        <f t="array" ref="D52">_xlfn.STDEV.S(_xlfn._xlws.FILTER(HB[Year_Escore],(HB[Category]="junior")*(HB[Number_of_competition]&gt;=3)))</f>
        <v>2.4494990211358441</v>
      </c>
      <c r="E52" s="7" cm="1">
        <f t="array" ref="E52">MAX(_xlfn._xlws.FILTER(HB[Year_Escore],HB[Category]="junior"))</f>
        <v>27.85</v>
      </c>
      <c r="F52" s="2" t="str" cm="1">
        <f t="array" ref="F52">_xlfn.XLOOKUP(HB_Calculation[[#This Row],[Top]],_xlfn._xlws.FILTER(HB[Year_Escore],HB[Category]="junior"),_xlfn._xlws.FILTER(HB[Name],HB[Category]="junior"))</f>
        <v>LEKHAC Tomasz</v>
      </c>
    </row>
    <row r="53" spans="1:6" x14ac:dyDescent="0.25">
      <c r="A53" s="23" t="s">
        <v>26</v>
      </c>
      <c r="B53" s="23" t="s">
        <v>277</v>
      </c>
      <c r="C53" s="7" cm="1">
        <f t="array" ref="C53">SUM(_xlfn._xlws.FILTER(HB[Year_Total_Score],(HB[Category]="junior")*(HB[Number_of_competition]&gt;=3))/COUNTIFS(HB[Number_of_competition],"&gt;=3",HB[Category],"junior"))</f>
        <v>30.795454545454543</v>
      </c>
      <c r="D53" s="7" cm="1">
        <f t="array" ref="D53">_xlfn.STDEV.S(_xlfn._xlws.FILTER(HB[Year_Total_Score],(HB[Category]="junior")*(HB[Number_of_competition]&gt;=3)))</f>
        <v>3.0969706606177718</v>
      </c>
      <c r="E53" s="7" cm="1">
        <f t="array" ref="E53">MAX(_xlfn._xlws.FILTER(HB[Year_Total_Score],HB[Category]="junior"))</f>
        <v>35.950000000000003</v>
      </c>
      <c r="F53" s="2" t="str" cm="1">
        <f t="array" ref="F53">_xlfn.XLOOKUP(HB_Calculation[[#This Row],[Top]],_xlfn._xlws.FILTER(HB[Year_Total_Score],HB[Category]="junior"),_xlfn._xlws.FILTER(HB[Name],HB[Category]="junior"))</f>
        <v>LEKHAC Tomasz</v>
      </c>
    </row>
  </sheetData>
  <mergeCells count="2">
    <mergeCell ref="Y2:Y7"/>
    <mergeCell ref="Y8:Y13"/>
  </mergeCells>
  <conditionalFormatting sqref="A2:A38">
    <cfRule type="expression" dxfId="35" priority="1">
      <formula>IF($B2="junior",$T2=MAX(_xlfn._xlws.FILTER($T$2:$T$47,$B$2:$B$47="junior")),$T2=MAX(_xlfn._xlws.FILTER($T$2:$T$47,$B$2:$B$47="senior")))</formula>
    </cfRule>
    <cfRule type="expression" dxfId="34" priority="2">
      <formula>IF($B2="junior",$T2=LARGE(_xlfn._xlws.FILTER($T$2:$T$47,$B$2:$B$47="junior"),2),$T2=LARGE(_xlfn._xlws.FILTER($T$2:$T$47,$B$2:$B$47="senior"),2))</formula>
    </cfRule>
    <cfRule type="expression" dxfId="33" priority="3">
      <formula>IF($B2="junior",$T2=LARGE(_xlfn._xlws.FILTER($T$2:$T$47,$B$2:$B$47="junior"),3),$T2=LARGE(_xlfn._xlws.FILTER($T$2:$T$47,$B$2:$B$47="senior"),3))</formula>
    </cfRule>
    <cfRule type="expression" dxfId="32" priority="4">
      <formula>IF($B2="junior",$R2=MAX(_xlfn._xlws.FILTER($R$2:$R$47,$B$2:$B$47="junior")),$R2=MAX(_xlfn._xlws.FILTER($R$2:$R$47,$B$2:$B$47="senior")))</formula>
    </cfRule>
    <cfRule type="expression" dxfId="31" priority="5">
      <formula>IF($B2="junior",$S2=MAX(_xlfn._xlws.FILTER($S$2:$S$47,$B$2:$B$47="junior")),$S2=MAX(_xlfn._xlws.FILTER($S$2:$S$47,$B$2:$B$47="senior")))</formula>
    </cfRule>
  </conditionalFormatting>
  <conditionalFormatting sqref="F2:F39 I2:I39 L2:L39 O2:O39 U2:U39">
    <cfRule type="expression" dxfId="30" priority="10">
      <formula>IF($B2="junior",F2&gt;=($AA$8+$AB$8),F2&gt;=($AA$2+$AB$2))</formula>
    </cfRule>
  </conditionalFormatting>
  <conditionalFormatting sqref="F2:F39 I2:I39 L2:L39 O2:O39">
    <cfRule type="expression" dxfId="29" priority="14">
      <formula>AND(AND($B2="junior",F2&lt;2.6),F2&gt;0)</formula>
    </cfRule>
    <cfRule type="expression" dxfId="28" priority="15">
      <formula>AND(AND($B2="senior",F2&lt;2.9),F2&gt;0)</formula>
    </cfRule>
  </conditionalFormatting>
  <conditionalFormatting sqref="F2:W39">
    <cfRule type="cellIs" dxfId="27" priority="16" operator="equal">
      <formula>0</formula>
    </cfRule>
  </conditionalFormatting>
  <conditionalFormatting sqref="H2:H39 K2:K39 N2:N39 Q2:Q39 W2:W39">
    <cfRule type="expression" dxfId="26" priority="11">
      <formula>IF($B2="junior",H2&gt;=($AA$10+$AB$10),H2&gt;=($AA$4+$AB$4))</formula>
    </cfRule>
  </conditionalFormatting>
  <conditionalFormatting sqref="H2:H39 K2:K39 N2:N39 Q2:Q39">
    <cfRule type="expression" dxfId="25" priority="8">
      <formula>IF($B2="junior",H2&gt;=$AC$10,H2&gt;=$AC$4)</formula>
    </cfRule>
  </conditionalFormatting>
  <conditionalFormatting sqref="R2:R39">
    <cfRule type="expression" dxfId="24" priority="9">
      <formula>IF($B2="junior",R2&gt;=($AA$11+$AB$11),R2&gt;=($AA$5+$AB$5))</formula>
    </cfRule>
  </conditionalFormatting>
  <conditionalFormatting sqref="S2:S39">
    <cfRule type="expression" dxfId="23" priority="13">
      <formula>IF($B2="junior",S2&gt;=$AA$12+$AB$12,S2&gt;=$AA$6+$AB$6)</formula>
    </cfRule>
  </conditionalFormatting>
  <conditionalFormatting sqref="T2:T39">
    <cfRule type="expression" dxfId="22" priority="7">
      <formula>IF($B2="junior",T2&gt;=$AC$13,T2&gt;=$AC$7)</formula>
    </cfRule>
    <cfRule type="expression" dxfId="21" priority="12">
      <formula>IF($B2="junior",T2&gt;=($AA$13+$AB$13),T2&gt;=($AA$7+$AB$7))</formula>
    </cfRule>
  </conditionalFormatting>
  <conditionalFormatting sqref="V2:V39">
    <cfRule type="expression" dxfId="20" priority="6">
      <formula>IF($B2="junior",V2&gt;=$AA$9+$AB$9,V2&gt;=$AA$3+$AB$3)</formula>
    </cfRule>
  </conditionalFormatting>
  <pageMargins left="0.7" right="0.7" top="0.75" bottom="0.75" header="0.3" footer="0.3"/>
  <tableParts count="2">
    <tablePart r:id="rId1"/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F20802-9EC6-2A47-AD7E-AC059655761E}">
  <sheetPr codeName="Arkusz12">
    <tabColor theme="5" tint="0.39997558519241921"/>
  </sheetPr>
  <dimension ref="A1:DA70"/>
  <sheetViews>
    <sheetView topLeftCell="A22" zoomScale="70" zoomScaleNormal="70" workbookViewId="0">
      <selection activeCell="CX37" sqref="CX37"/>
    </sheetView>
  </sheetViews>
  <sheetFormatPr defaultColWidth="11" defaultRowHeight="15.75" x14ac:dyDescent="0.25"/>
  <cols>
    <col min="1" max="1" width="22.125" bestFit="1" customWidth="1"/>
    <col min="2" max="2" width="17" style="2" bestFit="1" customWidth="1"/>
    <col min="3" max="3" width="17" bestFit="1" customWidth="1"/>
    <col min="4" max="4" width="25.125" bestFit="1" customWidth="1"/>
    <col min="5" max="5" width="26.375" bestFit="1" customWidth="1"/>
    <col min="6" max="6" width="26.375" style="4" hidden="1" customWidth="1"/>
    <col min="7" max="8" width="8" style="7" hidden="1" customWidth="1"/>
    <col min="9" max="9" width="8" style="4" hidden="1" customWidth="1"/>
    <col min="10" max="11" width="8" style="7" hidden="1" customWidth="1"/>
    <col min="12" max="12" width="8" style="4" hidden="1" customWidth="1"/>
    <col min="13" max="14" width="8" style="7" hidden="1" customWidth="1"/>
    <col min="15" max="15" width="8" style="4" hidden="1" customWidth="1"/>
    <col min="16" max="17" width="8" style="7" hidden="1" customWidth="1"/>
    <col min="18" max="18" width="8" style="4" hidden="1" customWidth="1"/>
    <col min="19" max="20" width="8" style="7" hidden="1" customWidth="1"/>
    <col min="21" max="21" width="8" style="4" hidden="1" customWidth="1"/>
    <col min="22" max="23" width="8" style="7" hidden="1" customWidth="1"/>
    <col min="24" max="24" width="23.125" style="2" bestFit="1" customWidth="1"/>
    <col min="25" max="27" width="8" style="7" customWidth="1"/>
    <col min="28" max="28" width="8" style="7" hidden="1" customWidth="1"/>
    <col min="29" max="45" width="8" style="2" hidden="1" customWidth="1"/>
    <col min="46" max="49" width="8" style="2" customWidth="1"/>
    <col min="50" max="67" width="8" style="2" hidden="1" customWidth="1"/>
    <col min="68" max="71" width="8" style="2" customWidth="1"/>
    <col min="72" max="89" width="8" style="2" hidden="1" customWidth="1"/>
    <col min="90" max="99" width="8" style="2" customWidth="1"/>
    <col min="101" max="101" width="16.5" bestFit="1" customWidth="1"/>
    <col min="102" max="102" width="16.875" bestFit="1" customWidth="1"/>
    <col min="103" max="103" width="16.5" bestFit="1" customWidth="1"/>
    <col min="104" max="104" width="10" bestFit="1" customWidth="1"/>
    <col min="105" max="105" width="10.625" bestFit="1" customWidth="1"/>
    <col min="106" max="106" width="22.125" bestFit="1" customWidth="1"/>
  </cols>
  <sheetData>
    <row r="1" spans="1:105" s="2" customFormat="1" x14ac:dyDescent="0.25">
      <c r="A1" s="2" t="s">
        <v>1</v>
      </c>
      <c r="B1" s="2" t="s">
        <v>2</v>
      </c>
      <c r="C1" s="2" t="s">
        <v>4</v>
      </c>
      <c r="D1" s="2" t="s">
        <v>5</v>
      </c>
      <c r="E1" s="2" t="s">
        <v>255</v>
      </c>
      <c r="F1" s="2" t="s">
        <v>145</v>
      </c>
      <c r="G1" s="2" t="s">
        <v>146</v>
      </c>
      <c r="H1" s="2" t="s">
        <v>147</v>
      </c>
      <c r="I1" s="2" t="s">
        <v>157</v>
      </c>
      <c r="J1" s="2" t="s">
        <v>158</v>
      </c>
      <c r="K1" s="2" t="s">
        <v>159</v>
      </c>
      <c r="L1" s="2" t="s">
        <v>169</v>
      </c>
      <c r="M1" s="2" t="s">
        <v>170</v>
      </c>
      <c r="N1" s="2" t="s">
        <v>171</v>
      </c>
      <c r="O1" s="2" t="s">
        <v>181</v>
      </c>
      <c r="P1" s="2" t="s">
        <v>182</v>
      </c>
      <c r="Q1" s="2" t="s">
        <v>183</v>
      </c>
      <c r="R1" s="2" t="s">
        <v>193</v>
      </c>
      <c r="S1" s="2" t="s">
        <v>194</v>
      </c>
      <c r="T1" s="2" t="s">
        <v>195</v>
      </c>
      <c r="U1" s="2" t="s">
        <v>205</v>
      </c>
      <c r="V1" s="2" t="s">
        <v>206</v>
      </c>
      <c r="W1" s="2" t="s">
        <v>207</v>
      </c>
      <c r="X1" s="2" t="s">
        <v>229</v>
      </c>
      <c r="Y1" s="2" t="s">
        <v>222</v>
      </c>
      <c r="Z1" s="2" t="s">
        <v>223</v>
      </c>
      <c r="AA1" s="2" t="s">
        <v>256</v>
      </c>
      <c r="AB1" s="2" t="s">
        <v>148</v>
      </c>
      <c r="AC1" s="2" t="s">
        <v>149</v>
      </c>
      <c r="AD1" s="2" t="s">
        <v>150</v>
      </c>
      <c r="AE1" s="2" t="s">
        <v>160</v>
      </c>
      <c r="AF1" s="2" t="s">
        <v>161</v>
      </c>
      <c r="AG1" s="2" t="s">
        <v>162</v>
      </c>
      <c r="AH1" s="2" t="s">
        <v>172</v>
      </c>
      <c r="AI1" s="2" t="s">
        <v>173</v>
      </c>
      <c r="AJ1" s="2" t="s">
        <v>174</v>
      </c>
      <c r="AK1" s="2" t="s">
        <v>184</v>
      </c>
      <c r="AL1" s="2" t="s">
        <v>185</v>
      </c>
      <c r="AM1" s="2" t="s">
        <v>186</v>
      </c>
      <c r="AN1" s="2" t="s">
        <v>196</v>
      </c>
      <c r="AO1" s="2" t="s">
        <v>197</v>
      </c>
      <c r="AP1" s="2" t="s">
        <v>198</v>
      </c>
      <c r="AQ1" s="2" t="s">
        <v>208</v>
      </c>
      <c r="AR1" s="2" t="s">
        <v>209</v>
      </c>
      <c r="AS1" s="2" t="s">
        <v>210</v>
      </c>
      <c r="AT1" s="2" t="s">
        <v>230</v>
      </c>
      <c r="AU1" s="2" t="s">
        <v>231</v>
      </c>
      <c r="AV1" s="2" t="s">
        <v>224</v>
      </c>
      <c r="AW1" s="2" t="s">
        <v>258</v>
      </c>
      <c r="AX1" s="2" t="s">
        <v>151</v>
      </c>
      <c r="AY1" s="2" t="s">
        <v>152</v>
      </c>
      <c r="AZ1" s="2" t="s">
        <v>153</v>
      </c>
      <c r="BA1" s="2" t="s">
        <v>163</v>
      </c>
      <c r="BB1" s="2" t="s">
        <v>164</v>
      </c>
      <c r="BC1" s="2" t="s">
        <v>165</v>
      </c>
      <c r="BD1" s="2" t="s">
        <v>175</v>
      </c>
      <c r="BE1" s="2" t="s">
        <v>176</v>
      </c>
      <c r="BF1" s="2" t="s">
        <v>177</v>
      </c>
      <c r="BG1" s="2" t="s">
        <v>187</v>
      </c>
      <c r="BH1" s="2" t="s">
        <v>188</v>
      </c>
      <c r="BI1" s="2" t="s">
        <v>189</v>
      </c>
      <c r="BJ1" s="2" t="s">
        <v>199</v>
      </c>
      <c r="BK1" s="2" t="s">
        <v>200</v>
      </c>
      <c r="BL1" s="2" t="s">
        <v>201</v>
      </c>
      <c r="BM1" s="2" t="s">
        <v>211</v>
      </c>
      <c r="BN1" s="2" t="s">
        <v>212</v>
      </c>
      <c r="BO1" s="2" t="s">
        <v>213</v>
      </c>
      <c r="BP1" s="2" t="s">
        <v>232</v>
      </c>
      <c r="BQ1" s="2" t="s">
        <v>254</v>
      </c>
      <c r="BR1" s="2" t="s">
        <v>225</v>
      </c>
      <c r="BS1" s="7" t="s">
        <v>257</v>
      </c>
      <c r="BT1" s="2" t="s">
        <v>154</v>
      </c>
      <c r="BU1" s="2" t="s">
        <v>155</v>
      </c>
      <c r="BV1" s="2" t="s">
        <v>156</v>
      </c>
      <c r="BW1" s="2" t="s">
        <v>166</v>
      </c>
      <c r="BX1" s="2" t="s">
        <v>167</v>
      </c>
      <c r="BY1" s="2" t="s">
        <v>168</v>
      </c>
      <c r="BZ1" s="2" t="s">
        <v>178</v>
      </c>
      <c r="CA1" s="2" t="s">
        <v>179</v>
      </c>
      <c r="CB1" s="2" t="s">
        <v>180</v>
      </c>
      <c r="CC1" s="2" t="s">
        <v>190</v>
      </c>
      <c r="CD1" s="2" t="s">
        <v>191</v>
      </c>
      <c r="CE1" s="2" t="s">
        <v>192</v>
      </c>
      <c r="CF1" s="2" t="s">
        <v>202</v>
      </c>
      <c r="CG1" s="2" t="s">
        <v>203</v>
      </c>
      <c r="CH1" s="2" t="s">
        <v>204</v>
      </c>
      <c r="CI1" s="2" t="s">
        <v>214</v>
      </c>
      <c r="CJ1" s="2" t="s">
        <v>215</v>
      </c>
      <c r="CK1" s="2" t="s">
        <v>216</v>
      </c>
      <c r="CL1" s="2" t="s">
        <v>233</v>
      </c>
      <c r="CM1" s="2" t="s">
        <v>234</v>
      </c>
      <c r="CN1" s="2" t="s">
        <v>226</v>
      </c>
      <c r="CO1" s="2" t="s">
        <v>259</v>
      </c>
      <c r="CP1" s="2" t="s">
        <v>263</v>
      </c>
      <c r="CQ1" s="2" t="s">
        <v>264</v>
      </c>
      <c r="CR1" s="2" t="s">
        <v>265</v>
      </c>
      <c r="CS1" s="2" t="s">
        <v>260</v>
      </c>
      <c r="CT1" s="2" t="s">
        <v>261</v>
      </c>
      <c r="CU1" s="2" t="s">
        <v>262</v>
      </c>
      <c r="CY1" s="20" t="s">
        <v>273</v>
      </c>
      <c r="CZ1" s="20" t="s">
        <v>272</v>
      </c>
      <c r="DA1" s="20" t="s">
        <v>274</v>
      </c>
    </row>
    <row r="2" spans="1:105" x14ac:dyDescent="0.25">
      <c r="A2" t="s">
        <v>59</v>
      </c>
      <c r="B2" s="2" t="s">
        <v>60</v>
      </c>
      <c r="C2" s="2" t="s">
        <v>61</v>
      </c>
      <c r="D2" t="s">
        <v>62</v>
      </c>
      <c r="E2" s="2">
        <f>SUM(COUNTIF(AA[[#This Row],[Bydgoszcz_all_around]],"Yes"),COUNTIF(AA[[#This Row],[Zabrze_all_around]],"Yes"),COUNTIF(AA[[#This Row],[Cracow_all_around]],"Yes"),COUNTIF(AA[[#This Row],[Gdansk_all_Around]],"Yes"))</f>
        <v>3</v>
      </c>
      <c r="F2" s="4">
        <v>0</v>
      </c>
      <c r="G2" s="7">
        <v>0</v>
      </c>
      <c r="H2" s="7">
        <v>0</v>
      </c>
      <c r="I2" s="4">
        <v>0</v>
      </c>
      <c r="J2" s="7">
        <v>0</v>
      </c>
      <c r="K2" s="7">
        <v>0</v>
      </c>
      <c r="L2" s="4">
        <v>0</v>
      </c>
      <c r="M2" s="7">
        <v>0</v>
      </c>
      <c r="N2" s="7">
        <v>0</v>
      </c>
      <c r="O2" s="4">
        <v>0</v>
      </c>
      <c r="P2" s="7">
        <v>0</v>
      </c>
      <c r="Q2" s="7">
        <v>0</v>
      </c>
      <c r="R2" s="4">
        <v>0</v>
      </c>
      <c r="S2" s="7">
        <v>0</v>
      </c>
      <c r="T2" s="7">
        <v>0</v>
      </c>
      <c r="U2" s="4">
        <v>0</v>
      </c>
      <c r="V2" s="7">
        <v>0</v>
      </c>
      <c r="W2" s="7">
        <v>0</v>
      </c>
      <c r="X2" s="4">
        <f t="shared" ref="X2:X33" si="0">SUM(F2,I2,L2,O2,R2,U2)</f>
        <v>0</v>
      </c>
      <c r="Y2" s="7">
        <f t="shared" ref="Y2:Y33" si="1">SUM(G2,J2,M2,P2,S2,V2)</f>
        <v>0</v>
      </c>
      <c r="Z2" s="7">
        <f t="shared" ref="Z2:Z33" si="2">SUM(H2,K2,N2,Q2,T2,W2)</f>
        <v>0</v>
      </c>
      <c r="AA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" s="4">
        <v>5.3</v>
      </c>
      <c r="AC2" s="7">
        <v>8.15</v>
      </c>
      <c r="AD2" s="7">
        <v>13.45</v>
      </c>
      <c r="AE2" s="4">
        <v>4.9000000000000004</v>
      </c>
      <c r="AF2" s="7">
        <v>7.4</v>
      </c>
      <c r="AG2" s="7">
        <v>12.3</v>
      </c>
      <c r="AH2" s="4">
        <v>4.0999999999999996</v>
      </c>
      <c r="AI2" s="7">
        <v>8.35</v>
      </c>
      <c r="AJ2" s="7">
        <v>12.45</v>
      </c>
      <c r="AK2" s="4">
        <v>4.4000000000000004</v>
      </c>
      <c r="AL2" s="7">
        <v>9.1</v>
      </c>
      <c r="AM2" s="7">
        <v>13.5</v>
      </c>
      <c r="AN2" s="4">
        <v>5</v>
      </c>
      <c r="AO2" s="7">
        <v>7.45</v>
      </c>
      <c r="AP2" s="7">
        <v>12.45</v>
      </c>
      <c r="AQ2" s="4">
        <v>4.5999999999999996</v>
      </c>
      <c r="AR2" s="7">
        <v>7.4</v>
      </c>
      <c r="AS2" s="7">
        <v>12</v>
      </c>
      <c r="AT2" s="4">
        <f t="shared" ref="AT2:AT33" si="3">SUM(AB2,AE2,AH2,AK2,AN2,AQ2)</f>
        <v>28.299999999999997</v>
      </c>
      <c r="AU2" s="7">
        <f t="shared" ref="AU2:AU33" si="4">SUM(AC2,AF2,AI2,AL2,AO2,AR2)</f>
        <v>47.85</v>
      </c>
      <c r="AV2" s="7">
        <f t="shared" ref="AV2:AV33" si="5">SUM(AD2,AG2,AJ2,AM2,AP2,AS2)</f>
        <v>76.150000000000006</v>
      </c>
      <c r="AW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" s="4">
        <v>5.3</v>
      </c>
      <c r="AY2" s="7">
        <v>7.25</v>
      </c>
      <c r="AZ2" s="7">
        <v>12.55</v>
      </c>
      <c r="BA2" s="4">
        <v>5.2</v>
      </c>
      <c r="BB2" s="7">
        <v>7.7</v>
      </c>
      <c r="BC2" s="7">
        <v>12.9</v>
      </c>
      <c r="BD2" s="4">
        <v>4.0999999999999996</v>
      </c>
      <c r="BE2" s="7">
        <v>8.1</v>
      </c>
      <c r="BF2" s="7">
        <v>12.2</v>
      </c>
      <c r="BG2" s="4">
        <v>4.4000000000000004</v>
      </c>
      <c r="BH2" s="7">
        <v>9.15</v>
      </c>
      <c r="BI2" s="7">
        <v>13.55</v>
      </c>
      <c r="BJ2" s="4">
        <v>5.3</v>
      </c>
      <c r="BK2" s="7">
        <v>6.6</v>
      </c>
      <c r="BL2" s="7">
        <v>11.9</v>
      </c>
      <c r="BM2" s="4">
        <v>4.5999999999999996</v>
      </c>
      <c r="BN2" s="7">
        <v>8.15</v>
      </c>
      <c r="BO2" s="7">
        <v>12.75</v>
      </c>
      <c r="BP2" s="4">
        <f t="shared" ref="BP2:BP33" si="6">SUM(AX2,BA2,BD2,BG2,BJ2,BM2)</f>
        <v>28.9</v>
      </c>
      <c r="BQ2" s="7">
        <f t="shared" ref="BQ2:BQ33" si="7">SUM(AY2,BB2,BE2,BH2,BK2,BN2)</f>
        <v>46.949999999999996</v>
      </c>
      <c r="BR2" s="7">
        <f t="shared" ref="BR2:BR33" si="8">SUM(AZ2,BC2,BF2,BI2,BL2,BO2)</f>
        <v>75.849999999999994</v>
      </c>
      <c r="BS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" s="4">
        <v>5.4</v>
      </c>
      <c r="BU2" s="7">
        <v>7.4</v>
      </c>
      <c r="BV2" s="7">
        <v>12.8</v>
      </c>
      <c r="BW2" s="4">
        <v>4.9000000000000004</v>
      </c>
      <c r="BX2" s="7">
        <v>6</v>
      </c>
      <c r="BY2" s="7">
        <v>10.9</v>
      </c>
      <c r="BZ2" s="4">
        <v>2.8</v>
      </c>
      <c r="CA2" s="7">
        <v>9.1999999999999993</v>
      </c>
      <c r="CB2" s="7">
        <v>12</v>
      </c>
      <c r="CC2" s="4">
        <v>4.4000000000000004</v>
      </c>
      <c r="CD2" s="7">
        <v>8.3000000000000007</v>
      </c>
      <c r="CE2" s="7">
        <v>12.7</v>
      </c>
      <c r="CF2" s="4">
        <v>5.3</v>
      </c>
      <c r="CG2" s="7">
        <v>7</v>
      </c>
      <c r="CH2" s="7">
        <v>12.3</v>
      </c>
      <c r="CI2" s="4">
        <v>4.9000000000000004</v>
      </c>
      <c r="CJ2" s="7">
        <v>6.9</v>
      </c>
      <c r="CK2" s="7">
        <v>11.8</v>
      </c>
      <c r="CL2" s="4">
        <f t="shared" ref="CL2:CL33" si="9">SUM(BT2,BW2,BZ2,CC2,CF2,CI2)</f>
        <v>27.700000000000003</v>
      </c>
      <c r="CM2" s="7">
        <f t="shared" ref="CM2:CM33" si="10">SUM(BU2,BX2,CA2,CD2,CG2,CJ2)</f>
        <v>44.800000000000004</v>
      </c>
      <c r="CN2" s="7">
        <f t="shared" ref="CN2:CN33" si="11">SUM(BV2,BY2,CB2,CE2,CH2,CK2)</f>
        <v>72.5</v>
      </c>
      <c r="CO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84.9</v>
      </c>
      <c r="CQ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139.6</v>
      </c>
      <c r="CR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224.5</v>
      </c>
      <c r="CS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28.3</v>
      </c>
      <c r="CT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46.533333333333331</v>
      </c>
      <c r="CU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74.833333333333329</v>
      </c>
      <c r="CW2" s="41" t="s">
        <v>60</v>
      </c>
      <c r="CX2" s="20" t="s">
        <v>269</v>
      </c>
      <c r="CY2" s="21" cm="1">
        <f t="array" ref="CY2">SUM(_xlfn._xlws.FILTER(AA[bydgoszcz_DScore],(AA[Category]="senior")*(AA[Bydgoszcz_all_around]&gt;="yes")),_xlfn._xlws.FILTER(AA[zabrze_Dscore],(AA[Category]="senior")*(AA[Zabrze_all_around]&gt;="yes")),_xlfn._xlws.FILTER(AA[cracow_Dscore],(AA[Category]="senior")*(AA[Cracow_all_around]&gt;="yes")),_xlfn._xlws.FILTER(AA[gdansk_Dscore],(AA[Category]="senior")*(AA[Gdansk_all_Around]&gt;="yes")))/(COUNTIFS(AA[bydgoszcz_DScore],"&gt;0",AA[Category],"senior",AA[Bydgoszcz_all_around],"Yes")+COUNTIFS(AA[zabrze_Dscore],"&gt;0",AA[Category],"senior",AA[Zabrze_all_around],"Yes")+COUNTIFS(AA[cracow_Dscore],"&gt;0",AA[Category],"senior",AA[Cracow_all_around],"Yes")+COUNTIFS(AA[gdansk_Dscore],"&gt;0",AA[Category],"senior",AA[Gdansk_all_Around],"Yes"))</f>
        <v>22.792682926829269</v>
      </c>
      <c r="CZ2" s="21" cm="1">
        <f t="array" ref="CZ2">_xlfn.STDEV.S(_xlfn._xlws.FILTER(AA[bydgoszcz_DScore],(AA[Category]="senior")*(AA[Bydgoszcz_all_around]&gt;="yes")*(AA[bydgoszcz_DScore]&gt;0)),_xlfn._xlws.FILTER(AA[zabrze_Dscore],(AA[Category]="senior")*(AA[zabrze_Dscore]&gt;0)*(AA[Zabrze_all_around]&gt;="yes")),_xlfn._xlws.FILTER(AA[cracow_Dscore],(AA[Category]="senior")*(AA[cracow_Dscore]&gt;0)*(AA[Cracow_all_around]&gt;="yes")),_xlfn._xlws.FILTER(AA[gdansk_Dscore],(AA[Category]="senior")*(AA[gdansk_Dscore]&gt;0)*(AA[Gdansk_all_Around]&gt;="yes")))</f>
        <v>3.514924625358435</v>
      </c>
      <c r="DA2" s="21" cm="1">
        <f t="array" ref="DA2">MAX(_xlfn._xlws.FILTER(AA[bydgoszcz_DScore],AA[Category]="senior"),_xlfn._xlws.FILTER(AA[zabrze_Dscore],AA[Category]="senior"),_xlfn._xlws.FILTER(AA[cracow_Dscore],AA[Category]="senior"),_xlfn._xlws.FILTER(AA[gdansk_Dscore],AA[Category]="senior"))</f>
        <v>30.099999999999998</v>
      </c>
    </row>
    <row r="3" spans="1:105" x14ac:dyDescent="0.25">
      <c r="A3" t="s">
        <v>63</v>
      </c>
      <c r="B3" s="2" t="s">
        <v>60</v>
      </c>
      <c r="C3" s="2" t="s">
        <v>64</v>
      </c>
      <c r="D3" t="s">
        <v>39</v>
      </c>
      <c r="E3" s="2">
        <f>SUM(COUNTIF(AA[[#This Row],[Bydgoszcz_all_around]],"Yes"),COUNTIF(AA[[#This Row],[Zabrze_all_around]],"Yes"),COUNTIF(AA[[#This Row],[Cracow_all_around]],"Yes"),COUNTIF(AA[[#This Row],[Gdansk_all_Around]],"Yes"))</f>
        <v>4</v>
      </c>
      <c r="F3" s="4">
        <v>5.8</v>
      </c>
      <c r="G3" s="7">
        <v>7.8</v>
      </c>
      <c r="H3" s="7">
        <v>13.6</v>
      </c>
      <c r="I3" s="4">
        <v>4.4000000000000004</v>
      </c>
      <c r="J3" s="7">
        <v>7.1</v>
      </c>
      <c r="K3" s="7">
        <v>11.5</v>
      </c>
      <c r="L3" s="4">
        <v>4.5999999999999996</v>
      </c>
      <c r="M3" s="7">
        <v>7.2</v>
      </c>
      <c r="N3" s="7">
        <v>11.8</v>
      </c>
      <c r="O3" s="4">
        <v>4.8</v>
      </c>
      <c r="P3" s="7">
        <v>8.6999999999999993</v>
      </c>
      <c r="Q3" s="7">
        <v>13.5</v>
      </c>
      <c r="R3" s="4">
        <v>4.2</v>
      </c>
      <c r="S3" s="7">
        <v>8.6</v>
      </c>
      <c r="T3" s="7">
        <v>12.8</v>
      </c>
      <c r="U3" s="4">
        <v>4.4000000000000004</v>
      </c>
      <c r="V3" s="7">
        <v>8</v>
      </c>
      <c r="W3" s="7">
        <v>12.4</v>
      </c>
      <c r="X3" s="4">
        <f t="shared" si="0"/>
        <v>28.199999999999996</v>
      </c>
      <c r="Y3" s="7">
        <f t="shared" si="1"/>
        <v>47.4</v>
      </c>
      <c r="Z3" s="7">
        <f t="shared" si="2"/>
        <v>75.600000000000009</v>
      </c>
      <c r="AA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" s="4">
        <v>6</v>
      </c>
      <c r="AC3" s="7">
        <v>6.6</v>
      </c>
      <c r="AD3" s="7">
        <v>12.6</v>
      </c>
      <c r="AE3" s="4">
        <v>4.5999999999999996</v>
      </c>
      <c r="AF3" s="7">
        <v>6.4</v>
      </c>
      <c r="AG3" s="7">
        <v>11</v>
      </c>
      <c r="AH3" s="4">
        <v>3.9</v>
      </c>
      <c r="AI3" s="7">
        <v>8.1</v>
      </c>
      <c r="AJ3" s="7">
        <v>12</v>
      </c>
      <c r="AK3" s="4">
        <v>5.2</v>
      </c>
      <c r="AL3" s="7">
        <v>9.6</v>
      </c>
      <c r="AM3" s="7">
        <v>14.8</v>
      </c>
      <c r="AN3" s="4">
        <v>4.2</v>
      </c>
      <c r="AO3" s="7">
        <v>8.1999999999999993</v>
      </c>
      <c r="AP3" s="7">
        <v>12.4</v>
      </c>
      <c r="AQ3" s="4">
        <v>4.4000000000000004</v>
      </c>
      <c r="AR3" s="7">
        <v>6.8</v>
      </c>
      <c r="AS3" s="7">
        <v>11.2</v>
      </c>
      <c r="AT3" s="4">
        <f t="shared" si="3"/>
        <v>28.299999999999997</v>
      </c>
      <c r="AU3" s="7">
        <f t="shared" si="4"/>
        <v>45.7</v>
      </c>
      <c r="AV3" s="7">
        <f t="shared" si="5"/>
        <v>74</v>
      </c>
      <c r="AW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3" s="4">
        <v>5.6</v>
      </c>
      <c r="AY3" s="7">
        <v>7.65</v>
      </c>
      <c r="AZ3" s="7">
        <v>13.25</v>
      </c>
      <c r="BA3" s="4">
        <v>4.4000000000000004</v>
      </c>
      <c r="BB3" s="7">
        <v>7</v>
      </c>
      <c r="BC3" s="7">
        <v>11.4</v>
      </c>
      <c r="BD3" s="4">
        <v>4.3</v>
      </c>
      <c r="BE3" s="7">
        <v>7.85</v>
      </c>
      <c r="BF3" s="7">
        <v>12.15</v>
      </c>
      <c r="BG3" s="4">
        <v>5.2</v>
      </c>
      <c r="BH3" s="7">
        <v>8.0500000000000007</v>
      </c>
      <c r="BI3" s="7">
        <v>13.25</v>
      </c>
      <c r="BJ3" s="4">
        <v>4.2</v>
      </c>
      <c r="BK3" s="7">
        <v>8.8000000000000007</v>
      </c>
      <c r="BL3" s="7">
        <v>13</v>
      </c>
      <c r="BM3" s="4">
        <v>4.4000000000000004</v>
      </c>
      <c r="BN3" s="7">
        <v>8.4</v>
      </c>
      <c r="BO3" s="7">
        <v>12.8</v>
      </c>
      <c r="BP3" s="4">
        <f t="shared" si="6"/>
        <v>28.1</v>
      </c>
      <c r="BQ3" s="7">
        <f t="shared" si="7"/>
        <v>47.75</v>
      </c>
      <c r="BR3" s="7">
        <f t="shared" si="8"/>
        <v>75.849999999999994</v>
      </c>
      <c r="BS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3" s="4">
        <v>5.6</v>
      </c>
      <c r="BU3" s="7">
        <v>6.65</v>
      </c>
      <c r="BV3" s="7">
        <v>12.25</v>
      </c>
      <c r="BW3" s="4">
        <v>4.4000000000000004</v>
      </c>
      <c r="BX3" s="7">
        <v>5</v>
      </c>
      <c r="BY3" s="7">
        <v>9.4</v>
      </c>
      <c r="BZ3" s="4">
        <v>4.2</v>
      </c>
      <c r="CA3" s="7">
        <v>8</v>
      </c>
      <c r="CB3" s="7">
        <v>12.2</v>
      </c>
      <c r="CC3" s="4">
        <v>4.8</v>
      </c>
      <c r="CD3" s="7">
        <v>8.3000000000000007</v>
      </c>
      <c r="CE3" s="7">
        <v>13.1</v>
      </c>
      <c r="CF3" s="4">
        <v>4.2</v>
      </c>
      <c r="CG3" s="7">
        <v>9.1999999999999993</v>
      </c>
      <c r="CH3" s="7">
        <v>13.4</v>
      </c>
      <c r="CI3" s="4">
        <v>4.2</v>
      </c>
      <c r="CJ3" s="7">
        <v>8</v>
      </c>
      <c r="CK3" s="7">
        <v>12.2</v>
      </c>
      <c r="CL3" s="4">
        <f t="shared" si="9"/>
        <v>27.4</v>
      </c>
      <c r="CM3" s="7">
        <f t="shared" si="10"/>
        <v>45.15</v>
      </c>
      <c r="CN3" s="7">
        <f t="shared" si="11"/>
        <v>72.55</v>
      </c>
      <c r="CO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84.6</v>
      </c>
      <c r="CQ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140.85000000000002</v>
      </c>
      <c r="CR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225.45</v>
      </c>
      <c r="CS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28.2</v>
      </c>
      <c r="CT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46.95000000000001</v>
      </c>
      <c r="CU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75.149999999999991</v>
      </c>
      <c r="CW3" s="42"/>
      <c r="CX3" s="20" t="s">
        <v>267</v>
      </c>
      <c r="CY3" s="22" cm="1">
        <f t="array" ref="CY3">SUM(_xlfn._xlws.FILTER(AA[bydgoszcz_Escore],(AA[Category]="senior")*(AA[Bydgoszcz_all_around]&gt;="yes")),_xlfn._xlws.FILTER(AA[zabrze_Escore],(AA[Category]="senior")*(AA[Zabrze_all_around]&gt;="yes")),_xlfn._xlws.FILTER(AA[cracow_Escore],(AA[Category]="senior")*(AA[Cracow_all_around]&gt;="yes")),_xlfn._xlws.FILTER(AA[gdansk_Escore],(AA[Category]="senior")*(AA[Gdansk_all_Around]&gt;="yes")))/(COUNTIFS(AA[bydgoszcz_Escore],"&gt;0",AA[Category],"senior",AA[Bydgoszcz_all_around],"Yes")+COUNTIFS(AA[zabrze_Escore],"&gt;0",AA[Category],"senior",AA[Zabrze_all_around],"Yes")+COUNTIFS(AA[cracow_Escore],"&gt;0",AA[Category],"senior",AA[Cracow_all_around],"Yes")+COUNTIFS(AA[gdansk_Escore],"&gt;0",AA[Category],"senior",AA[Gdansk_all_Around],"Yes"))</f>
        <v>46.186585365853652</v>
      </c>
      <c r="CZ3" s="22" cm="1">
        <f t="array" ref="CZ3">_xlfn.STDEV.S(_xlfn._xlws.FILTER(AA[bydgoszcz_Escore],(AA[Category]="senior")*(AA[Bydgoszcz_all_around]&gt;="yes")*(AA[bydgoszcz_Escore]&gt;0)),_xlfn._xlws.FILTER(AA[zabrze_Escore],(AA[Category]="senior")*(AA[zabrze_Escore]&gt;0)*(AA[Zabrze_all_around]&gt;="yes")),_xlfn._xlws.FILTER(AA[cracow_Escore],(AA[Category]="senior")*(AA[cracow_Escore]&gt;0)*(AA[Cracow_all_around]&gt;="yes")),_xlfn._xlws.FILTER(AA[gdansk_Escore],(AA[Category]="senior")*(AA[gdansk_Escore]&gt;0)*(AA[Gdansk_all_Around]&gt;="yes")))</f>
        <v>3.3056963031682876</v>
      </c>
      <c r="DA3" s="22" cm="1">
        <f t="array" ref="DA3">MAX(_xlfn._xlws.FILTER(AA[bydgoszcz_Escore],AA[Category]="senior"),_xlfn._xlws.FILTER(AA[zabrze_Escore],AA[Category]="senior"),_xlfn._xlws.FILTER(AA[cracow_Escore],AA[Category]="senior"),_xlfn._xlws.FILTER(AA[gdansk_Escore],AA[Category]="senior"))</f>
        <v>51.55</v>
      </c>
    </row>
    <row r="4" spans="1:105" x14ac:dyDescent="0.25">
      <c r="A4" t="s">
        <v>77</v>
      </c>
      <c r="B4" s="2" t="s">
        <v>60</v>
      </c>
      <c r="C4" s="2" t="s">
        <v>78</v>
      </c>
      <c r="D4" t="s">
        <v>79</v>
      </c>
      <c r="E4" s="2">
        <f>SUM(COUNTIF(AA[[#This Row],[Bydgoszcz_all_around]],"Yes"),COUNTIF(AA[[#This Row],[Zabrze_all_around]],"Yes"),COUNTIF(AA[[#This Row],[Cracow_all_around]],"Yes"),COUNTIF(AA[[#This Row],[Gdansk_all_Around]],"Yes"))</f>
        <v>4</v>
      </c>
      <c r="F4" s="4">
        <v>4.2</v>
      </c>
      <c r="G4" s="7">
        <v>6.3</v>
      </c>
      <c r="H4" s="7">
        <v>10.5</v>
      </c>
      <c r="I4" s="4">
        <v>3.9</v>
      </c>
      <c r="J4" s="7">
        <v>7.8</v>
      </c>
      <c r="K4" s="7">
        <v>11.7</v>
      </c>
      <c r="L4" s="4">
        <v>4</v>
      </c>
      <c r="M4" s="7">
        <v>7.3</v>
      </c>
      <c r="N4" s="7">
        <v>11.3</v>
      </c>
      <c r="O4" s="4">
        <v>3.6</v>
      </c>
      <c r="P4" s="7">
        <v>7.8</v>
      </c>
      <c r="Q4" s="7">
        <v>11.4</v>
      </c>
      <c r="R4" s="4">
        <v>4</v>
      </c>
      <c r="S4" s="7">
        <v>8.15</v>
      </c>
      <c r="T4" s="7">
        <v>12.15</v>
      </c>
      <c r="U4" s="4">
        <v>3</v>
      </c>
      <c r="V4" s="7">
        <v>7.2</v>
      </c>
      <c r="W4" s="7">
        <v>10.199999999999999</v>
      </c>
      <c r="X4" s="4">
        <f t="shared" si="0"/>
        <v>22.7</v>
      </c>
      <c r="Y4" s="7">
        <f t="shared" si="1"/>
        <v>44.550000000000004</v>
      </c>
      <c r="Z4" s="7">
        <f t="shared" si="2"/>
        <v>67.25</v>
      </c>
      <c r="AA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4" s="4">
        <v>3.9</v>
      </c>
      <c r="AC4" s="7">
        <v>7.85</v>
      </c>
      <c r="AD4" s="7">
        <v>11.75</v>
      </c>
      <c r="AE4" s="4">
        <v>3.8</v>
      </c>
      <c r="AF4" s="7">
        <v>6.2</v>
      </c>
      <c r="AG4" s="7">
        <v>10</v>
      </c>
      <c r="AH4" s="4">
        <v>3.8</v>
      </c>
      <c r="AI4" s="7">
        <v>8.4</v>
      </c>
      <c r="AJ4" s="7">
        <v>12.2</v>
      </c>
      <c r="AK4" s="4">
        <v>3.2</v>
      </c>
      <c r="AL4" s="7">
        <v>9.15</v>
      </c>
      <c r="AM4" s="7">
        <v>12.35</v>
      </c>
      <c r="AN4" s="4">
        <v>3.8</v>
      </c>
      <c r="AO4" s="7">
        <v>8.75</v>
      </c>
      <c r="AP4" s="7">
        <v>12.55</v>
      </c>
      <c r="AQ4" s="4">
        <v>2.6</v>
      </c>
      <c r="AR4" s="7">
        <v>7.5</v>
      </c>
      <c r="AS4" s="7">
        <v>10.1</v>
      </c>
      <c r="AT4" s="4">
        <f t="shared" si="3"/>
        <v>21.1</v>
      </c>
      <c r="AU4" s="7">
        <f t="shared" si="4"/>
        <v>47.85</v>
      </c>
      <c r="AV4" s="7">
        <f t="shared" si="5"/>
        <v>68.95</v>
      </c>
      <c r="AW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4" s="4">
        <v>3.9</v>
      </c>
      <c r="AY4" s="7">
        <v>8</v>
      </c>
      <c r="AZ4" s="7">
        <v>11.9</v>
      </c>
      <c r="BA4" s="4">
        <v>3.7</v>
      </c>
      <c r="BB4" s="7">
        <v>7</v>
      </c>
      <c r="BC4" s="7">
        <v>10.7</v>
      </c>
      <c r="BD4" s="4">
        <v>3.8</v>
      </c>
      <c r="BE4" s="7">
        <v>8.0500000000000007</v>
      </c>
      <c r="BF4" s="7">
        <v>11.85</v>
      </c>
      <c r="BG4" s="4">
        <v>3.2</v>
      </c>
      <c r="BH4" s="7">
        <v>9.0500000000000007</v>
      </c>
      <c r="BI4" s="7">
        <v>12.25</v>
      </c>
      <c r="BJ4" s="4">
        <v>3.8</v>
      </c>
      <c r="BK4" s="7">
        <v>8.5</v>
      </c>
      <c r="BL4" s="7">
        <v>12.3</v>
      </c>
      <c r="BM4" s="4">
        <v>3</v>
      </c>
      <c r="BN4" s="7">
        <v>8.1</v>
      </c>
      <c r="BO4" s="7">
        <v>11.1</v>
      </c>
      <c r="BP4" s="4">
        <f t="shared" si="6"/>
        <v>21.4</v>
      </c>
      <c r="BQ4" s="7">
        <f t="shared" si="7"/>
        <v>48.7</v>
      </c>
      <c r="BR4" s="7">
        <f t="shared" si="8"/>
        <v>70.099999999999994</v>
      </c>
      <c r="BS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4" s="4">
        <v>3.8</v>
      </c>
      <c r="BU4" s="7">
        <v>7.4</v>
      </c>
      <c r="BV4" s="7">
        <v>11.2</v>
      </c>
      <c r="BW4" s="4">
        <v>3.1</v>
      </c>
      <c r="BX4" s="7">
        <v>7.6</v>
      </c>
      <c r="BY4" s="7">
        <v>10.7</v>
      </c>
      <c r="BZ4" s="4">
        <v>3.4</v>
      </c>
      <c r="CA4" s="7">
        <v>6</v>
      </c>
      <c r="CB4" s="7">
        <v>9.4</v>
      </c>
      <c r="CC4" s="4">
        <v>3.2</v>
      </c>
      <c r="CD4" s="7">
        <v>8.3000000000000007</v>
      </c>
      <c r="CE4" s="7">
        <v>11.5</v>
      </c>
      <c r="CF4" s="4">
        <v>3.1</v>
      </c>
      <c r="CG4" s="7">
        <v>6.9</v>
      </c>
      <c r="CH4" s="7">
        <v>10</v>
      </c>
      <c r="CI4" s="4">
        <v>2.6</v>
      </c>
      <c r="CJ4" s="7">
        <v>7.3</v>
      </c>
      <c r="CK4" s="7">
        <v>9.9</v>
      </c>
      <c r="CL4" s="4">
        <f t="shared" si="9"/>
        <v>19.200000000000003</v>
      </c>
      <c r="CM4" s="7">
        <f t="shared" si="10"/>
        <v>43.5</v>
      </c>
      <c r="CN4" s="7">
        <f t="shared" si="11"/>
        <v>62.699999999999996</v>
      </c>
      <c r="CO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65.199999999999989</v>
      </c>
      <c r="CQ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141.10000000000002</v>
      </c>
      <c r="CR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206.3</v>
      </c>
      <c r="CS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21.733333333333331</v>
      </c>
      <c r="CT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47.033333333333339</v>
      </c>
      <c r="CU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68.766666666666666</v>
      </c>
      <c r="CW4" s="42"/>
      <c r="CX4" s="20" t="s">
        <v>268</v>
      </c>
      <c r="CY4" s="22" cm="1">
        <f t="array" ref="CY4">SUM(_xlfn._xlws.FILTER(AA[bydgoszcz_Total_Score],(AA[Category]="senior")*(AA[Bydgoszcz_all_around]&gt;="yes")),_xlfn._xlws.FILTER(AA[zabrze_Total_Score],(AA[Category]="senior")*(AA[Zabrze_all_around]&gt;="yes")),_xlfn._xlws.FILTER(AA[cracow_Total_Score],(AA[Category]="senior")*(AA[Cracow_all_around]&gt;="yes")),_xlfn._xlws.FILTER(AA[gdansk_Total_Score],(AA[Category]="senior")*(AA[Gdansk_all_Around]&gt;="yes")))/(COUNTIFS(AA[bydgoszcz_Total_Score],"&gt;0",AA[Category],"senior",AA[Bydgoszcz_all_around],"Yes")+COUNTIFS(AA[zabrze_Total_Score],"&gt;0",AA[Category],"senior",AA[Zabrze_all_around],"Yes")+COUNTIFS(AA[cracow_Total_Score],"&gt;0",AA[Category],"senior",AA[Cracow_all_around],"Yes")+COUNTIFS(AA[gdansk_Total_Score],"&gt;0",AA[Category],"senior",AA[Gdansk_all_Around],"Yes"))</f>
        <v>68.979268292682931</v>
      </c>
      <c r="CZ4" s="22" cm="1">
        <f t="array" ref="CZ4">_xlfn.STDEV.S(_xlfn._xlws.FILTER(AA[bydgoszcz_Total_Score],(AA[Category]="senior")*(AA[Bydgoszcz_all_around]&gt;="yes")*(AA[bydgoszcz_Total_Score]&gt;0)),_xlfn._xlws.FILTER(AA[zabrze_Total_Score],(AA[Category]="senior")*(AA[zabrze_Total_Score]&gt;0)*(AA[Zabrze_all_around]&gt;="yes")),_xlfn._xlws.FILTER(AA[cracow_Total_Score],(AA[Category]="senior")*(AA[cracow_Total_Score]&gt;0)*(AA[Cracow_all_around]&gt;="yes")),_xlfn._xlws.FILTER(AA[gdansk_Total_Score],(AA[Category]="senior")*(AA[gdansk_Total_Score]&gt;0)*(AA[Gdansk_all_Around]&gt;="yes")))</f>
        <v>5.2201888807991903</v>
      </c>
      <c r="DA4" s="22" cm="1">
        <f t="array" ref="DA4">MAX(_xlfn._xlws.FILTER(AA[bydgoszcz_Total_Score],AA[Category]="senior"),_xlfn._xlws.FILTER(AA[zabrze_Total_Score],AA[Category]="senior"),_xlfn._xlws.FILTER(AA[cracow_Total_Score],AA[Category]="senior"),_xlfn._xlws.FILTER(AA[gdansk_Total_Score],AA[Category]="senior"))</f>
        <v>76.150000000000006</v>
      </c>
    </row>
    <row r="5" spans="1:105" x14ac:dyDescent="0.25">
      <c r="A5" t="s">
        <v>68</v>
      </c>
      <c r="B5" s="2" t="s">
        <v>60</v>
      </c>
      <c r="C5" s="2" t="s">
        <v>69</v>
      </c>
      <c r="D5" t="s">
        <v>31</v>
      </c>
      <c r="E5" s="2">
        <f>SUM(COUNTIF(AA[[#This Row],[Bydgoszcz_all_around]],"Yes"),COUNTIF(AA[[#This Row],[Zabrze_all_around]],"Yes"),COUNTIF(AA[[#This Row],[Cracow_all_around]],"Yes"),COUNTIF(AA[[#This Row],[Gdansk_all_Around]],"Yes"))</f>
        <v>3</v>
      </c>
      <c r="F5" s="4">
        <v>0</v>
      </c>
      <c r="G5" s="7">
        <v>0</v>
      </c>
      <c r="H5" s="7">
        <v>0</v>
      </c>
      <c r="I5" s="4">
        <v>0</v>
      </c>
      <c r="J5" s="7">
        <v>0</v>
      </c>
      <c r="K5" s="7">
        <v>0</v>
      </c>
      <c r="L5" s="4">
        <v>3.2</v>
      </c>
      <c r="M5" s="7">
        <v>7.4</v>
      </c>
      <c r="N5" s="7">
        <v>10.6</v>
      </c>
      <c r="O5" s="4">
        <v>0</v>
      </c>
      <c r="P5" s="7">
        <v>0</v>
      </c>
      <c r="Q5" s="7">
        <v>0</v>
      </c>
      <c r="R5" s="4">
        <v>2.7</v>
      </c>
      <c r="S5" s="7">
        <v>6.85</v>
      </c>
      <c r="T5" s="7">
        <v>9.5500000000000007</v>
      </c>
      <c r="U5" s="4">
        <v>2.1</v>
      </c>
      <c r="V5" s="7">
        <v>8.4</v>
      </c>
      <c r="W5" s="7">
        <v>10.5</v>
      </c>
      <c r="X5" s="4">
        <f t="shared" si="0"/>
        <v>8</v>
      </c>
      <c r="Y5" s="7">
        <f t="shared" si="1"/>
        <v>22.65</v>
      </c>
      <c r="Z5" s="7">
        <f t="shared" si="2"/>
        <v>30.65</v>
      </c>
      <c r="AA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" s="4">
        <v>4.2</v>
      </c>
      <c r="AC5" s="7">
        <v>8.35</v>
      </c>
      <c r="AD5" s="7">
        <v>12.55</v>
      </c>
      <c r="AE5" s="4">
        <v>3.8</v>
      </c>
      <c r="AF5" s="7">
        <v>7.75</v>
      </c>
      <c r="AG5" s="7">
        <v>11.55</v>
      </c>
      <c r="AH5" s="4">
        <v>3.8</v>
      </c>
      <c r="AI5" s="7">
        <v>7.7</v>
      </c>
      <c r="AJ5" s="7">
        <v>11.5</v>
      </c>
      <c r="AK5" s="4">
        <v>4</v>
      </c>
      <c r="AL5" s="7">
        <v>9.6</v>
      </c>
      <c r="AM5" s="7">
        <v>13.6</v>
      </c>
      <c r="AN5" s="4">
        <v>3.5</v>
      </c>
      <c r="AO5" s="7">
        <v>8.6999999999999993</v>
      </c>
      <c r="AP5" s="7">
        <v>12.2</v>
      </c>
      <c r="AQ5" s="4">
        <v>2.2000000000000002</v>
      </c>
      <c r="AR5" s="7">
        <v>7.85</v>
      </c>
      <c r="AS5" s="7">
        <v>10.050000000000001</v>
      </c>
      <c r="AT5" s="4">
        <f t="shared" si="3"/>
        <v>21.5</v>
      </c>
      <c r="AU5" s="7">
        <f t="shared" si="4"/>
        <v>49.949999999999996</v>
      </c>
      <c r="AV5" s="7">
        <f t="shared" si="5"/>
        <v>71.45</v>
      </c>
      <c r="AW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5" s="4">
        <v>4.5</v>
      </c>
      <c r="AY5" s="7">
        <v>8</v>
      </c>
      <c r="AZ5" s="7">
        <v>12.5</v>
      </c>
      <c r="BA5" s="4">
        <v>3.8</v>
      </c>
      <c r="BB5" s="7">
        <v>8</v>
      </c>
      <c r="BC5" s="7">
        <v>11.8</v>
      </c>
      <c r="BD5" s="4">
        <v>3.8</v>
      </c>
      <c r="BE5" s="7">
        <v>8.5500000000000007</v>
      </c>
      <c r="BF5" s="7">
        <v>12.35</v>
      </c>
      <c r="BG5" s="4">
        <v>4</v>
      </c>
      <c r="BH5" s="7">
        <v>9.35</v>
      </c>
      <c r="BI5" s="7">
        <v>13.35</v>
      </c>
      <c r="BJ5" s="4">
        <v>3.4</v>
      </c>
      <c r="BK5" s="7">
        <v>8.75</v>
      </c>
      <c r="BL5" s="7">
        <v>12.15</v>
      </c>
      <c r="BM5" s="4">
        <v>2.6</v>
      </c>
      <c r="BN5" s="7">
        <v>8.9</v>
      </c>
      <c r="BO5" s="7">
        <v>11.5</v>
      </c>
      <c r="BP5" s="4">
        <f t="shared" si="6"/>
        <v>22.1</v>
      </c>
      <c r="BQ5" s="7">
        <f t="shared" si="7"/>
        <v>51.55</v>
      </c>
      <c r="BR5" s="7">
        <f t="shared" si="8"/>
        <v>73.650000000000006</v>
      </c>
      <c r="BS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5" s="4">
        <v>4</v>
      </c>
      <c r="BU5" s="7">
        <v>6.3</v>
      </c>
      <c r="BV5" s="7">
        <v>10.3</v>
      </c>
      <c r="BW5" s="4">
        <v>3.2</v>
      </c>
      <c r="BX5" s="7">
        <v>7.4</v>
      </c>
      <c r="BY5" s="7">
        <v>10.6</v>
      </c>
      <c r="BZ5" s="4">
        <v>3.7</v>
      </c>
      <c r="CA5" s="7">
        <v>7.3</v>
      </c>
      <c r="CB5" s="7">
        <v>11</v>
      </c>
      <c r="CC5" s="4">
        <v>4</v>
      </c>
      <c r="CD5" s="7">
        <v>8.8000000000000007</v>
      </c>
      <c r="CE5" s="7">
        <v>12.8</v>
      </c>
      <c r="CF5" s="4">
        <v>3.2</v>
      </c>
      <c r="CG5" s="7">
        <v>5.8</v>
      </c>
      <c r="CH5" s="7">
        <v>9</v>
      </c>
      <c r="CI5" s="4">
        <v>2.6</v>
      </c>
      <c r="CJ5" s="7">
        <v>7.6</v>
      </c>
      <c r="CK5" s="7">
        <v>10.199999999999999</v>
      </c>
      <c r="CL5" s="4">
        <f t="shared" si="9"/>
        <v>20.700000000000003</v>
      </c>
      <c r="CM5" s="7">
        <f t="shared" si="10"/>
        <v>43.2</v>
      </c>
      <c r="CN5" s="7">
        <f t="shared" si="11"/>
        <v>63.900000000000006</v>
      </c>
      <c r="CO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64.300000000000011</v>
      </c>
      <c r="CQ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144.69999999999999</v>
      </c>
      <c r="CR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209.00000000000003</v>
      </c>
      <c r="CS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21.433333333333337</v>
      </c>
      <c r="CT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48.233333333333327</v>
      </c>
      <c r="CU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69.666666666666671</v>
      </c>
      <c r="CW5" s="42"/>
      <c r="CX5" s="20" t="s">
        <v>275</v>
      </c>
      <c r="CY5" s="21" cm="1">
        <f t="array" ref="CY5">SUM(_xlfn._xlws.FILTER(AA[Year_AA_Dscore],(AA[Category]="senior")*(AA[All around competition]&gt;=3))/COUNTIFS(AA[All around competition],"&gt;=3",AA[Category],"senior"))</f>
        <v>69.771428571428558</v>
      </c>
      <c r="CZ5" s="21" cm="1">
        <f t="array" ref="CZ5">_xlfn.STDEV.S(_xlfn._xlws.FILTER(AA[Year_AA_Dscore],(AA[Category]="senior")*(AA[All around competition]&gt;=3)))</f>
        <v>10.268676364834702</v>
      </c>
      <c r="DA5" s="22" cm="1">
        <f t="array" ref="DA5">MAX(_xlfn._xlws.FILTER(AA[Year_AA_Dscore],AA[Category]="senior"))</f>
        <v>84.9</v>
      </c>
    </row>
    <row r="6" spans="1:105" x14ac:dyDescent="0.25">
      <c r="A6" t="s">
        <v>80</v>
      </c>
      <c r="B6" s="2" t="s">
        <v>60</v>
      </c>
      <c r="C6" s="2" t="s">
        <v>81</v>
      </c>
      <c r="D6" t="s">
        <v>62</v>
      </c>
      <c r="E6" s="2">
        <f>SUM(COUNTIF(AA[[#This Row],[Bydgoszcz_all_around]],"Yes"),COUNTIF(AA[[#This Row],[Zabrze_all_around]],"Yes"),COUNTIF(AA[[#This Row],[Cracow_all_around]],"Yes"),COUNTIF(AA[[#This Row],[Gdansk_all_Around]],"Yes"))</f>
        <v>4</v>
      </c>
      <c r="F6" s="4">
        <v>3.6</v>
      </c>
      <c r="G6" s="7">
        <v>9</v>
      </c>
      <c r="H6" s="7">
        <v>12.6</v>
      </c>
      <c r="I6" s="4">
        <v>3.6</v>
      </c>
      <c r="J6" s="7">
        <v>7.55</v>
      </c>
      <c r="K6" s="7">
        <v>11.15</v>
      </c>
      <c r="L6" s="4">
        <v>3.9</v>
      </c>
      <c r="M6" s="7">
        <v>6.4</v>
      </c>
      <c r="N6" s="7">
        <v>10.3</v>
      </c>
      <c r="O6" s="4">
        <v>3.6</v>
      </c>
      <c r="P6" s="7">
        <v>8.4</v>
      </c>
      <c r="Q6" s="7">
        <v>12</v>
      </c>
      <c r="R6" s="4">
        <v>3.7</v>
      </c>
      <c r="S6" s="7">
        <v>8.4499999999999993</v>
      </c>
      <c r="T6" s="7">
        <v>12.15</v>
      </c>
      <c r="U6" s="4">
        <v>3</v>
      </c>
      <c r="V6" s="7">
        <v>7.6</v>
      </c>
      <c r="W6" s="7">
        <v>10.6</v>
      </c>
      <c r="X6" s="4">
        <f t="shared" si="0"/>
        <v>21.4</v>
      </c>
      <c r="Y6" s="7">
        <f t="shared" si="1"/>
        <v>47.4</v>
      </c>
      <c r="Z6" s="7">
        <f t="shared" si="2"/>
        <v>68.8</v>
      </c>
      <c r="AA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6" s="4">
        <v>3.4</v>
      </c>
      <c r="AC6" s="7">
        <v>8.6999999999999993</v>
      </c>
      <c r="AD6" s="7">
        <v>12.1</v>
      </c>
      <c r="AE6" s="4">
        <v>4.0999999999999996</v>
      </c>
      <c r="AF6" s="7">
        <v>6.7</v>
      </c>
      <c r="AG6" s="7">
        <v>10.8</v>
      </c>
      <c r="AH6" s="4">
        <v>3.7</v>
      </c>
      <c r="AI6" s="7">
        <v>7.9</v>
      </c>
      <c r="AJ6" s="7">
        <v>11.6</v>
      </c>
      <c r="AK6" s="4">
        <v>3.6</v>
      </c>
      <c r="AL6" s="7">
        <v>8.15</v>
      </c>
      <c r="AM6" s="7">
        <v>11.75</v>
      </c>
      <c r="AN6" s="4">
        <v>3.6</v>
      </c>
      <c r="AO6" s="7">
        <v>8.65</v>
      </c>
      <c r="AP6" s="7">
        <v>12.25</v>
      </c>
      <c r="AQ6" s="4">
        <v>2.5</v>
      </c>
      <c r="AR6" s="7">
        <v>7.9</v>
      </c>
      <c r="AS6" s="7">
        <v>10.4</v>
      </c>
      <c r="AT6" s="4">
        <f t="shared" si="3"/>
        <v>20.9</v>
      </c>
      <c r="AU6" s="7">
        <f t="shared" si="4"/>
        <v>47.999999999999993</v>
      </c>
      <c r="AV6" s="7">
        <f t="shared" si="5"/>
        <v>68.900000000000006</v>
      </c>
      <c r="AW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6" s="4">
        <v>3.6</v>
      </c>
      <c r="AY6" s="7">
        <v>8.4</v>
      </c>
      <c r="AZ6" s="7">
        <v>12</v>
      </c>
      <c r="BA6" s="4">
        <v>3.6</v>
      </c>
      <c r="BB6" s="7">
        <v>8</v>
      </c>
      <c r="BC6" s="7">
        <v>11.6</v>
      </c>
      <c r="BD6" s="4">
        <v>3.9</v>
      </c>
      <c r="BE6" s="7">
        <v>8.1999999999999993</v>
      </c>
      <c r="BF6" s="7">
        <v>12.1</v>
      </c>
      <c r="BG6" s="4">
        <v>4</v>
      </c>
      <c r="BH6" s="7">
        <v>8.65</v>
      </c>
      <c r="BI6" s="7">
        <v>12.65</v>
      </c>
      <c r="BJ6" s="4">
        <v>4</v>
      </c>
      <c r="BK6" s="7">
        <v>8.85</v>
      </c>
      <c r="BL6" s="7">
        <v>12.85</v>
      </c>
      <c r="BM6" s="4">
        <v>2.5</v>
      </c>
      <c r="BN6" s="7">
        <v>7.2</v>
      </c>
      <c r="BO6" s="7">
        <v>9.6999999999999993</v>
      </c>
      <c r="BP6" s="4">
        <f t="shared" si="6"/>
        <v>21.6</v>
      </c>
      <c r="BQ6" s="7">
        <f t="shared" si="7"/>
        <v>49.300000000000004</v>
      </c>
      <c r="BR6" s="7">
        <f t="shared" si="8"/>
        <v>70.900000000000006</v>
      </c>
      <c r="BS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6" s="4">
        <v>3.6</v>
      </c>
      <c r="BU6" s="7">
        <v>7.45</v>
      </c>
      <c r="BV6" s="7">
        <v>11.05</v>
      </c>
      <c r="BW6" s="4">
        <v>4.0999999999999996</v>
      </c>
      <c r="BX6" s="7">
        <v>6.7</v>
      </c>
      <c r="BY6" s="7">
        <v>10.8</v>
      </c>
      <c r="BZ6" s="4">
        <v>3.5</v>
      </c>
      <c r="CA6" s="7">
        <v>8.3000000000000007</v>
      </c>
      <c r="CB6" s="7">
        <v>11.8</v>
      </c>
      <c r="CC6" s="4">
        <v>2.4</v>
      </c>
      <c r="CD6" s="7">
        <v>8.3000000000000007</v>
      </c>
      <c r="CE6" s="7">
        <v>10.7</v>
      </c>
      <c r="CF6" s="4">
        <v>2.7</v>
      </c>
      <c r="CG6" s="7">
        <v>6</v>
      </c>
      <c r="CH6" s="7">
        <v>8.6999999999999993</v>
      </c>
      <c r="CI6" s="4">
        <v>2.2000000000000002</v>
      </c>
      <c r="CJ6" s="7">
        <v>1</v>
      </c>
      <c r="CK6" s="7">
        <v>3.2</v>
      </c>
      <c r="CL6" s="4">
        <f t="shared" si="9"/>
        <v>18.5</v>
      </c>
      <c r="CM6" s="7">
        <f t="shared" si="10"/>
        <v>37.75</v>
      </c>
      <c r="CN6" s="7">
        <f t="shared" si="11"/>
        <v>56.250000000000014</v>
      </c>
      <c r="CO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63.9</v>
      </c>
      <c r="CQ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144.69999999999999</v>
      </c>
      <c r="CR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208.60000000000002</v>
      </c>
      <c r="CS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21.3</v>
      </c>
      <c r="CT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48.233333333333327</v>
      </c>
      <c r="CU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69.533333333333346</v>
      </c>
      <c r="CW6" s="42"/>
      <c r="CX6" s="20" t="s">
        <v>276</v>
      </c>
      <c r="CY6" s="22" cm="1">
        <f t="array" ref="CY6">SUM(_xlfn._xlws.FILTER(AA[Year_AA_Escore],(AA[Category]="senior")*(AA[All around competition]&gt;=3))/COUNTIFS(AA[All around competition],"&gt;=3",AA[Category],"senior"))</f>
        <v>140.37857142857143</v>
      </c>
      <c r="CZ6" s="22" cm="1">
        <f t="array" ref="CZ6">_xlfn.STDEV.S(_xlfn._xlws.FILTER(AA[Year_AA_Escore],(AA[Category]="senior")*(AA[All around competition]&gt;=3)))</f>
        <v>3.8505256289301104</v>
      </c>
      <c r="DA6" s="22" cm="1">
        <f t="array" ref="DA6">MAX(_xlfn._xlws.FILTER(AA[Year_AA_Escore],AA[Category]="senior"))</f>
        <v>144.69999999999999</v>
      </c>
    </row>
    <row r="7" spans="1:105" x14ac:dyDescent="0.25">
      <c r="A7" t="s">
        <v>73</v>
      </c>
      <c r="B7" s="2" t="s">
        <v>60</v>
      </c>
      <c r="C7" s="2" t="s">
        <v>74</v>
      </c>
      <c r="D7" t="s">
        <v>62</v>
      </c>
      <c r="E7" s="2">
        <f>SUM(COUNTIF(AA[[#This Row],[Bydgoszcz_all_around]],"Yes"),COUNTIF(AA[[#This Row],[Zabrze_all_around]],"Yes"),COUNTIF(AA[[#This Row],[Cracow_all_around]],"Yes"),COUNTIF(AA[[#This Row],[Gdansk_all_Around]],"Yes"))</f>
        <v>4</v>
      </c>
      <c r="F7" s="4">
        <v>4.7</v>
      </c>
      <c r="G7" s="7">
        <v>8.1</v>
      </c>
      <c r="H7" s="7">
        <v>12.8</v>
      </c>
      <c r="I7" s="4">
        <v>3</v>
      </c>
      <c r="J7" s="7">
        <v>6.3</v>
      </c>
      <c r="K7" s="7">
        <v>9.3000000000000007</v>
      </c>
      <c r="L7" s="4">
        <v>2.7</v>
      </c>
      <c r="M7" s="7">
        <v>7.7</v>
      </c>
      <c r="N7" s="7">
        <v>10.4</v>
      </c>
      <c r="O7" s="4">
        <v>4</v>
      </c>
      <c r="P7" s="7">
        <v>8.6</v>
      </c>
      <c r="Q7" s="7">
        <v>12.6</v>
      </c>
      <c r="R7" s="4">
        <v>3.5</v>
      </c>
      <c r="S7" s="7">
        <v>8</v>
      </c>
      <c r="T7" s="7">
        <v>11.5</v>
      </c>
      <c r="U7" s="4">
        <v>3.1</v>
      </c>
      <c r="V7" s="7">
        <v>7.3</v>
      </c>
      <c r="W7" s="7">
        <v>10.4</v>
      </c>
      <c r="X7" s="4">
        <f t="shared" si="0"/>
        <v>21</v>
      </c>
      <c r="Y7" s="7">
        <f t="shared" si="1"/>
        <v>45.999999999999993</v>
      </c>
      <c r="Z7" s="7">
        <f t="shared" si="2"/>
        <v>67</v>
      </c>
      <c r="AA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7" s="4">
        <v>4.7</v>
      </c>
      <c r="AC7" s="7">
        <v>8.6999999999999993</v>
      </c>
      <c r="AD7" s="7">
        <v>13.4</v>
      </c>
      <c r="AE7" s="4">
        <v>3</v>
      </c>
      <c r="AF7" s="7">
        <v>7.5</v>
      </c>
      <c r="AG7" s="7">
        <v>10.5</v>
      </c>
      <c r="AH7" s="4">
        <v>2.5</v>
      </c>
      <c r="AI7" s="7">
        <v>8.15</v>
      </c>
      <c r="AJ7" s="7">
        <v>10.65</v>
      </c>
      <c r="AK7" s="4">
        <v>4</v>
      </c>
      <c r="AL7" s="7">
        <v>9.1</v>
      </c>
      <c r="AM7" s="7">
        <v>13.1</v>
      </c>
      <c r="AN7" s="4">
        <v>4.0999999999999996</v>
      </c>
      <c r="AO7" s="7">
        <v>7.9</v>
      </c>
      <c r="AP7" s="7">
        <v>12</v>
      </c>
      <c r="AQ7" s="4">
        <v>2.7</v>
      </c>
      <c r="AR7" s="7">
        <v>7.55</v>
      </c>
      <c r="AS7" s="7">
        <v>10.25</v>
      </c>
      <c r="AT7" s="4">
        <f t="shared" si="3"/>
        <v>20.999999999999996</v>
      </c>
      <c r="AU7" s="7">
        <f t="shared" si="4"/>
        <v>48.9</v>
      </c>
      <c r="AV7" s="7">
        <f t="shared" si="5"/>
        <v>69.900000000000006</v>
      </c>
      <c r="AW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7" s="4">
        <v>4.5</v>
      </c>
      <c r="AY7" s="7">
        <v>8.15</v>
      </c>
      <c r="AZ7" s="7">
        <v>12.65</v>
      </c>
      <c r="BA7" s="4">
        <v>3.1</v>
      </c>
      <c r="BB7" s="7">
        <v>3.05</v>
      </c>
      <c r="BC7" s="7">
        <v>6.15</v>
      </c>
      <c r="BD7" s="4">
        <v>2.8</v>
      </c>
      <c r="BE7" s="7">
        <v>7.1</v>
      </c>
      <c r="BF7" s="7">
        <v>9.9</v>
      </c>
      <c r="BG7" s="4">
        <v>4</v>
      </c>
      <c r="BH7" s="7">
        <v>9.35</v>
      </c>
      <c r="BI7" s="7">
        <v>13.35</v>
      </c>
      <c r="BJ7" s="4">
        <v>3.7</v>
      </c>
      <c r="BK7" s="7">
        <v>6.85</v>
      </c>
      <c r="BL7" s="7">
        <v>10.55</v>
      </c>
      <c r="BM7" s="4">
        <v>2.7</v>
      </c>
      <c r="BN7" s="7">
        <v>8.1999999999999993</v>
      </c>
      <c r="BO7" s="7">
        <v>10.9</v>
      </c>
      <c r="BP7" s="4">
        <f t="shared" si="6"/>
        <v>20.799999999999997</v>
      </c>
      <c r="BQ7" s="7">
        <f t="shared" si="7"/>
        <v>42.7</v>
      </c>
      <c r="BR7" s="7">
        <f t="shared" si="8"/>
        <v>63.500000000000007</v>
      </c>
      <c r="BS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7" s="4">
        <v>4.7</v>
      </c>
      <c r="BU7" s="7">
        <v>6.7</v>
      </c>
      <c r="BV7" s="7">
        <v>11.4</v>
      </c>
      <c r="BW7" s="4">
        <v>2.9</v>
      </c>
      <c r="BX7" s="7">
        <v>7.1</v>
      </c>
      <c r="BY7" s="7">
        <v>10</v>
      </c>
      <c r="BZ7" s="4">
        <v>2.7</v>
      </c>
      <c r="CA7" s="7">
        <v>7.4</v>
      </c>
      <c r="CB7" s="7">
        <v>10.1</v>
      </c>
      <c r="CC7" s="4">
        <v>4</v>
      </c>
      <c r="CD7" s="7">
        <v>8.6999999999999993</v>
      </c>
      <c r="CE7" s="7">
        <v>12.7</v>
      </c>
      <c r="CF7" s="4">
        <v>3.6</v>
      </c>
      <c r="CG7" s="7">
        <v>7.4</v>
      </c>
      <c r="CH7" s="7">
        <v>11</v>
      </c>
      <c r="CI7" s="4">
        <v>2.6</v>
      </c>
      <c r="CJ7" s="7">
        <v>5.8</v>
      </c>
      <c r="CK7" s="7">
        <v>8.4</v>
      </c>
      <c r="CL7" s="4">
        <f t="shared" si="9"/>
        <v>20.500000000000004</v>
      </c>
      <c r="CM7" s="7">
        <f t="shared" si="10"/>
        <v>43.1</v>
      </c>
      <c r="CN7" s="7">
        <f t="shared" si="11"/>
        <v>63.6</v>
      </c>
      <c r="CO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62.8</v>
      </c>
      <c r="CQ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138</v>
      </c>
      <c r="CR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200.5</v>
      </c>
      <c r="CS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20.933333333333334</v>
      </c>
      <c r="CT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46</v>
      </c>
      <c r="CU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66.833333333333329</v>
      </c>
      <c r="CW7" s="43"/>
      <c r="CX7" s="20" t="s">
        <v>277</v>
      </c>
      <c r="CY7" s="22" cm="1">
        <f t="array" ref="CY7">SUM(_xlfn._xlws.FILTER(AA[Year_AA_Total_Score],(AA[Category]="senior")*(AA[All around competition]&gt;=3))/COUNTIFS(AA[All around competition],"&gt;=3",AA[Category],"senior"))</f>
        <v>210.02857142857144</v>
      </c>
      <c r="CZ7" s="22" cm="1">
        <f t="array" ref="CZ7">_xlfn.STDEV.S(_xlfn._xlws.FILTER(AA[Year_AA_Total_Score],(AA[Category]="senior")*(AA[All around competition]&gt;=3)))</f>
        <v>11.225486520371742</v>
      </c>
      <c r="DA7" s="22" cm="1">
        <f t="array" ref="DA7">MAX(_xlfn._xlws.FILTER(AA[Year_AA_Total_Score],AA[Category]="senior"))</f>
        <v>225.45</v>
      </c>
    </row>
    <row r="8" spans="1:105" x14ac:dyDescent="0.25">
      <c r="A8" t="s">
        <v>84</v>
      </c>
      <c r="B8" s="2" t="s">
        <v>60</v>
      </c>
      <c r="C8" s="2" t="s">
        <v>85</v>
      </c>
      <c r="D8" t="s">
        <v>39</v>
      </c>
      <c r="E8" s="2">
        <f>SUM(COUNTIF(AA[[#This Row],[Bydgoszcz_all_around]],"Yes"),COUNTIF(AA[[#This Row],[Zabrze_all_around]],"Yes"),COUNTIF(AA[[#This Row],[Cracow_all_around]],"Yes"),COUNTIF(AA[[#This Row],[Gdansk_all_Around]],"Yes"))</f>
        <v>4</v>
      </c>
      <c r="F8" s="4">
        <v>4.5</v>
      </c>
      <c r="G8" s="7">
        <v>7.35</v>
      </c>
      <c r="H8" s="7">
        <v>11.85</v>
      </c>
      <c r="I8" s="4">
        <v>3.2</v>
      </c>
      <c r="J8" s="7">
        <v>6.1</v>
      </c>
      <c r="K8" s="7">
        <v>9.3000000000000007</v>
      </c>
      <c r="L8" s="4">
        <v>3.6</v>
      </c>
      <c r="M8" s="7">
        <v>7.5</v>
      </c>
      <c r="N8" s="7">
        <v>11.1</v>
      </c>
      <c r="O8" s="4">
        <v>3</v>
      </c>
      <c r="P8" s="7">
        <v>9.3000000000000007</v>
      </c>
      <c r="Q8" s="7">
        <v>12.3</v>
      </c>
      <c r="R8" s="4">
        <v>3.7</v>
      </c>
      <c r="S8" s="7">
        <v>7.85</v>
      </c>
      <c r="T8" s="7">
        <v>11.55</v>
      </c>
      <c r="U8" s="4">
        <v>3.2</v>
      </c>
      <c r="V8" s="7">
        <v>7.2</v>
      </c>
      <c r="W8" s="7">
        <v>10.4</v>
      </c>
      <c r="X8" s="4">
        <f t="shared" si="0"/>
        <v>21.2</v>
      </c>
      <c r="Y8" s="7">
        <f t="shared" si="1"/>
        <v>45.300000000000004</v>
      </c>
      <c r="Z8" s="7">
        <f t="shared" si="2"/>
        <v>66.5</v>
      </c>
      <c r="AA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8" s="4">
        <v>4.0999999999999996</v>
      </c>
      <c r="AC8" s="7">
        <v>6.25</v>
      </c>
      <c r="AD8" s="7">
        <v>10.35</v>
      </c>
      <c r="AE8" s="4">
        <v>3.2</v>
      </c>
      <c r="AF8" s="7">
        <v>4.75</v>
      </c>
      <c r="AG8" s="7">
        <v>7.95</v>
      </c>
      <c r="AH8" s="4">
        <v>3.4</v>
      </c>
      <c r="AI8" s="7">
        <v>7.3</v>
      </c>
      <c r="AJ8" s="7">
        <v>10.7</v>
      </c>
      <c r="AK8" s="4">
        <v>3.2</v>
      </c>
      <c r="AL8" s="7">
        <v>9.25</v>
      </c>
      <c r="AM8" s="7">
        <v>12.45</v>
      </c>
      <c r="AN8" s="4">
        <v>4.2</v>
      </c>
      <c r="AO8" s="7">
        <v>7.5</v>
      </c>
      <c r="AP8" s="7">
        <v>11.7</v>
      </c>
      <c r="AQ8" s="4">
        <v>2.8</v>
      </c>
      <c r="AR8" s="7">
        <v>8</v>
      </c>
      <c r="AS8" s="7">
        <v>10.8</v>
      </c>
      <c r="AT8" s="4">
        <f t="shared" si="3"/>
        <v>20.9</v>
      </c>
      <c r="AU8" s="7">
        <f t="shared" si="4"/>
        <v>43.05</v>
      </c>
      <c r="AV8" s="7">
        <f t="shared" si="5"/>
        <v>63.95</v>
      </c>
      <c r="AW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8" s="4">
        <v>4.0999999999999996</v>
      </c>
      <c r="AY8" s="7">
        <v>8.4</v>
      </c>
      <c r="AZ8" s="7">
        <v>12.5</v>
      </c>
      <c r="BA8" s="4">
        <v>3.2</v>
      </c>
      <c r="BB8" s="7">
        <v>4.5999999999999996</v>
      </c>
      <c r="BC8" s="7">
        <v>7.8</v>
      </c>
      <c r="BD8" s="4">
        <v>2.9</v>
      </c>
      <c r="BE8" s="7">
        <v>6.15</v>
      </c>
      <c r="BF8" s="7">
        <v>9.0500000000000007</v>
      </c>
      <c r="BG8" s="4">
        <v>3.2</v>
      </c>
      <c r="BH8" s="7">
        <v>9.3000000000000007</v>
      </c>
      <c r="BI8" s="7">
        <v>12.5</v>
      </c>
      <c r="BJ8" s="4">
        <v>3.6</v>
      </c>
      <c r="BK8" s="7">
        <v>7.9</v>
      </c>
      <c r="BL8" s="7">
        <v>11.5</v>
      </c>
      <c r="BM8" s="4">
        <v>2.9</v>
      </c>
      <c r="BN8" s="7">
        <v>7.25</v>
      </c>
      <c r="BO8" s="7">
        <v>10.15</v>
      </c>
      <c r="BP8" s="4">
        <f t="shared" si="6"/>
        <v>19.899999999999999</v>
      </c>
      <c r="BQ8" s="7">
        <f t="shared" si="7"/>
        <v>43.6</v>
      </c>
      <c r="BR8" s="7">
        <f t="shared" si="8"/>
        <v>63.5</v>
      </c>
      <c r="BS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8" s="4">
        <v>4.0999999999999996</v>
      </c>
      <c r="BU8" s="7">
        <v>7.3</v>
      </c>
      <c r="BV8" s="7">
        <v>11.4</v>
      </c>
      <c r="BW8" s="4">
        <v>3.5</v>
      </c>
      <c r="BX8" s="7">
        <v>5.5</v>
      </c>
      <c r="BY8" s="7">
        <v>9</v>
      </c>
      <c r="BZ8" s="4">
        <v>3.1</v>
      </c>
      <c r="CA8" s="7">
        <v>7.3</v>
      </c>
      <c r="CB8" s="7">
        <v>10.4</v>
      </c>
      <c r="CC8" s="4">
        <v>3.2</v>
      </c>
      <c r="CD8" s="7">
        <v>8.3000000000000007</v>
      </c>
      <c r="CE8" s="7">
        <v>11.5</v>
      </c>
      <c r="CF8" s="4">
        <v>4.2</v>
      </c>
      <c r="CG8" s="7">
        <v>7.7</v>
      </c>
      <c r="CH8" s="7">
        <v>11.9</v>
      </c>
      <c r="CI8" s="4">
        <v>2.5</v>
      </c>
      <c r="CJ8" s="7">
        <v>8.6999999999999993</v>
      </c>
      <c r="CK8" s="7">
        <v>11.2</v>
      </c>
      <c r="CL8" s="4">
        <f t="shared" si="9"/>
        <v>20.599999999999998</v>
      </c>
      <c r="CM8" s="7">
        <f t="shared" si="10"/>
        <v>44.8</v>
      </c>
      <c r="CN8" s="7">
        <f t="shared" si="11"/>
        <v>65.399999999999991</v>
      </c>
      <c r="CO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62.699999999999989</v>
      </c>
      <c r="CQ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133.69999999999999</v>
      </c>
      <c r="CR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195.84999999999997</v>
      </c>
      <c r="CS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20.899999999999995</v>
      </c>
      <c r="CT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44.566666666666663</v>
      </c>
      <c r="CU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65.283333333333317</v>
      </c>
      <c r="CW8" s="41" t="s">
        <v>26</v>
      </c>
      <c r="CX8" s="20" t="s">
        <v>269</v>
      </c>
      <c r="CY8" s="21" cm="1">
        <f t="array" ref="CY8">SUM(_xlfn._xlws.FILTER(AA[bydgoszcz_DScore],(AA[Category]="junior")*(AA[Bydgoszcz_all_around]&gt;="yes")),_xlfn._xlws.FILTER(AA[zabrze_Dscore],(AA[Category]="junior")*(AA[Zabrze_all_around]&gt;="yes")),_xlfn._xlws.FILTER(AA[cracow_Dscore],(AA[Category]="junior")*(AA[Cracow_all_around]&gt;="yes")),_xlfn._xlws.FILTER(AA[gdansk_Dscore],(AA[Category]="junior")*(AA[Gdansk_all_Around]&gt;="yes")))/(COUNTIFS(AA[bydgoszcz_DScore],"&gt;0",AA[Category],"junior",AA[Bydgoszcz_all_around],"Yes")+COUNTIFS(AA[zabrze_Dscore],"&gt;0",AA[Category],"junior",AA[Zabrze_all_around],"Yes")+COUNTIFS(AA[cracow_Dscore],"&gt;0",AA[Category],"junior",AA[Cracow_all_around],"Yes")+COUNTIFS(AA[gdansk_Dscore],"&gt;0",AA[Category],"junior",AA[Gdansk_all_Around],"Yes"))</f>
        <v>17.661904761904765</v>
      </c>
      <c r="CZ8" s="21" cm="1">
        <f t="array" ref="CZ8">_xlfn.STDEV.S(_xlfn._xlws.FILTER(AA[bydgoszcz_DScore],(AA[Category]="junior")*(AA[Bydgoszcz_all_around]&gt;="yes")*(AA[bydgoszcz_DScore]&gt;0)),_xlfn._xlws.FILTER(AA[zabrze_Dscore],(AA[Category]="junior")*(AA[zabrze_Dscore]&gt;0)*(AA[Zabrze_all_around]&gt;="yes")),_xlfn._xlws.FILTER(AA[cracow_Dscore],(AA[Category]="junior")*(AA[cracow_Dscore]&gt;0)*(AA[Cracow_all_around]&gt;="yes")),_xlfn._xlws.FILTER(AA[gdansk_Dscore],(AA[Category]="junior")*(AA[gdansk_Dscore]&gt;0)*(AA[Gdansk_all_Around]&gt;="yes")))</f>
        <v>3.2183128727340868</v>
      </c>
      <c r="DA8" s="21" cm="1">
        <f t="array" ref="DA8">MAX(_xlfn._xlws.FILTER(AA[bydgoszcz_DScore],AA[Category]="junior"),_xlfn._xlws.FILTER(AA[zabrze_Dscore],AA[Category]="junior"),_xlfn._xlws.FILTER(AA[cracow_Dscore],AA[Category]="junior"),_xlfn._xlws.FILTER(AA[gdansk_Dscore],AA[Category]="junior"))</f>
        <v>25.6</v>
      </c>
    </row>
    <row r="9" spans="1:105" x14ac:dyDescent="0.25">
      <c r="A9" t="s">
        <v>34</v>
      </c>
      <c r="B9" s="2" t="s">
        <v>26</v>
      </c>
      <c r="C9" s="2" t="s">
        <v>35</v>
      </c>
      <c r="D9" t="s">
        <v>36</v>
      </c>
      <c r="E9" s="2">
        <f>SUM(COUNTIF(AA[[#This Row],[Bydgoszcz_all_around]],"Yes"),COUNTIF(AA[[#This Row],[Zabrze_all_around]],"Yes"),COUNTIF(AA[[#This Row],[Cracow_all_around]],"Yes"),COUNTIF(AA[[#This Row],[Gdansk_all_Around]],"Yes"))</f>
        <v>4</v>
      </c>
      <c r="F9" s="4">
        <v>3.8</v>
      </c>
      <c r="G9" s="7">
        <v>8.6999999999999993</v>
      </c>
      <c r="H9" s="7">
        <v>12.5</v>
      </c>
      <c r="I9" s="4">
        <v>4.4000000000000004</v>
      </c>
      <c r="J9" s="7">
        <v>7</v>
      </c>
      <c r="K9" s="7">
        <v>11.4</v>
      </c>
      <c r="L9" s="4">
        <v>3.6</v>
      </c>
      <c r="M9" s="7">
        <v>7.8</v>
      </c>
      <c r="N9" s="7">
        <v>11.4</v>
      </c>
      <c r="O9" s="4">
        <v>1.6</v>
      </c>
      <c r="P9" s="7">
        <v>8.8000000000000007</v>
      </c>
      <c r="Q9" s="7">
        <v>10.4</v>
      </c>
      <c r="R9" s="4">
        <v>3.2</v>
      </c>
      <c r="S9" s="7">
        <v>8.6</v>
      </c>
      <c r="T9" s="7">
        <v>11.8</v>
      </c>
      <c r="U9" s="4">
        <v>3.4</v>
      </c>
      <c r="V9" s="7">
        <v>7.4</v>
      </c>
      <c r="W9" s="7">
        <v>10.8</v>
      </c>
      <c r="X9" s="4">
        <f t="shared" si="0"/>
        <v>19.999999999999996</v>
      </c>
      <c r="Y9" s="7">
        <f t="shared" si="1"/>
        <v>48.3</v>
      </c>
      <c r="Z9" s="7">
        <f t="shared" si="2"/>
        <v>68.3</v>
      </c>
      <c r="AA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9" s="4">
        <v>3.7</v>
      </c>
      <c r="AC9" s="7">
        <v>8.1</v>
      </c>
      <c r="AD9" s="7">
        <v>11.8</v>
      </c>
      <c r="AE9" s="4">
        <v>3.9</v>
      </c>
      <c r="AF9" s="7">
        <v>7</v>
      </c>
      <c r="AG9" s="7">
        <v>10.9</v>
      </c>
      <c r="AH9" s="4">
        <v>3.9</v>
      </c>
      <c r="AI9" s="7">
        <v>8.1</v>
      </c>
      <c r="AJ9" s="7">
        <v>12</v>
      </c>
      <c r="AK9" s="4">
        <v>2.4</v>
      </c>
      <c r="AL9" s="7">
        <v>8.9</v>
      </c>
      <c r="AM9" s="7">
        <v>11.3</v>
      </c>
      <c r="AN9" s="4">
        <v>3.7</v>
      </c>
      <c r="AO9" s="7">
        <v>7.45</v>
      </c>
      <c r="AP9" s="7">
        <v>11.15</v>
      </c>
      <c r="AQ9" s="4">
        <v>3.4</v>
      </c>
      <c r="AR9" s="7">
        <v>7.5</v>
      </c>
      <c r="AS9" s="7">
        <v>10.9</v>
      </c>
      <c r="AT9" s="4">
        <f t="shared" si="3"/>
        <v>21</v>
      </c>
      <c r="AU9" s="7">
        <f t="shared" si="4"/>
        <v>47.050000000000004</v>
      </c>
      <c r="AV9" s="7">
        <f t="shared" si="5"/>
        <v>68.05</v>
      </c>
      <c r="AW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9" s="4">
        <v>3.6</v>
      </c>
      <c r="AY9" s="7">
        <v>8.25</v>
      </c>
      <c r="AZ9" s="7">
        <v>11.85</v>
      </c>
      <c r="BA9" s="4">
        <v>3.6</v>
      </c>
      <c r="BB9" s="7">
        <v>8.4</v>
      </c>
      <c r="BC9" s="7">
        <v>12</v>
      </c>
      <c r="BD9" s="4">
        <v>3.7</v>
      </c>
      <c r="BE9" s="7">
        <v>7.45</v>
      </c>
      <c r="BF9" s="7">
        <v>11.15</v>
      </c>
      <c r="BG9" s="4">
        <v>3.2</v>
      </c>
      <c r="BH9" s="7">
        <v>8.6999999999999993</v>
      </c>
      <c r="BI9" s="7">
        <v>11.9</v>
      </c>
      <c r="BJ9" s="4">
        <v>3.7</v>
      </c>
      <c r="BK9" s="7">
        <v>8</v>
      </c>
      <c r="BL9" s="7">
        <v>11.7</v>
      </c>
      <c r="BM9" s="4">
        <v>3.4</v>
      </c>
      <c r="BN9" s="7">
        <v>8.6</v>
      </c>
      <c r="BO9" s="7">
        <v>12</v>
      </c>
      <c r="BP9" s="4">
        <f t="shared" si="6"/>
        <v>21.2</v>
      </c>
      <c r="BQ9" s="7">
        <f t="shared" si="7"/>
        <v>49.4</v>
      </c>
      <c r="BR9" s="7">
        <f t="shared" si="8"/>
        <v>70.599999999999994</v>
      </c>
      <c r="BS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9" s="4">
        <v>3.6</v>
      </c>
      <c r="BU9" s="7">
        <v>7.4</v>
      </c>
      <c r="BV9" s="7">
        <v>11</v>
      </c>
      <c r="BW9" s="4">
        <v>3.6</v>
      </c>
      <c r="BX9" s="7">
        <v>8.3000000000000007</v>
      </c>
      <c r="BY9" s="7">
        <v>11.9</v>
      </c>
      <c r="BZ9" s="4">
        <v>3.4</v>
      </c>
      <c r="CA9" s="7">
        <v>7.7</v>
      </c>
      <c r="CB9" s="7">
        <v>11.1</v>
      </c>
      <c r="CC9" s="4">
        <v>2.4</v>
      </c>
      <c r="CD9" s="7">
        <v>7.2</v>
      </c>
      <c r="CE9" s="7">
        <v>9.6</v>
      </c>
      <c r="CF9" s="4">
        <v>3.4</v>
      </c>
      <c r="CG9" s="7">
        <v>7.3</v>
      </c>
      <c r="CH9" s="7">
        <v>10.7</v>
      </c>
      <c r="CI9" s="4">
        <v>2.7</v>
      </c>
      <c r="CJ9" s="7">
        <v>7.5</v>
      </c>
      <c r="CK9" s="7">
        <v>10.199999999999999</v>
      </c>
      <c r="CL9" s="4">
        <f t="shared" si="9"/>
        <v>19.099999999999998</v>
      </c>
      <c r="CM9" s="7">
        <f t="shared" si="10"/>
        <v>45.4</v>
      </c>
      <c r="CN9" s="7">
        <f t="shared" si="11"/>
        <v>64.5</v>
      </c>
      <c r="CO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62.2</v>
      </c>
      <c r="CQ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144.75</v>
      </c>
      <c r="CR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206.95</v>
      </c>
      <c r="CS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20.733333333333334</v>
      </c>
      <c r="CT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48.25</v>
      </c>
      <c r="CU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68.983333333333334</v>
      </c>
      <c r="CW9" s="42"/>
      <c r="CX9" s="20" t="s">
        <v>267</v>
      </c>
      <c r="CY9" s="22" cm="1">
        <f t="array" ref="CY9">SUM(_xlfn._xlws.FILTER(AA[bydgoszcz_Escore],(AA[Category]="junior")*(AA[Bydgoszcz_all_around]&gt;="yes")),_xlfn._xlws.FILTER(AA[zabrze_Escore],(AA[Category]="junior")*(AA[Zabrze_all_around]&gt;="yes")),_xlfn._xlws.FILTER(AA[cracow_Escore],(AA[Category]="junior")*(AA[Cracow_all_around]&gt;="yes")),_xlfn._xlws.FILTER(AA[gdansk_Escore],(AA[Category]="junior")*(AA[Gdansk_all_Around]&gt;="yes")))/(COUNTIFS(AA[bydgoszcz_Escore],"&gt;0",AA[Category],"junior",AA[Bydgoszcz_all_around],"Yes")+COUNTIFS(AA[zabrze_Escore],"&gt;0",AA[Category],"junior",AA[Zabrze_all_around],"Yes")+COUNTIFS(AA[cracow_Escore],"&gt;0",AA[Category],"junior",AA[Cracow_all_around],"Yes")+COUNTIFS(AA[gdansk_Escore],"&gt;0",AA[Category],"junior",AA[Gdansk_all_Around],"Yes"))</f>
        <v>46.188095238095251</v>
      </c>
      <c r="CZ9" s="22" cm="1">
        <f t="array" ref="CZ9">_xlfn.STDEV.S(_xlfn._xlws.FILTER(AA[bydgoszcz_Escore],(AA[Category]="junior")*(AA[Bydgoszcz_all_around]&gt;="yes")*(AA[bydgoszcz_Escore]&gt;0)),_xlfn._xlws.FILTER(AA[zabrze_Escore],(AA[Category]="junior")*(AA[zabrze_Escore]&gt;0)*(AA[Zabrze_all_around]&gt;="yes")),_xlfn._xlws.FILTER(AA[cracow_Escore],(AA[Category]="junior")*(AA[cracow_Escore]&gt;0)*(AA[Cracow_all_around]&gt;="yes")),_xlfn._xlws.FILTER(AA[gdansk_Escore],(AA[Category]="junior")*(AA[gdansk_Escore]&gt;0)*(AA[Gdansk_all_Around]&gt;="yes")))</f>
        <v>5.4465564140285094</v>
      </c>
      <c r="DA9" s="22" cm="1">
        <f t="array" ref="DA9">MAX(_xlfn._xlws.FILTER(AA[bydgoszcz_Escore],AA[Category]="junior"),_xlfn._xlws.FILTER(AA[zabrze_Escore],AA[Category]="junior"),_xlfn._xlws.FILTER(AA[cracow_Escore],AA[Category]="junior"),_xlfn._xlws.FILTER(AA[gdansk_Escore],AA[Category]="junior"))</f>
        <v>53.7</v>
      </c>
    </row>
    <row r="10" spans="1:105" x14ac:dyDescent="0.25">
      <c r="A10" t="s">
        <v>32</v>
      </c>
      <c r="B10" s="2" t="s">
        <v>26</v>
      </c>
      <c r="C10" s="2" t="s">
        <v>33</v>
      </c>
      <c r="D10" t="s">
        <v>31</v>
      </c>
      <c r="E10" s="2">
        <f>SUM(COUNTIF(AA[[#This Row],[Bydgoszcz_all_around]],"Yes"),COUNTIF(AA[[#This Row],[Zabrze_all_around]],"Yes"),COUNTIF(AA[[#This Row],[Cracow_all_around]],"Yes"),COUNTIF(AA[[#This Row],[Gdansk_all_Around]],"Yes"))</f>
        <v>4</v>
      </c>
      <c r="F10" s="4">
        <v>4.2</v>
      </c>
      <c r="G10" s="7">
        <v>8.6</v>
      </c>
      <c r="H10" s="7">
        <v>12.8</v>
      </c>
      <c r="I10" s="4">
        <v>3.6</v>
      </c>
      <c r="J10" s="7">
        <v>7</v>
      </c>
      <c r="K10" s="7">
        <v>10.6</v>
      </c>
      <c r="L10" s="4">
        <v>3.3</v>
      </c>
      <c r="M10" s="7">
        <v>7.1</v>
      </c>
      <c r="N10" s="7">
        <v>10.4</v>
      </c>
      <c r="O10" s="4">
        <v>3.2</v>
      </c>
      <c r="P10" s="7">
        <v>9</v>
      </c>
      <c r="Q10" s="7">
        <v>12.2</v>
      </c>
      <c r="R10" s="4">
        <v>3.5</v>
      </c>
      <c r="S10" s="7">
        <v>7.95</v>
      </c>
      <c r="T10" s="7">
        <v>11.45</v>
      </c>
      <c r="U10" s="4">
        <v>3.1</v>
      </c>
      <c r="V10" s="7">
        <v>7.7</v>
      </c>
      <c r="W10" s="7">
        <v>10.8</v>
      </c>
      <c r="X10" s="4">
        <f t="shared" si="0"/>
        <v>20.900000000000002</v>
      </c>
      <c r="Y10" s="7">
        <f t="shared" si="1"/>
        <v>47.35</v>
      </c>
      <c r="Z10" s="7">
        <f t="shared" si="2"/>
        <v>68.25</v>
      </c>
      <c r="AA1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0" s="4">
        <v>4.2</v>
      </c>
      <c r="AC10" s="7">
        <v>8.5500000000000007</v>
      </c>
      <c r="AD10" s="7">
        <v>12.75</v>
      </c>
      <c r="AE10" s="4">
        <v>3.6</v>
      </c>
      <c r="AF10" s="7">
        <v>6.2</v>
      </c>
      <c r="AG10" s="7">
        <v>9.8000000000000007</v>
      </c>
      <c r="AH10" s="4">
        <v>3.2</v>
      </c>
      <c r="AI10" s="7">
        <v>9</v>
      </c>
      <c r="AJ10" s="7">
        <v>12.2</v>
      </c>
      <c r="AK10" s="4">
        <v>3.2</v>
      </c>
      <c r="AL10" s="7">
        <v>9.4499999999999993</v>
      </c>
      <c r="AM10" s="7">
        <v>12.65</v>
      </c>
      <c r="AN10" s="4">
        <v>3.4</v>
      </c>
      <c r="AO10" s="7">
        <v>7.95</v>
      </c>
      <c r="AP10" s="7">
        <v>11.35</v>
      </c>
      <c r="AQ10" s="4">
        <v>3.2</v>
      </c>
      <c r="AR10" s="7">
        <v>7.8</v>
      </c>
      <c r="AS10" s="7">
        <v>11</v>
      </c>
      <c r="AT10" s="4">
        <f t="shared" si="3"/>
        <v>20.799999999999997</v>
      </c>
      <c r="AU10" s="7">
        <f t="shared" si="4"/>
        <v>48.95</v>
      </c>
      <c r="AV10" s="7">
        <f t="shared" si="5"/>
        <v>69.75</v>
      </c>
      <c r="AW1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0" s="4">
        <v>4.2</v>
      </c>
      <c r="AY10" s="7">
        <v>8.3000000000000007</v>
      </c>
      <c r="AZ10" s="7">
        <v>12.5</v>
      </c>
      <c r="BA10" s="4">
        <v>3.4</v>
      </c>
      <c r="BB10" s="7">
        <v>7.95</v>
      </c>
      <c r="BC10" s="7">
        <v>11.35</v>
      </c>
      <c r="BD10" s="4">
        <v>3.3</v>
      </c>
      <c r="BE10" s="7">
        <v>6.95</v>
      </c>
      <c r="BF10" s="7">
        <v>10.25</v>
      </c>
      <c r="BG10" s="4">
        <v>3.2</v>
      </c>
      <c r="BH10" s="7">
        <v>9.1999999999999993</v>
      </c>
      <c r="BI10" s="7">
        <v>12.4</v>
      </c>
      <c r="BJ10" s="4">
        <v>3.2</v>
      </c>
      <c r="BK10" s="7">
        <v>8.8000000000000007</v>
      </c>
      <c r="BL10" s="7">
        <v>12</v>
      </c>
      <c r="BM10" s="4">
        <v>3.1</v>
      </c>
      <c r="BN10" s="7">
        <v>4.7</v>
      </c>
      <c r="BO10" s="7">
        <v>7.8</v>
      </c>
      <c r="BP10" s="4">
        <f t="shared" si="6"/>
        <v>20.399999999999999</v>
      </c>
      <c r="BQ10" s="7">
        <f t="shared" si="7"/>
        <v>45.900000000000006</v>
      </c>
      <c r="BR10" s="7">
        <f t="shared" si="8"/>
        <v>66.3</v>
      </c>
      <c r="BS1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0" s="4">
        <v>4.0999999999999996</v>
      </c>
      <c r="BU10" s="7">
        <v>7.8</v>
      </c>
      <c r="BV10" s="7">
        <v>11.9</v>
      </c>
      <c r="BW10" s="4">
        <v>3.6</v>
      </c>
      <c r="BX10" s="7">
        <v>8.3000000000000007</v>
      </c>
      <c r="BY10" s="7">
        <v>11.9</v>
      </c>
      <c r="BZ10" s="4">
        <v>3.3</v>
      </c>
      <c r="CA10" s="7">
        <v>7.9</v>
      </c>
      <c r="CB10" s="7">
        <v>11.2</v>
      </c>
      <c r="CC10" s="4">
        <v>2.8</v>
      </c>
      <c r="CD10" s="7">
        <v>8.8000000000000007</v>
      </c>
      <c r="CE10" s="7">
        <v>11.6</v>
      </c>
      <c r="CF10" s="4">
        <v>3.4</v>
      </c>
      <c r="CG10" s="7">
        <v>7.3</v>
      </c>
      <c r="CH10" s="7">
        <v>10.7</v>
      </c>
      <c r="CI10" s="4">
        <v>2.9</v>
      </c>
      <c r="CJ10" s="7">
        <v>6.2</v>
      </c>
      <c r="CK10" s="7">
        <v>9.1</v>
      </c>
      <c r="CL10" s="4">
        <f t="shared" si="9"/>
        <v>20.099999999999998</v>
      </c>
      <c r="CM10" s="7">
        <f t="shared" si="10"/>
        <v>46.3</v>
      </c>
      <c r="CN10" s="7">
        <f t="shared" si="11"/>
        <v>66.399999999999991</v>
      </c>
      <c r="CO1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62.1</v>
      </c>
      <c r="CQ1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142.60000000000002</v>
      </c>
      <c r="CR1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204.39999999999998</v>
      </c>
      <c r="CS1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20.7</v>
      </c>
      <c r="CT1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47.533333333333339</v>
      </c>
      <c r="CU1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68.133333333333326</v>
      </c>
      <c r="CW10" s="42"/>
      <c r="CX10" s="20" t="s">
        <v>268</v>
      </c>
      <c r="CY10" s="22" cm="1">
        <f t="array" ref="CY10">SUM(_xlfn._xlws.FILTER(AA[bydgoszcz_Total_Score],(AA[Category]="junior")*(AA[Bydgoszcz_all_around]&gt;="yes")),_xlfn._xlws.FILTER(AA[zabrze_Total_Score],(AA[Category]="junior")*(AA[Zabrze_all_around]&gt;="yes")),_xlfn._xlws.FILTER(AA[cracow_Total_Score],(AA[Category]="junior")*(AA[Cracow_all_around]&gt;="yes")),_xlfn._xlws.FILTER(AA[gdansk_Total_Score],(AA[Category]="junior")*(AA[Gdansk_all_Around]&gt;="yes")))/(COUNTIFS(AA[bydgoszcz_Total_Score],"&gt;0",AA[Category],"junior",AA[Bydgoszcz_all_around],"Yes")+COUNTIFS(AA[zabrze_Total_Score],"&gt;0",AA[Category],"junior",AA[Zabrze_all_around],"Yes")+COUNTIFS(AA[cracow_Total_Score],"&gt;0",AA[Category],"junior",AA[Cracow_all_around],"Yes")+COUNTIFS(AA[gdansk_Total_Score],"&gt;0",AA[Category],"junior",AA[Gdansk_all_Around],"Yes"))</f>
        <v>63.850000000000009</v>
      </c>
      <c r="CZ10" s="22" cm="1">
        <f t="array" ref="CZ10">_xlfn.STDEV.S(_xlfn._xlws.FILTER(AA[bydgoszcz_Total_Score],(AA[Category]="junior")*(AA[Bydgoszcz_all_around]&gt;="yes")*(AA[bydgoszcz_Total_Score]&gt;0)),_xlfn._xlws.FILTER(AA[zabrze_Total_Score],(AA[Category]="junior")*(AA[zabrze_Total_Score]&gt;0)*(AA[Zabrze_all_around]&gt;="yes")),_xlfn._xlws.FILTER(AA[cracow_Total_Score],(AA[Category]="junior")*(AA[cracow_Total_Score]&gt;0)*(AA[Cracow_all_around]&gt;="yes")),_xlfn._xlws.FILTER(AA[gdansk_Total_Score],(AA[Category]="junior")*(AA[gdansk_Total_Score]&gt;0)*(AA[Gdansk_all_Around]&gt;="yes")))</f>
        <v>7.8148311156322245</v>
      </c>
      <c r="DA10" s="22" cm="1">
        <f t="array" ref="DA10">MAX(_xlfn._xlws.FILTER(AA[bydgoszcz_Total_Score],AA[Category]="junior"),_xlfn._xlws.FILTER(AA[zabrze_Total_Score],AA[Category]="junior"),_xlfn._xlws.FILTER(AA[cracow_Total_Score],AA[Category]="junior"),_xlfn._xlws.FILTER(AA[gdansk_Total_Score],AA[Category]="junior"))</f>
        <v>73.2</v>
      </c>
    </row>
    <row r="11" spans="1:105" x14ac:dyDescent="0.25">
      <c r="A11" t="s">
        <v>29</v>
      </c>
      <c r="B11" s="2" t="s">
        <v>26</v>
      </c>
      <c r="C11" s="2" t="s">
        <v>30</v>
      </c>
      <c r="D11" t="s">
        <v>31</v>
      </c>
      <c r="E11" s="2">
        <f>SUM(COUNTIF(AA[[#This Row],[Bydgoszcz_all_around]],"Yes"),COUNTIF(AA[[#This Row],[Zabrze_all_around]],"Yes"),COUNTIF(AA[[#This Row],[Cracow_all_around]],"Yes"),COUNTIF(AA[[#This Row],[Gdansk_all_Around]],"Yes"))</f>
        <v>3</v>
      </c>
      <c r="F11" s="4">
        <v>4</v>
      </c>
      <c r="G11" s="7">
        <v>8.9499999999999993</v>
      </c>
      <c r="H11" s="7">
        <v>12.95</v>
      </c>
      <c r="I11" s="4">
        <v>3.3</v>
      </c>
      <c r="J11" s="7">
        <v>6.65</v>
      </c>
      <c r="K11" s="7">
        <v>9.9499999999999993</v>
      </c>
      <c r="L11" s="4">
        <v>2.6</v>
      </c>
      <c r="M11" s="7">
        <v>6.9</v>
      </c>
      <c r="N11" s="7">
        <v>9.5</v>
      </c>
      <c r="O11" s="4">
        <v>2.8</v>
      </c>
      <c r="P11" s="7">
        <v>8.6</v>
      </c>
      <c r="Q11" s="7">
        <v>11.4</v>
      </c>
      <c r="R11" s="4">
        <v>3.2</v>
      </c>
      <c r="S11" s="7">
        <v>8.4499999999999993</v>
      </c>
      <c r="T11" s="7">
        <v>11.65</v>
      </c>
      <c r="U11" s="4">
        <v>2.4</v>
      </c>
      <c r="V11" s="7">
        <v>7.9</v>
      </c>
      <c r="W11" s="7">
        <v>10.3</v>
      </c>
      <c r="X11" s="4">
        <f t="shared" si="0"/>
        <v>18.299999999999997</v>
      </c>
      <c r="Y11" s="7">
        <f t="shared" si="1"/>
        <v>47.449999999999996</v>
      </c>
      <c r="Z11" s="7">
        <f t="shared" si="2"/>
        <v>65.75</v>
      </c>
      <c r="AA1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1" s="4">
        <v>4.3</v>
      </c>
      <c r="AC11" s="7">
        <v>8.15</v>
      </c>
      <c r="AD11" s="7">
        <v>12.45</v>
      </c>
      <c r="AE11" s="4">
        <v>3.6</v>
      </c>
      <c r="AF11" s="7">
        <v>8.35</v>
      </c>
      <c r="AG11" s="7">
        <v>11.95</v>
      </c>
      <c r="AH11" s="4">
        <v>2.9</v>
      </c>
      <c r="AI11" s="7">
        <v>8.1</v>
      </c>
      <c r="AJ11" s="7">
        <v>11</v>
      </c>
      <c r="AK11" s="4">
        <v>4</v>
      </c>
      <c r="AL11" s="7">
        <v>8.9499999999999993</v>
      </c>
      <c r="AM11" s="7">
        <v>12.95</v>
      </c>
      <c r="AN11" s="4">
        <v>3.4</v>
      </c>
      <c r="AO11" s="7">
        <v>8.35</v>
      </c>
      <c r="AP11" s="7">
        <v>11.75</v>
      </c>
      <c r="AQ11" s="4">
        <v>3</v>
      </c>
      <c r="AR11" s="7">
        <v>7.9</v>
      </c>
      <c r="AS11" s="7">
        <v>10.9</v>
      </c>
      <c r="AT11" s="4">
        <f t="shared" si="3"/>
        <v>21.2</v>
      </c>
      <c r="AU11" s="7">
        <f t="shared" si="4"/>
        <v>49.8</v>
      </c>
      <c r="AV11" s="7">
        <f t="shared" si="5"/>
        <v>71</v>
      </c>
      <c r="AW1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1" s="4">
        <v>0</v>
      </c>
      <c r="AY11" s="7">
        <v>0</v>
      </c>
      <c r="AZ11" s="7">
        <v>0</v>
      </c>
      <c r="BA11" s="4">
        <v>0</v>
      </c>
      <c r="BB11" s="7">
        <v>0</v>
      </c>
      <c r="BC11" s="7">
        <v>0</v>
      </c>
      <c r="BD11" s="4">
        <v>0</v>
      </c>
      <c r="BE11" s="7">
        <v>0</v>
      </c>
      <c r="BF11" s="7">
        <v>0</v>
      </c>
      <c r="BG11" s="4">
        <v>0</v>
      </c>
      <c r="BH11" s="7">
        <v>0</v>
      </c>
      <c r="BI11" s="7">
        <v>0</v>
      </c>
      <c r="BJ11" s="4">
        <v>0</v>
      </c>
      <c r="BK11" s="7">
        <v>0</v>
      </c>
      <c r="BL11" s="7">
        <v>0</v>
      </c>
      <c r="BM11" s="4">
        <v>0</v>
      </c>
      <c r="BN11" s="7">
        <v>0</v>
      </c>
      <c r="BO11" s="7">
        <v>0</v>
      </c>
      <c r="BP11" s="4">
        <f t="shared" si="6"/>
        <v>0</v>
      </c>
      <c r="BQ11" s="7">
        <f t="shared" si="7"/>
        <v>0</v>
      </c>
      <c r="BR11" s="7">
        <f t="shared" si="8"/>
        <v>0</v>
      </c>
      <c r="BS1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11" s="4">
        <v>4.4000000000000004</v>
      </c>
      <c r="BU11" s="7">
        <v>7.5</v>
      </c>
      <c r="BV11" s="7">
        <v>11.9</v>
      </c>
      <c r="BW11" s="4">
        <v>3.6</v>
      </c>
      <c r="BX11" s="7">
        <v>6.3</v>
      </c>
      <c r="BY11" s="7">
        <v>9.9</v>
      </c>
      <c r="BZ11" s="4">
        <v>2.2999999999999998</v>
      </c>
      <c r="CA11" s="7">
        <v>8.6</v>
      </c>
      <c r="CB11" s="7">
        <v>10.9</v>
      </c>
      <c r="CC11" s="4">
        <v>4</v>
      </c>
      <c r="CD11" s="7">
        <v>8.6</v>
      </c>
      <c r="CE11" s="7">
        <v>12.6</v>
      </c>
      <c r="CF11" s="4">
        <v>3.4</v>
      </c>
      <c r="CG11" s="7">
        <v>8.1999999999999993</v>
      </c>
      <c r="CH11" s="7">
        <v>11.6</v>
      </c>
      <c r="CI11" s="4">
        <v>2.7</v>
      </c>
      <c r="CJ11" s="7">
        <v>6.7</v>
      </c>
      <c r="CK11" s="7">
        <v>9.4</v>
      </c>
      <c r="CL11" s="4">
        <f t="shared" si="9"/>
        <v>20.399999999999999</v>
      </c>
      <c r="CM11" s="7">
        <f t="shared" si="10"/>
        <v>45.900000000000006</v>
      </c>
      <c r="CN11" s="7">
        <f t="shared" si="11"/>
        <v>66.300000000000011</v>
      </c>
      <c r="CO1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59.899999999999991</v>
      </c>
      <c r="CQ1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143.15</v>
      </c>
      <c r="CR1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203.05</v>
      </c>
      <c r="CS1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19.966666666666665</v>
      </c>
      <c r="CT1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47.716666666666669</v>
      </c>
      <c r="CU1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67.683333333333337</v>
      </c>
      <c r="CW11" s="42"/>
      <c r="CX11" s="20" t="s">
        <v>275</v>
      </c>
      <c r="CY11" s="21" cm="1">
        <f t="array" ref="CY11">SUM(_xlfn._xlws.FILTER(AA[Year_AA_Dscore],(AA[Category]="junior")*(AA[All around competition]&gt;=3))/COUNTIFS(AA[All around competition],"&gt;=3",AA[Category],"junior"))</f>
        <v>53.95</v>
      </c>
      <c r="CZ11" s="21" cm="1">
        <f t="array" ref="CZ11">_xlfn.STDEV.S(_xlfn._xlws.FILTER(AA[Year_AA_Dscore],(AA[Category]="junior")*(AA[All around competition]&gt;=3)))</f>
        <v>7.6456596256379772</v>
      </c>
      <c r="DA11" s="22" cm="1">
        <f t="array" ref="DA11">MAX(_xlfn._xlws.FILTER(AA[Year_AA_Dscore],AA[Category]="junior"))</f>
        <v>62.2</v>
      </c>
    </row>
    <row r="12" spans="1:105" x14ac:dyDescent="0.25">
      <c r="A12" t="s">
        <v>25</v>
      </c>
      <c r="B12" s="2" t="s">
        <v>26</v>
      </c>
      <c r="C12" s="2" t="s">
        <v>27</v>
      </c>
      <c r="D12" t="s">
        <v>28</v>
      </c>
      <c r="E12" s="2">
        <f>SUM(COUNTIF(AA[[#This Row],[Bydgoszcz_all_around]],"Yes"),COUNTIF(AA[[#This Row],[Zabrze_all_around]],"Yes"),COUNTIF(AA[[#This Row],[Cracow_all_around]],"Yes"),COUNTIF(AA[[#This Row],[Gdansk_all_Around]],"Yes"))</f>
        <v>4</v>
      </c>
      <c r="F12" s="4">
        <v>4</v>
      </c>
      <c r="G12" s="7">
        <v>8.9499999999999993</v>
      </c>
      <c r="H12" s="7">
        <v>12.95</v>
      </c>
      <c r="I12" s="4">
        <v>3.8</v>
      </c>
      <c r="J12" s="7">
        <v>8.9499999999999993</v>
      </c>
      <c r="K12" s="7">
        <v>12.75</v>
      </c>
      <c r="L12" s="4">
        <v>2.8</v>
      </c>
      <c r="M12" s="7">
        <v>8.85</v>
      </c>
      <c r="N12" s="7">
        <v>11.65</v>
      </c>
      <c r="O12" s="4">
        <v>2.2000000000000002</v>
      </c>
      <c r="P12" s="7">
        <v>9.4</v>
      </c>
      <c r="Q12" s="7">
        <v>11.6</v>
      </c>
      <c r="R12" s="4">
        <v>4.0999999999999996</v>
      </c>
      <c r="S12" s="7">
        <v>8.5500000000000007</v>
      </c>
      <c r="T12" s="7">
        <v>12.65</v>
      </c>
      <c r="U12" s="4">
        <v>2.6</v>
      </c>
      <c r="V12" s="7">
        <v>9</v>
      </c>
      <c r="W12" s="7">
        <v>11.6</v>
      </c>
      <c r="X12" s="4">
        <f t="shared" si="0"/>
        <v>19.5</v>
      </c>
      <c r="Y12" s="7">
        <f t="shared" si="1"/>
        <v>53.7</v>
      </c>
      <c r="Z12" s="7">
        <f t="shared" si="2"/>
        <v>73.2</v>
      </c>
      <c r="AA1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2" s="4">
        <v>4</v>
      </c>
      <c r="AC12" s="7">
        <v>8.6999999999999993</v>
      </c>
      <c r="AD12" s="7">
        <v>12.7</v>
      </c>
      <c r="AE12" s="4">
        <v>3.8</v>
      </c>
      <c r="AF12" s="7">
        <v>8.9</v>
      </c>
      <c r="AG12" s="7">
        <v>12.7</v>
      </c>
      <c r="AH12" s="4">
        <v>2.6</v>
      </c>
      <c r="AI12" s="7">
        <v>8.1999999999999993</v>
      </c>
      <c r="AJ12" s="7">
        <v>10.8</v>
      </c>
      <c r="AK12" s="4">
        <v>2.2000000000000002</v>
      </c>
      <c r="AL12" s="7">
        <v>9.0500000000000007</v>
      </c>
      <c r="AM12" s="7">
        <v>11.25</v>
      </c>
      <c r="AN12" s="4">
        <v>4.2</v>
      </c>
      <c r="AO12" s="7">
        <v>9.1</v>
      </c>
      <c r="AP12" s="7">
        <v>13.3</v>
      </c>
      <c r="AQ12" s="4">
        <v>2.7</v>
      </c>
      <c r="AR12" s="7">
        <v>9.1</v>
      </c>
      <c r="AS12" s="7">
        <v>11.8</v>
      </c>
      <c r="AT12" s="4">
        <f t="shared" si="3"/>
        <v>19.5</v>
      </c>
      <c r="AU12" s="7">
        <f t="shared" si="4"/>
        <v>53.050000000000004</v>
      </c>
      <c r="AV12" s="7">
        <f t="shared" si="5"/>
        <v>72.55</v>
      </c>
      <c r="AW1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2" s="4">
        <v>4</v>
      </c>
      <c r="AY12" s="7">
        <v>8.4499999999999993</v>
      </c>
      <c r="AZ12" s="7">
        <v>12.45</v>
      </c>
      <c r="BA12" s="4">
        <v>3.8</v>
      </c>
      <c r="BB12" s="7">
        <v>8.5500000000000007</v>
      </c>
      <c r="BC12" s="7">
        <v>12.35</v>
      </c>
      <c r="BD12" s="4">
        <v>2.8</v>
      </c>
      <c r="BE12" s="7">
        <v>8.4</v>
      </c>
      <c r="BF12" s="7">
        <v>11.2</v>
      </c>
      <c r="BG12" s="4">
        <v>2.2000000000000002</v>
      </c>
      <c r="BH12" s="7">
        <v>9.0500000000000007</v>
      </c>
      <c r="BI12" s="7">
        <v>11.25</v>
      </c>
      <c r="BJ12" s="4">
        <v>4.2</v>
      </c>
      <c r="BK12" s="7">
        <v>8.6</v>
      </c>
      <c r="BL12" s="7">
        <v>12.8</v>
      </c>
      <c r="BM12" s="4">
        <v>2.7</v>
      </c>
      <c r="BN12" s="7">
        <v>9.4499999999999993</v>
      </c>
      <c r="BO12" s="7">
        <v>12.15</v>
      </c>
      <c r="BP12" s="4">
        <f t="shared" si="6"/>
        <v>19.7</v>
      </c>
      <c r="BQ12" s="7">
        <f t="shared" si="7"/>
        <v>52.5</v>
      </c>
      <c r="BR12" s="7">
        <f t="shared" si="8"/>
        <v>72.2</v>
      </c>
      <c r="BS1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2" s="4">
        <v>4</v>
      </c>
      <c r="BU12" s="7">
        <v>7.9</v>
      </c>
      <c r="BV12" s="7">
        <v>11.9</v>
      </c>
      <c r="BW12" s="4">
        <v>3.7</v>
      </c>
      <c r="BX12" s="7">
        <v>8.8000000000000007</v>
      </c>
      <c r="BY12" s="7">
        <v>12.5</v>
      </c>
      <c r="BZ12" s="4">
        <v>2.8</v>
      </c>
      <c r="CA12" s="7">
        <v>8.4</v>
      </c>
      <c r="CB12" s="7">
        <v>11.2</v>
      </c>
      <c r="CC12" s="4">
        <v>2.2000000000000002</v>
      </c>
      <c r="CD12" s="7">
        <v>8.3000000000000007</v>
      </c>
      <c r="CE12" s="7">
        <v>10.5</v>
      </c>
      <c r="CF12" s="4">
        <v>4.2</v>
      </c>
      <c r="CG12" s="7">
        <v>7.7</v>
      </c>
      <c r="CH12" s="7">
        <v>11.9</v>
      </c>
      <c r="CI12" s="4">
        <v>2.7</v>
      </c>
      <c r="CJ12" s="7">
        <v>9.3000000000000007</v>
      </c>
      <c r="CK12" s="7">
        <v>12</v>
      </c>
      <c r="CL12" s="4">
        <f t="shared" si="9"/>
        <v>19.599999999999998</v>
      </c>
      <c r="CM12" s="7">
        <f t="shared" si="10"/>
        <v>50.400000000000006</v>
      </c>
      <c r="CN12" s="7">
        <f t="shared" si="11"/>
        <v>70</v>
      </c>
      <c r="CO1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58.8</v>
      </c>
      <c r="CQ1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159.25</v>
      </c>
      <c r="CR1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217.95</v>
      </c>
      <c r="CS1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19.599999999999998</v>
      </c>
      <c r="CT1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53.083333333333336</v>
      </c>
      <c r="CU1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72.649999999999991</v>
      </c>
      <c r="CW12" s="42"/>
      <c r="CX12" s="20" t="s">
        <v>276</v>
      </c>
      <c r="CY12" s="22" cm="1">
        <f t="array" ref="CY12">SUM(_xlfn._xlws.FILTER(AA[Year_AA_Escore],(AA[Category]="junior")*(AA[All around competition]&gt;=3))/COUNTIFS(AA[All around competition],"&gt;=3",AA[Category],"junior"))</f>
        <v>143.19499999999999</v>
      </c>
      <c r="CZ12" s="22" cm="1">
        <f t="array" ref="CZ12">_xlfn.STDEV.S(_xlfn._xlws.FILTER(AA[Year_AA_Escore],(AA[Category]="junior")*(AA[All around competition]&gt;=3)))</f>
        <v>7.8714127632140372</v>
      </c>
      <c r="DA12" s="22" cm="1">
        <f t="array" ref="DA12">MAX(_xlfn._xlws.FILTER(AA[Year_AA_Escore],AA[Category]="junior"))</f>
        <v>159.25</v>
      </c>
    </row>
    <row r="13" spans="1:105" x14ac:dyDescent="0.25">
      <c r="A13" t="s">
        <v>37</v>
      </c>
      <c r="B13" s="2" t="s">
        <v>26</v>
      </c>
      <c r="C13" s="2" t="s">
        <v>38</v>
      </c>
      <c r="D13" t="s">
        <v>39</v>
      </c>
      <c r="E13" s="2">
        <f>SUM(COUNTIF(AA[[#This Row],[Bydgoszcz_all_around]],"Yes"),COUNTIF(AA[[#This Row],[Zabrze_all_around]],"Yes"),COUNTIF(AA[[#This Row],[Cracow_all_around]],"Yes"),COUNTIF(AA[[#This Row],[Gdansk_all_Around]],"Yes"))</f>
        <v>4</v>
      </c>
      <c r="F13" s="4">
        <v>3.3</v>
      </c>
      <c r="G13" s="7">
        <v>8.3000000000000007</v>
      </c>
      <c r="H13" s="7">
        <v>11.6</v>
      </c>
      <c r="I13" s="4">
        <v>4.4000000000000004</v>
      </c>
      <c r="J13" s="7">
        <v>7.85</v>
      </c>
      <c r="K13" s="7">
        <v>12.25</v>
      </c>
      <c r="L13" s="4">
        <v>2.2999999999999998</v>
      </c>
      <c r="M13" s="7">
        <v>7.3</v>
      </c>
      <c r="N13" s="7">
        <v>9.6</v>
      </c>
      <c r="O13" s="4">
        <v>2.4</v>
      </c>
      <c r="P13" s="7">
        <v>8.85</v>
      </c>
      <c r="Q13" s="7">
        <v>11.25</v>
      </c>
      <c r="R13" s="4">
        <v>3.1</v>
      </c>
      <c r="S13" s="7">
        <v>8.5</v>
      </c>
      <c r="T13" s="7">
        <v>11.6</v>
      </c>
      <c r="U13" s="4">
        <v>3</v>
      </c>
      <c r="V13" s="7">
        <v>7.8</v>
      </c>
      <c r="W13" s="7">
        <v>10.8</v>
      </c>
      <c r="X13" s="4">
        <f t="shared" si="0"/>
        <v>18.5</v>
      </c>
      <c r="Y13" s="7">
        <f t="shared" si="1"/>
        <v>48.599999999999994</v>
      </c>
      <c r="Z13" s="7">
        <f t="shared" si="2"/>
        <v>67.100000000000009</v>
      </c>
      <c r="AA1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3" s="4">
        <v>3.3</v>
      </c>
      <c r="AC13" s="7">
        <v>8.3000000000000007</v>
      </c>
      <c r="AD13" s="7">
        <v>11.6</v>
      </c>
      <c r="AE13" s="4">
        <v>4.3</v>
      </c>
      <c r="AF13" s="7">
        <v>7.9</v>
      </c>
      <c r="AG13" s="7">
        <v>12.2</v>
      </c>
      <c r="AH13" s="4">
        <v>3</v>
      </c>
      <c r="AI13" s="7">
        <v>8</v>
      </c>
      <c r="AJ13" s="7">
        <v>11</v>
      </c>
      <c r="AK13" s="4">
        <v>3.2</v>
      </c>
      <c r="AL13" s="7">
        <v>8.6</v>
      </c>
      <c r="AM13" s="7">
        <v>11.8</v>
      </c>
      <c r="AN13" s="4">
        <v>3.1</v>
      </c>
      <c r="AO13" s="7">
        <v>8</v>
      </c>
      <c r="AP13" s="7">
        <v>11.1</v>
      </c>
      <c r="AQ13" s="4">
        <v>3</v>
      </c>
      <c r="AR13" s="7">
        <v>7.2</v>
      </c>
      <c r="AS13" s="7">
        <v>10.199999999999999</v>
      </c>
      <c r="AT13" s="4">
        <f t="shared" si="3"/>
        <v>19.900000000000002</v>
      </c>
      <c r="AU13" s="7">
        <f t="shared" si="4"/>
        <v>48.000000000000007</v>
      </c>
      <c r="AV13" s="7">
        <f t="shared" si="5"/>
        <v>67.899999999999991</v>
      </c>
      <c r="AW1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3" s="4">
        <v>3.3</v>
      </c>
      <c r="AY13" s="7">
        <v>7.25</v>
      </c>
      <c r="AZ13" s="7">
        <v>10.55</v>
      </c>
      <c r="BA13" s="4">
        <v>3.6</v>
      </c>
      <c r="BB13" s="7">
        <v>7.45</v>
      </c>
      <c r="BC13" s="7">
        <v>11.05</v>
      </c>
      <c r="BD13" s="4">
        <v>2.2999999999999998</v>
      </c>
      <c r="BE13" s="7">
        <v>6.85</v>
      </c>
      <c r="BF13" s="7">
        <v>9.15</v>
      </c>
      <c r="BG13" s="4">
        <v>2.4</v>
      </c>
      <c r="BH13" s="7">
        <v>8.3000000000000007</v>
      </c>
      <c r="BI13" s="7">
        <v>10.7</v>
      </c>
      <c r="BJ13" s="4">
        <v>3.1</v>
      </c>
      <c r="BK13" s="7">
        <v>8.4</v>
      </c>
      <c r="BL13" s="7">
        <v>11.5</v>
      </c>
      <c r="BM13" s="4">
        <v>3.1</v>
      </c>
      <c r="BN13" s="7">
        <v>7.65</v>
      </c>
      <c r="BO13" s="7">
        <v>10.75</v>
      </c>
      <c r="BP13" s="4">
        <f t="shared" si="6"/>
        <v>17.8</v>
      </c>
      <c r="BQ13" s="7">
        <f t="shared" si="7"/>
        <v>45.9</v>
      </c>
      <c r="BR13" s="7">
        <f t="shared" si="8"/>
        <v>63.7</v>
      </c>
      <c r="BS1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3" s="4">
        <v>3.3</v>
      </c>
      <c r="BU13" s="7">
        <v>5.9</v>
      </c>
      <c r="BV13" s="7">
        <v>9.1999999999999993</v>
      </c>
      <c r="BW13" s="4">
        <v>3.9</v>
      </c>
      <c r="BX13" s="7">
        <v>8.1999999999999993</v>
      </c>
      <c r="BY13" s="7">
        <v>12.1</v>
      </c>
      <c r="BZ13" s="4">
        <v>2.2999999999999998</v>
      </c>
      <c r="CA13" s="7">
        <v>7.8</v>
      </c>
      <c r="CB13" s="7">
        <v>10.1</v>
      </c>
      <c r="CC13" s="4">
        <v>2.4</v>
      </c>
      <c r="CD13" s="7">
        <v>8.1999999999999993</v>
      </c>
      <c r="CE13" s="7">
        <v>10.6</v>
      </c>
      <c r="CF13" s="4">
        <v>3.2</v>
      </c>
      <c r="CG13" s="7">
        <v>8.6</v>
      </c>
      <c r="CH13" s="7">
        <v>11.8</v>
      </c>
      <c r="CI13" s="4">
        <v>2.8</v>
      </c>
      <c r="CJ13" s="7">
        <v>6.5</v>
      </c>
      <c r="CK13" s="7">
        <v>9.3000000000000007</v>
      </c>
      <c r="CL13" s="4">
        <f t="shared" si="9"/>
        <v>17.900000000000002</v>
      </c>
      <c r="CM13" s="7">
        <f t="shared" si="10"/>
        <v>45.199999999999996</v>
      </c>
      <c r="CN13" s="7">
        <f t="shared" si="11"/>
        <v>63.099999999999994</v>
      </c>
      <c r="CO1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56.300000000000011</v>
      </c>
      <c r="CQ1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142.5</v>
      </c>
      <c r="CR1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198.7</v>
      </c>
      <c r="CS1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18.766666666666669</v>
      </c>
      <c r="CT1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47.5</v>
      </c>
      <c r="CU1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66.233333333333334</v>
      </c>
      <c r="CW13" s="43"/>
      <c r="CX13" s="20" t="s">
        <v>277</v>
      </c>
      <c r="CY13" s="22" cm="1">
        <f t="array" ref="CY13">SUM(_xlfn._xlws.FILTER(AA[Year_AA_Total_Score],(AA[Category]="junior")*(AA[All around competition]&gt;=3))/COUNTIFS(AA[All around competition],"&gt;=3",AA[Category],"junior"))</f>
        <v>196.88499999999999</v>
      </c>
      <c r="CZ13" s="22" cm="1">
        <f t="array" ref="CZ13">_xlfn.STDEV.S(_xlfn._xlws.FILTER(AA[Year_AA_Total_Score],(AA[Category]="junior")*(AA[All around competition]&gt;=3)))</f>
        <v>13.926195340676024</v>
      </c>
      <c r="DA13" s="22" cm="1">
        <f t="array" ref="DA13">MAX(_xlfn._xlws.FILTER(AA[Year_AA_Total_Score],AA[Category]="junior"))</f>
        <v>217.95</v>
      </c>
    </row>
    <row r="14" spans="1:105" x14ac:dyDescent="0.25">
      <c r="A14" t="s">
        <v>40</v>
      </c>
      <c r="B14" s="2" t="s">
        <v>26</v>
      </c>
      <c r="C14" s="2" t="s">
        <v>41</v>
      </c>
      <c r="D14" t="s">
        <v>39</v>
      </c>
      <c r="E14" s="2">
        <f>SUM(COUNTIF(AA[[#This Row],[Bydgoszcz_all_around]],"Yes"),COUNTIF(AA[[#This Row],[Zabrze_all_around]],"Yes"),COUNTIF(AA[[#This Row],[Cracow_all_around]],"Yes"),COUNTIF(AA[[#This Row],[Gdansk_all_Around]],"Yes"))</f>
        <v>3</v>
      </c>
      <c r="F14" s="4">
        <v>0</v>
      </c>
      <c r="G14" s="7">
        <v>0</v>
      </c>
      <c r="H14" s="7">
        <v>0</v>
      </c>
      <c r="I14" s="4">
        <v>0</v>
      </c>
      <c r="J14" s="7">
        <v>0</v>
      </c>
      <c r="K14" s="7">
        <v>0</v>
      </c>
      <c r="L14" s="4">
        <v>0</v>
      </c>
      <c r="M14" s="7">
        <v>0</v>
      </c>
      <c r="N14" s="7">
        <v>0</v>
      </c>
      <c r="O14" s="4">
        <v>0</v>
      </c>
      <c r="P14" s="7">
        <v>0</v>
      </c>
      <c r="Q14" s="7">
        <v>0</v>
      </c>
      <c r="R14" s="4">
        <v>0</v>
      </c>
      <c r="S14" s="7">
        <v>0</v>
      </c>
      <c r="T14" s="7">
        <v>0</v>
      </c>
      <c r="U14" s="4">
        <v>0</v>
      </c>
      <c r="V14" s="7">
        <v>0</v>
      </c>
      <c r="W14" s="7">
        <v>0</v>
      </c>
      <c r="X14" s="4">
        <f t="shared" si="0"/>
        <v>0</v>
      </c>
      <c r="Y14" s="7">
        <f t="shared" si="1"/>
        <v>0</v>
      </c>
      <c r="Z14" s="7">
        <f t="shared" si="2"/>
        <v>0</v>
      </c>
      <c r="AA1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4" s="4">
        <v>3.4</v>
      </c>
      <c r="AC14" s="7">
        <v>8.1999999999999993</v>
      </c>
      <c r="AD14" s="7">
        <v>11.6</v>
      </c>
      <c r="AE14" s="4">
        <v>2.9</v>
      </c>
      <c r="AF14" s="7">
        <v>7.2</v>
      </c>
      <c r="AG14" s="7">
        <v>10.1</v>
      </c>
      <c r="AH14" s="4">
        <v>3.4</v>
      </c>
      <c r="AI14" s="7">
        <v>8.1999999999999993</v>
      </c>
      <c r="AJ14" s="7">
        <v>11.6</v>
      </c>
      <c r="AK14" s="4">
        <v>4</v>
      </c>
      <c r="AL14" s="7">
        <v>7.95</v>
      </c>
      <c r="AM14" s="7">
        <v>11.95</v>
      </c>
      <c r="AN14" s="4">
        <v>3</v>
      </c>
      <c r="AO14" s="7">
        <v>8.1999999999999993</v>
      </c>
      <c r="AP14" s="7">
        <v>11.2</v>
      </c>
      <c r="AQ14" s="4">
        <v>2.7</v>
      </c>
      <c r="AR14" s="7">
        <v>8</v>
      </c>
      <c r="AS14" s="7">
        <v>10.7</v>
      </c>
      <c r="AT14" s="4">
        <f t="shared" si="3"/>
        <v>19.399999999999999</v>
      </c>
      <c r="AU14" s="7">
        <f t="shared" si="4"/>
        <v>47.75</v>
      </c>
      <c r="AV14" s="7">
        <f t="shared" si="5"/>
        <v>67.150000000000006</v>
      </c>
      <c r="AW1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4" s="4">
        <v>3.4</v>
      </c>
      <c r="AY14" s="7">
        <v>7.95</v>
      </c>
      <c r="AZ14" s="7">
        <v>11.35</v>
      </c>
      <c r="BA14" s="4">
        <v>2.9</v>
      </c>
      <c r="BB14" s="7">
        <v>8.15</v>
      </c>
      <c r="BC14" s="7">
        <v>11.05</v>
      </c>
      <c r="BD14" s="4">
        <v>3.4</v>
      </c>
      <c r="BE14" s="7">
        <v>7.9</v>
      </c>
      <c r="BF14" s="7">
        <v>11.3</v>
      </c>
      <c r="BG14" s="4">
        <v>4</v>
      </c>
      <c r="BH14" s="7">
        <v>8.8000000000000007</v>
      </c>
      <c r="BI14" s="7">
        <v>12.8</v>
      </c>
      <c r="BJ14" s="4">
        <v>3</v>
      </c>
      <c r="BK14" s="7">
        <v>8.1</v>
      </c>
      <c r="BL14" s="7">
        <v>11.1</v>
      </c>
      <c r="BM14" s="4">
        <v>2.6</v>
      </c>
      <c r="BN14" s="7">
        <v>7.65</v>
      </c>
      <c r="BO14" s="7">
        <v>10.25</v>
      </c>
      <c r="BP14" s="4">
        <f t="shared" si="6"/>
        <v>19.3</v>
      </c>
      <c r="BQ14" s="7">
        <f t="shared" si="7"/>
        <v>48.55</v>
      </c>
      <c r="BR14" s="7">
        <f t="shared" si="8"/>
        <v>67.849999999999994</v>
      </c>
      <c r="BS1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4" s="4">
        <v>3.1</v>
      </c>
      <c r="BU14" s="7">
        <v>7.3</v>
      </c>
      <c r="BV14" s="7">
        <v>10.4</v>
      </c>
      <c r="BW14" s="4">
        <v>2.9</v>
      </c>
      <c r="BX14" s="7">
        <v>8.1</v>
      </c>
      <c r="BY14" s="7">
        <v>11</v>
      </c>
      <c r="BZ14" s="4">
        <v>3.4</v>
      </c>
      <c r="CA14" s="7">
        <v>6</v>
      </c>
      <c r="CB14" s="7">
        <v>9.4</v>
      </c>
      <c r="CC14" s="4">
        <v>2.8</v>
      </c>
      <c r="CD14" s="7">
        <v>8.6</v>
      </c>
      <c r="CE14" s="7">
        <v>11.4</v>
      </c>
      <c r="CF14" s="4">
        <v>3</v>
      </c>
      <c r="CG14" s="7">
        <v>9</v>
      </c>
      <c r="CH14" s="7">
        <v>12</v>
      </c>
      <c r="CI14" s="4">
        <v>2.4</v>
      </c>
      <c r="CJ14" s="7">
        <v>7.2</v>
      </c>
      <c r="CK14" s="7">
        <v>9.6</v>
      </c>
      <c r="CL14" s="4">
        <f t="shared" si="9"/>
        <v>17.599999999999998</v>
      </c>
      <c r="CM14" s="7">
        <f t="shared" si="10"/>
        <v>46.2</v>
      </c>
      <c r="CN14" s="7">
        <f t="shared" si="11"/>
        <v>63.8</v>
      </c>
      <c r="CO1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56.3</v>
      </c>
      <c r="CQ1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142.5</v>
      </c>
      <c r="CR1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198.8</v>
      </c>
      <c r="CS1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18.766666666666666</v>
      </c>
      <c r="CT1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47.5</v>
      </c>
      <c r="CU1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66.266666666666666</v>
      </c>
    </row>
    <row r="15" spans="1:105" x14ac:dyDescent="0.25">
      <c r="A15" t="s">
        <v>44</v>
      </c>
      <c r="B15" s="2" t="s">
        <v>26</v>
      </c>
      <c r="C15" s="2" t="s">
        <v>45</v>
      </c>
      <c r="D15" t="s">
        <v>39</v>
      </c>
      <c r="E15" s="2">
        <f>SUM(COUNTIF(AA[[#This Row],[Bydgoszcz_all_around]],"Yes"),COUNTIF(AA[[#This Row],[Zabrze_all_around]],"Yes"),COUNTIF(AA[[#This Row],[Cracow_all_around]],"Yes"),COUNTIF(AA[[#This Row],[Gdansk_all_Around]],"Yes"))</f>
        <v>4</v>
      </c>
      <c r="F15" s="4">
        <v>3.4</v>
      </c>
      <c r="G15" s="7">
        <v>8.4</v>
      </c>
      <c r="H15" s="7">
        <v>11.8</v>
      </c>
      <c r="I15" s="4">
        <v>3</v>
      </c>
      <c r="J15" s="7">
        <v>8.6</v>
      </c>
      <c r="K15" s="7">
        <v>11.6</v>
      </c>
      <c r="L15" s="4">
        <v>2.2999999999999998</v>
      </c>
      <c r="M15" s="7">
        <v>7.3</v>
      </c>
      <c r="N15" s="7">
        <v>9.6</v>
      </c>
      <c r="O15" s="4">
        <v>2.8</v>
      </c>
      <c r="P15" s="7">
        <v>8.5</v>
      </c>
      <c r="Q15" s="7">
        <v>11.3</v>
      </c>
      <c r="R15" s="4">
        <v>3.1</v>
      </c>
      <c r="S15" s="7">
        <v>8.6999999999999993</v>
      </c>
      <c r="T15" s="7">
        <v>11.8</v>
      </c>
      <c r="U15" s="4">
        <v>2.4</v>
      </c>
      <c r="V15" s="7">
        <v>7.8</v>
      </c>
      <c r="W15" s="7">
        <v>10.199999999999999</v>
      </c>
      <c r="X15" s="4">
        <f t="shared" si="0"/>
        <v>17</v>
      </c>
      <c r="Y15" s="7">
        <f t="shared" si="1"/>
        <v>49.3</v>
      </c>
      <c r="Z15" s="7">
        <f t="shared" si="2"/>
        <v>66.3</v>
      </c>
      <c r="AA1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5" s="4">
        <v>3.1</v>
      </c>
      <c r="AC15" s="7">
        <v>8.35</v>
      </c>
      <c r="AD15" s="7">
        <v>11.45</v>
      </c>
      <c r="AE15" s="4">
        <v>3</v>
      </c>
      <c r="AF15" s="7">
        <v>7.2</v>
      </c>
      <c r="AG15" s="7">
        <v>10.199999999999999</v>
      </c>
      <c r="AH15" s="4">
        <v>2.1</v>
      </c>
      <c r="AI15" s="7">
        <v>8.0500000000000007</v>
      </c>
      <c r="AJ15" s="7">
        <v>10.15</v>
      </c>
      <c r="AK15" s="4">
        <v>2.4</v>
      </c>
      <c r="AL15" s="7">
        <v>8.9</v>
      </c>
      <c r="AM15" s="7">
        <v>11.3</v>
      </c>
      <c r="AN15" s="4">
        <v>3</v>
      </c>
      <c r="AO15" s="7">
        <v>9</v>
      </c>
      <c r="AP15" s="7">
        <v>12</v>
      </c>
      <c r="AQ15" s="4">
        <v>2.4</v>
      </c>
      <c r="AR15" s="7">
        <v>7.9</v>
      </c>
      <c r="AS15" s="7">
        <v>10.3</v>
      </c>
      <c r="AT15" s="4">
        <f t="shared" si="3"/>
        <v>16</v>
      </c>
      <c r="AU15" s="7">
        <f t="shared" si="4"/>
        <v>49.4</v>
      </c>
      <c r="AV15" s="7">
        <f t="shared" si="5"/>
        <v>65.399999999999991</v>
      </c>
      <c r="AW1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5" s="4">
        <v>3.4</v>
      </c>
      <c r="AY15" s="7">
        <v>8.0500000000000007</v>
      </c>
      <c r="AZ15" s="7">
        <v>11.45</v>
      </c>
      <c r="BA15" s="4">
        <v>3</v>
      </c>
      <c r="BB15" s="7">
        <v>5.75</v>
      </c>
      <c r="BC15" s="7">
        <v>8.75</v>
      </c>
      <c r="BD15" s="4">
        <v>2.2999999999999998</v>
      </c>
      <c r="BE15" s="7">
        <v>7.9</v>
      </c>
      <c r="BF15" s="7">
        <v>10.199999999999999</v>
      </c>
      <c r="BG15" s="4">
        <v>2.8</v>
      </c>
      <c r="BH15" s="7">
        <v>8.75</v>
      </c>
      <c r="BI15" s="7">
        <v>11.55</v>
      </c>
      <c r="BJ15" s="4">
        <v>3</v>
      </c>
      <c r="BK15" s="7">
        <v>8.9</v>
      </c>
      <c r="BL15" s="7">
        <v>11.9</v>
      </c>
      <c r="BM15" s="4">
        <v>2.7</v>
      </c>
      <c r="BN15" s="7">
        <v>8.15</v>
      </c>
      <c r="BO15" s="7">
        <v>10.85</v>
      </c>
      <c r="BP15" s="4">
        <f t="shared" si="6"/>
        <v>17.2</v>
      </c>
      <c r="BQ15" s="7">
        <f t="shared" si="7"/>
        <v>47.5</v>
      </c>
      <c r="BR15" s="7">
        <f t="shared" si="8"/>
        <v>64.7</v>
      </c>
      <c r="BS1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5" s="4">
        <v>3.3</v>
      </c>
      <c r="BU15" s="7">
        <v>7.2</v>
      </c>
      <c r="BV15" s="7">
        <v>10.5</v>
      </c>
      <c r="BW15" s="4">
        <v>2.8</v>
      </c>
      <c r="BX15" s="7">
        <v>8.5</v>
      </c>
      <c r="BY15" s="7">
        <v>11.3</v>
      </c>
      <c r="BZ15" s="4">
        <v>2.2999999999999998</v>
      </c>
      <c r="CA15" s="7">
        <v>8</v>
      </c>
      <c r="CB15" s="7">
        <v>10.3</v>
      </c>
      <c r="CC15" s="4">
        <v>2.4</v>
      </c>
      <c r="CD15" s="7">
        <v>8.4</v>
      </c>
      <c r="CE15" s="7">
        <v>10.8</v>
      </c>
      <c r="CF15" s="4">
        <v>2.6</v>
      </c>
      <c r="CG15" s="7">
        <v>8.9</v>
      </c>
      <c r="CH15" s="7">
        <v>11.5</v>
      </c>
      <c r="CI15" s="4">
        <v>2.2999999999999998</v>
      </c>
      <c r="CJ15" s="7">
        <v>7.5</v>
      </c>
      <c r="CK15" s="7">
        <v>9.8000000000000007</v>
      </c>
      <c r="CL15" s="4">
        <f t="shared" si="9"/>
        <v>15.7</v>
      </c>
      <c r="CM15" s="7">
        <f t="shared" si="10"/>
        <v>48.5</v>
      </c>
      <c r="CN15" s="7">
        <f t="shared" si="11"/>
        <v>64.2</v>
      </c>
      <c r="CO1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50.2</v>
      </c>
      <c r="CQ1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147.19999999999999</v>
      </c>
      <c r="CR1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196.39999999999998</v>
      </c>
      <c r="CS1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16.733333333333334</v>
      </c>
      <c r="CT1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49.066666666666663</v>
      </c>
      <c r="CU1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65.466666666666654</v>
      </c>
      <c r="CW15" s="28" t="s">
        <v>296</v>
      </c>
    </row>
    <row r="16" spans="1:105" x14ac:dyDescent="0.25">
      <c r="A16" t="s">
        <v>42</v>
      </c>
      <c r="B16" s="2" t="s">
        <v>26</v>
      </c>
      <c r="C16" s="2" t="s">
        <v>43</v>
      </c>
      <c r="D16" t="s">
        <v>36</v>
      </c>
      <c r="E16" s="2">
        <f>SUM(COUNTIF(AA[[#This Row],[Bydgoszcz_all_around]],"Yes"),COUNTIF(AA[[#This Row],[Zabrze_all_around]],"Yes"),COUNTIF(AA[[#This Row],[Cracow_all_around]],"Yes"),COUNTIF(AA[[#This Row],[Gdansk_all_Around]],"Yes"))</f>
        <v>3</v>
      </c>
      <c r="F16" s="4">
        <v>4</v>
      </c>
      <c r="G16" s="7">
        <v>8.1999999999999993</v>
      </c>
      <c r="H16" s="7">
        <v>12.2</v>
      </c>
      <c r="I16" s="4">
        <v>2.6</v>
      </c>
      <c r="J16" s="7">
        <v>7.7</v>
      </c>
      <c r="K16" s="7">
        <v>10.3</v>
      </c>
      <c r="L16" s="4">
        <v>2.4</v>
      </c>
      <c r="M16" s="7">
        <v>7.8</v>
      </c>
      <c r="N16" s="7">
        <v>10.199999999999999</v>
      </c>
      <c r="O16" s="4">
        <v>4</v>
      </c>
      <c r="P16" s="7">
        <v>7.9</v>
      </c>
      <c r="Q16" s="7">
        <v>11.9</v>
      </c>
      <c r="R16" s="4">
        <v>0</v>
      </c>
      <c r="S16" s="7">
        <v>0</v>
      </c>
      <c r="T16" s="7">
        <v>0</v>
      </c>
      <c r="U16" s="4">
        <v>0</v>
      </c>
      <c r="V16" s="7">
        <v>0</v>
      </c>
      <c r="W16" s="7">
        <v>0</v>
      </c>
      <c r="X16" s="4">
        <f t="shared" si="0"/>
        <v>13</v>
      </c>
      <c r="Y16" s="7">
        <f t="shared" si="1"/>
        <v>31.6</v>
      </c>
      <c r="Z16" s="7">
        <f t="shared" si="2"/>
        <v>44.6</v>
      </c>
      <c r="AA1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6" s="4">
        <v>3.4</v>
      </c>
      <c r="AC16" s="7">
        <v>8.4</v>
      </c>
      <c r="AD16" s="7">
        <v>11.8</v>
      </c>
      <c r="AE16" s="4">
        <v>2.6</v>
      </c>
      <c r="AF16" s="7">
        <v>8.5500000000000007</v>
      </c>
      <c r="AG16" s="7">
        <v>11.15</v>
      </c>
      <c r="AH16" s="4">
        <v>2.4</v>
      </c>
      <c r="AI16" s="7">
        <v>7.9</v>
      </c>
      <c r="AJ16" s="7">
        <v>10.3</v>
      </c>
      <c r="AK16" s="4">
        <v>2.8</v>
      </c>
      <c r="AL16" s="7">
        <v>9.0500000000000007</v>
      </c>
      <c r="AM16" s="7">
        <v>11.85</v>
      </c>
      <c r="AN16" s="4">
        <v>3.1</v>
      </c>
      <c r="AO16" s="7">
        <v>8.5500000000000007</v>
      </c>
      <c r="AP16" s="7">
        <v>11.65</v>
      </c>
      <c r="AQ16" s="4">
        <v>1.8</v>
      </c>
      <c r="AR16" s="7">
        <v>8.4</v>
      </c>
      <c r="AS16" s="7">
        <v>10.199999999999999</v>
      </c>
      <c r="AT16" s="4">
        <f t="shared" si="3"/>
        <v>16.099999999999998</v>
      </c>
      <c r="AU16" s="7">
        <f t="shared" si="4"/>
        <v>50.85</v>
      </c>
      <c r="AV16" s="7">
        <f t="shared" si="5"/>
        <v>66.95</v>
      </c>
      <c r="AW1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6" s="4">
        <v>3.8</v>
      </c>
      <c r="AY16" s="7">
        <v>7.1</v>
      </c>
      <c r="AZ16" s="7">
        <v>10.9</v>
      </c>
      <c r="BA16" s="4">
        <v>2.6</v>
      </c>
      <c r="BB16" s="7">
        <v>7.65</v>
      </c>
      <c r="BC16" s="7">
        <v>10.25</v>
      </c>
      <c r="BD16" s="4">
        <v>2.4</v>
      </c>
      <c r="BE16" s="7">
        <v>8.0500000000000007</v>
      </c>
      <c r="BF16" s="7">
        <v>10.45</v>
      </c>
      <c r="BG16" s="4">
        <v>2.8</v>
      </c>
      <c r="BH16" s="7">
        <v>9.1999999999999993</v>
      </c>
      <c r="BI16" s="7">
        <v>12</v>
      </c>
      <c r="BJ16" s="4">
        <v>3.1</v>
      </c>
      <c r="BK16" s="7">
        <v>7.1</v>
      </c>
      <c r="BL16" s="7">
        <v>10.199999999999999</v>
      </c>
      <c r="BM16" s="4">
        <v>1.8</v>
      </c>
      <c r="BN16" s="7">
        <v>8.4</v>
      </c>
      <c r="BO16" s="7">
        <v>10.199999999999999</v>
      </c>
      <c r="BP16" s="4">
        <f t="shared" si="6"/>
        <v>16.5</v>
      </c>
      <c r="BQ16" s="7">
        <f t="shared" si="7"/>
        <v>47.5</v>
      </c>
      <c r="BR16" s="7">
        <f t="shared" si="8"/>
        <v>64</v>
      </c>
      <c r="BS1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6" s="4">
        <v>3.4</v>
      </c>
      <c r="BU16" s="7">
        <v>7.5</v>
      </c>
      <c r="BV16" s="7">
        <v>10.9</v>
      </c>
      <c r="BW16" s="4">
        <v>2.6</v>
      </c>
      <c r="BX16" s="7">
        <v>7.2</v>
      </c>
      <c r="BY16" s="7">
        <v>9.8000000000000007</v>
      </c>
      <c r="BZ16" s="4">
        <v>2</v>
      </c>
      <c r="CA16" s="7">
        <v>7.9</v>
      </c>
      <c r="CB16" s="7">
        <v>9.9</v>
      </c>
      <c r="CC16" s="4">
        <v>2.8</v>
      </c>
      <c r="CD16" s="7">
        <v>8.4</v>
      </c>
      <c r="CE16" s="7">
        <v>11.2</v>
      </c>
      <c r="CF16" s="4">
        <v>2.4</v>
      </c>
      <c r="CG16" s="7">
        <v>8.8000000000000007</v>
      </c>
      <c r="CH16" s="7">
        <v>11.2</v>
      </c>
      <c r="CI16" s="4">
        <v>1.8</v>
      </c>
      <c r="CJ16" s="7">
        <v>7.9</v>
      </c>
      <c r="CK16" s="7">
        <v>9.6999999999999993</v>
      </c>
      <c r="CL16" s="4">
        <f t="shared" si="9"/>
        <v>15.000000000000002</v>
      </c>
      <c r="CM16" s="7">
        <f t="shared" si="10"/>
        <v>47.699999999999996</v>
      </c>
      <c r="CN16" s="7">
        <f t="shared" si="11"/>
        <v>62.7</v>
      </c>
      <c r="CO1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47.599999999999994</v>
      </c>
      <c r="CQ1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146.05000000000001</v>
      </c>
      <c r="CR1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193.64999999999998</v>
      </c>
      <c r="CS1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15.866666666666665</v>
      </c>
      <c r="CT1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48.683333333333337</v>
      </c>
      <c r="CU1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64.55</v>
      </c>
      <c r="CW16" s="29" t="s">
        <v>297</v>
      </c>
    </row>
    <row r="17" spans="1:101" x14ac:dyDescent="0.25">
      <c r="A17" t="s">
        <v>48</v>
      </c>
      <c r="B17" s="2" t="s">
        <v>26</v>
      </c>
      <c r="C17" s="2" t="s">
        <v>49</v>
      </c>
      <c r="D17" t="s">
        <v>36</v>
      </c>
      <c r="E17" s="2">
        <f>SUM(COUNTIF(AA[[#This Row],[Bydgoszcz_all_around]],"Yes"),COUNTIF(AA[[#This Row],[Zabrze_all_around]],"Yes"),COUNTIF(AA[[#This Row],[Cracow_all_around]],"Yes"),COUNTIF(AA[[#This Row],[Gdansk_all_Around]],"Yes"))</f>
        <v>4</v>
      </c>
      <c r="F17" s="4">
        <v>3.7</v>
      </c>
      <c r="G17" s="7">
        <v>7.4</v>
      </c>
      <c r="H17" s="7">
        <v>11.1</v>
      </c>
      <c r="I17" s="4">
        <v>2.8</v>
      </c>
      <c r="J17" s="7">
        <v>4</v>
      </c>
      <c r="K17" s="7">
        <v>6.8</v>
      </c>
      <c r="L17" s="4">
        <v>2.4</v>
      </c>
      <c r="M17" s="7">
        <v>7.55</v>
      </c>
      <c r="N17" s="7">
        <v>9.9499999999999993</v>
      </c>
      <c r="O17" s="4">
        <v>2.4</v>
      </c>
      <c r="P17" s="7">
        <v>7.8</v>
      </c>
      <c r="Q17" s="7">
        <v>10.199999999999999</v>
      </c>
      <c r="R17" s="4">
        <v>3.1</v>
      </c>
      <c r="S17" s="7">
        <v>8.0500000000000007</v>
      </c>
      <c r="T17" s="7">
        <v>11.15</v>
      </c>
      <c r="U17" s="4">
        <v>1.9</v>
      </c>
      <c r="V17" s="7">
        <v>8</v>
      </c>
      <c r="W17" s="7">
        <v>9.9</v>
      </c>
      <c r="X17" s="4">
        <f t="shared" si="0"/>
        <v>16.3</v>
      </c>
      <c r="Y17" s="7">
        <f t="shared" si="1"/>
        <v>42.8</v>
      </c>
      <c r="Z17" s="7">
        <f t="shared" si="2"/>
        <v>59.099999999999994</v>
      </c>
      <c r="AA1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17" s="4">
        <v>3.2</v>
      </c>
      <c r="AC17" s="7">
        <v>8.15</v>
      </c>
      <c r="AD17" s="7">
        <v>11.35</v>
      </c>
      <c r="AE17" s="4">
        <v>2.7</v>
      </c>
      <c r="AF17" s="7">
        <v>1.95</v>
      </c>
      <c r="AG17" s="7">
        <v>4.6500000000000004</v>
      </c>
      <c r="AH17" s="4">
        <v>2.5</v>
      </c>
      <c r="AI17" s="7">
        <v>6.5</v>
      </c>
      <c r="AJ17" s="7">
        <v>9</v>
      </c>
      <c r="AK17" s="4">
        <v>1.6</v>
      </c>
      <c r="AL17" s="7">
        <v>9.5</v>
      </c>
      <c r="AM17" s="7">
        <v>11.1</v>
      </c>
      <c r="AN17" s="4">
        <v>3.1</v>
      </c>
      <c r="AO17" s="7">
        <v>7.8</v>
      </c>
      <c r="AP17" s="7">
        <v>10.9</v>
      </c>
      <c r="AQ17" s="4">
        <v>1.9</v>
      </c>
      <c r="AR17" s="7">
        <v>8.1999999999999993</v>
      </c>
      <c r="AS17" s="7">
        <v>10.1</v>
      </c>
      <c r="AT17" s="4">
        <f t="shared" si="3"/>
        <v>15</v>
      </c>
      <c r="AU17" s="7">
        <f t="shared" si="4"/>
        <v>42.099999999999994</v>
      </c>
      <c r="AV17" s="7">
        <f t="shared" si="5"/>
        <v>57.1</v>
      </c>
      <c r="AW1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7" s="4">
        <v>3.5</v>
      </c>
      <c r="AY17" s="7">
        <v>7.65</v>
      </c>
      <c r="AZ17" s="7">
        <v>11.15</v>
      </c>
      <c r="BA17" s="4">
        <v>2.2000000000000002</v>
      </c>
      <c r="BB17" s="7">
        <v>4.95</v>
      </c>
      <c r="BC17" s="7">
        <v>7.15</v>
      </c>
      <c r="BD17" s="4">
        <v>2.5</v>
      </c>
      <c r="BE17" s="7">
        <v>6.65</v>
      </c>
      <c r="BF17" s="7">
        <v>9.15</v>
      </c>
      <c r="BG17" s="4">
        <v>2.4</v>
      </c>
      <c r="BH17" s="7">
        <v>8.85</v>
      </c>
      <c r="BI17" s="7">
        <v>11.25</v>
      </c>
      <c r="BJ17" s="4">
        <v>3.1</v>
      </c>
      <c r="BK17" s="7">
        <v>7.45</v>
      </c>
      <c r="BL17" s="7">
        <v>10.55</v>
      </c>
      <c r="BM17" s="4">
        <v>1.9</v>
      </c>
      <c r="BN17" s="7">
        <v>8.6</v>
      </c>
      <c r="BO17" s="7">
        <v>10.5</v>
      </c>
      <c r="BP17" s="4">
        <f t="shared" si="6"/>
        <v>15.6</v>
      </c>
      <c r="BQ17" s="7">
        <f t="shared" si="7"/>
        <v>44.150000000000006</v>
      </c>
      <c r="BR17" s="7">
        <f t="shared" si="8"/>
        <v>59.75</v>
      </c>
      <c r="BS1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7" s="4">
        <v>3.2</v>
      </c>
      <c r="BU17" s="7">
        <v>7.9</v>
      </c>
      <c r="BV17" s="7">
        <v>11.1</v>
      </c>
      <c r="BW17" s="4">
        <v>2.6</v>
      </c>
      <c r="BX17" s="7">
        <v>7</v>
      </c>
      <c r="BY17" s="7">
        <v>9.6</v>
      </c>
      <c r="BZ17" s="4">
        <v>2.2000000000000002</v>
      </c>
      <c r="CA17" s="7">
        <v>7.6</v>
      </c>
      <c r="CB17" s="7">
        <v>9.8000000000000007</v>
      </c>
      <c r="CC17" s="4">
        <v>1.6</v>
      </c>
      <c r="CD17" s="7">
        <v>8.5</v>
      </c>
      <c r="CE17" s="7">
        <v>10.1</v>
      </c>
      <c r="CF17" s="4">
        <v>2.4</v>
      </c>
      <c r="CG17" s="7">
        <v>9</v>
      </c>
      <c r="CH17" s="7">
        <v>11.4</v>
      </c>
      <c r="CI17" s="4">
        <v>1.9</v>
      </c>
      <c r="CJ17" s="7">
        <v>8.1999999999999993</v>
      </c>
      <c r="CK17" s="7">
        <v>10.1</v>
      </c>
      <c r="CL17" s="4">
        <f t="shared" si="9"/>
        <v>13.9</v>
      </c>
      <c r="CM17" s="7">
        <f t="shared" si="10"/>
        <v>48.2</v>
      </c>
      <c r="CN17" s="7">
        <f t="shared" si="11"/>
        <v>62.1</v>
      </c>
      <c r="CO1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46.9</v>
      </c>
      <c r="CQ1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135.15</v>
      </c>
      <c r="CR1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180.95</v>
      </c>
      <c r="CS1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15.633333333333333</v>
      </c>
      <c r="CT1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45.050000000000004</v>
      </c>
      <c r="CU1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60.316666666666663</v>
      </c>
      <c r="CW17" s="30" t="s">
        <v>298</v>
      </c>
    </row>
    <row r="18" spans="1:101" x14ac:dyDescent="0.25">
      <c r="A18" t="s">
        <v>46</v>
      </c>
      <c r="B18" s="2" t="s">
        <v>26</v>
      </c>
      <c r="C18" s="2" t="s">
        <v>47</v>
      </c>
      <c r="D18" t="s">
        <v>36</v>
      </c>
      <c r="E18" s="2">
        <f>SUM(COUNTIF(AA[[#This Row],[Bydgoszcz_all_around]],"Yes"),COUNTIF(AA[[#This Row],[Zabrze_all_around]],"Yes"),COUNTIF(AA[[#This Row],[Cracow_all_around]],"Yes"),COUNTIF(AA[[#This Row],[Gdansk_all_Around]],"Yes"))</f>
        <v>3</v>
      </c>
      <c r="F18" s="4">
        <v>0</v>
      </c>
      <c r="G18" s="7">
        <v>0</v>
      </c>
      <c r="H18" s="7">
        <v>0</v>
      </c>
      <c r="I18" s="4">
        <v>0</v>
      </c>
      <c r="J18" s="7">
        <v>0</v>
      </c>
      <c r="K18" s="7">
        <v>0</v>
      </c>
      <c r="L18" s="4">
        <v>0</v>
      </c>
      <c r="M18" s="7">
        <v>0</v>
      </c>
      <c r="N18" s="7">
        <v>0</v>
      </c>
      <c r="O18" s="4">
        <v>0</v>
      </c>
      <c r="P18" s="7">
        <v>0</v>
      </c>
      <c r="Q18" s="7">
        <v>0</v>
      </c>
      <c r="R18" s="4">
        <v>0</v>
      </c>
      <c r="S18" s="7">
        <v>0</v>
      </c>
      <c r="T18" s="7">
        <v>0</v>
      </c>
      <c r="U18" s="4">
        <v>0</v>
      </c>
      <c r="V18" s="7">
        <v>0</v>
      </c>
      <c r="W18" s="7">
        <v>0</v>
      </c>
      <c r="X18" s="4">
        <f t="shared" si="0"/>
        <v>0</v>
      </c>
      <c r="Y18" s="7">
        <f t="shared" si="1"/>
        <v>0</v>
      </c>
      <c r="Z18" s="7">
        <f t="shared" si="2"/>
        <v>0</v>
      </c>
      <c r="AA1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8" s="4">
        <v>2.9</v>
      </c>
      <c r="AC18" s="7">
        <v>8.1999999999999993</v>
      </c>
      <c r="AD18" s="7">
        <v>11.1</v>
      </c>
      <c r="AE18" s="4">
        <v>2.2000000000000002</v>
      </c>
      <c r="AF18" s="7">
        <v>5.75</v>
      </c>
      <c r="AG18" s="7">
        <v>7.95</v>
      </c>
      <c r="AH18" s="4">
        <v>1.7</v>
      </c>
      <c r="AI18" s="7">
        <v>6.8</v>
      </c>
      <c r="AJ18" s="7">
        <v>8.5</v>
      </c>
      <c r="AK18" s="4">
        <v>1.6</v>
      </c>
      <c r="AL18" s="7">
        <v>9</v>
      </c>
      <c r="AM18" s="7">
        <v>10.6</v>
      </c>
      <c r="AN18" s="4">
        <v>2.4</v>
      </c>
      <c r="AO18" s="7">
        <v>8.6</v>
      </c>
      <c r="AP18" s="7">
        <v>11</v>
      </c>
      <c r="AQ18" s="4">
        <v>1.8</v>
      </c>
      <c r="AR18" s="7">
        <v>7.7</v>
      </c>
      <c r="AS18" s="7">
        <v>9.5</v>
      </c>
      <c r="AT18" s="4">
        <f t="shared" si="3"/>
        <v>12.600000000000001</v>
      </c>
      <c r="AU18" s="7">
        <f t="shared" si="4"/>
        <v>46.050000000000004</v>
      </c>
      <c r="AV18" s="7">
        <f t="shared" si="5"/>
        <v>58.65</v>
      </c>
      <c r="AW1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8" s="4">
        <v>3.1</v>
      </c>
      <c r="AY18" s="7">
        <v>7.7</v>
      </c>
      <c r="AZ18" s="7">
        <v>10.8</v>
      </c>
      <c r="BA18" s="4">
        <v>2.2000000000000002</v>
      </c>
      <c r="BB18" s="7">
        <v>2.75</v>
      </c>
      <c r="BC18" s="7">
        <v>4.95</v>
      </c>
      <c r="BD18" s="4">
        <v>2.1</v>
      </c>
      <c r="BE18" s="7">
        <v>6.65</v>
      </c>
      <c r="BF18" s="7">
        <v>8.75</v>
      </c>
      <c r="BG18" s="4">
        <v>1.6</v>
      </c>
      <c r="BH18" s="7">
        <v>9</v>
      </c>
      <c r="BI18" s="7">
        <v>10.6</v>
      </c>
      <c r="BJ18" s="4">
        <v>3.1</v>
      </c>
      <c r="BK18" s="7">
        <v>8.6</v>
      </c>
      <c r="BL18" s="7">
        <v>11.7</v>
      </c>
      <c r="BM18" s="4">
        <v>1.9</v>
      </c>
      <c r="BN18" s="7">
        <v>7.75</v>
      </c>
      <c r="BO18" s="7">
        <v>9.65</v>
      </c>
      <c r="BP18" s="4">
        <f t="shared" si="6"/>
        <v>14</v>
      </c>
      <c r="BQ18" s="7">
        <f t="shared" si="7"/>
        <v>42.45</v>
      </c>
      <c r="BR18" s="7">
        <f t="shared" si="8"/>
        <v>56.449999999999996</v>
      </c>
      <c r="BS1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18" s="4">
        <v>2.9</v>
      </c>
      <c r="BU18" s="7">
        <v>7.8</v>
      </c>
      <c r="BV18" s="7">
        <v>10.7</v>
      </c>
      <c r="BW18" s="4">
        <v>2.5</v>
      </c>
      <c r="BX18" s="7">
        <v>5.5</v>
      </c>
      <c r="BY18" s="7">
        <v>8</v>
      </c>
      <c r="BZ18" s="4">
        <v>1.7</v>
      </c>
      <c r="CA18" s="7">
        <v>7.7</v>
      </c>
      <c r="CB18" s="7">
        <v>9.4</v>
      </c>
      <c r="CC18" s="4">
        <v>1.6</v>
      </c>
      <c r="CD18" s="7">
        <v>8.8000000000000007</v>
      </c>
      <c r="CE18" s="7">
        <v>10.4</v>
      </c>
      <c r="CF18" s="4">
        <v>2.4</v>
      </c>
      <c r="CG18" s="7">
        <v>8</v>
      </c>
      <c r="CH18" s="7">
        <v>10.4</v>
      </c>
      <c r="CI18" s="4">
        <v>1.5</v>
      </c>
      <c r="CJ18" s="7">
        <v>2.5</v>
      </c>
      <c r="CK18" s="7">
        <v>4</v>
      </c>
      <c r="CL18" s="4">
        <f t="shared" si="9"/>
        <v>12.600000000000001</v>
      </c>
      <c r="CM18" s="7">
        <f t="shared" si="10"/>
        <v>40.299999999999997</v>
      </c>
      <c r="CN18" s="7">
        <f t="shared" si="11"/>
        <v>52.9</v>
      </c>
      <c r="CO1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39.200000000000003</v>
      </c>
      <c r="CQ1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128.80000000000001</v>
      </c>
      <c r="CR1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168</v>
      </c>
      <c r="CS1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13.066666666666668</v>
      </c>
      <c r="CT1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42.933333333333337</v>
      </c>
      <c r="CU1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56</v>
      </c>
      <c r="CW18" s="31" t="s">
        <v>300</v>
      </c>
    </row>
    <row r="19" spans="1:101" x14ac:dyDescent="0.25">
      <c r="A19" t="s">
        <v>82</v>
      </c>
      <c r="B19" s="2" t="s">
        <v>60</v>
      </c>
      <c r="C19" s="2" t="s">
        <v>83</v>
      </c>
      <c r="D19" t="s">
        <v>36</v>
      </c>
      <c r="E19" s="2">
        <f>SUM(COUNTIF(AA[[#This Row],[Bydgoszcz_all_around]],"Yes"),COUNTIF(AA[[#This Row],[Zabrze_all_around]],"Yes"),COUNTIF(AA[[#This Row],[Cracow_all_around]],"Yes"),COUNTIF(AA[[#This Row],[Gdansk_all_Around]],"Yes"))</f>
        <v>2</v>
      </c>
      <c r="F19" s="4">
        <v>0</v>
      </c>
      <c r="G19" s="7">
        <v>0</v>
      </c>
      <c r="H19" s="7">
        <v>0</v>
      </c>
      <c r="I19" s="4">
        <v>0</v>
      </c>
      <c r="J19" s="7">
        <v>0</v>
      </c>
      <c r="K19" s="7">
        <v>0</v>
      </c>
      <c r="L19" s="4">
        <v>0</v>
      </c>
      <c r="M19" s="7">
        <v>0</v>
      </c>
      <c r="N19" s="7">
        <v>0</v>
      </c>
      <c r="O19" s="4">
        <v>0</v>
      </c>
      <c r="P19" s="7">
        <v>0</v>
      </c>
      <c r="Q19" s="7">
        <v>0</v>
      </c>
      <c r="R19" s="4">
        <v>0</v>
      </c>
      <c r="S19" s="7">
        <v>0</v>
      </c>
      <c r="T19" s="7">
        <v>0</v>
      </c>
      <c r="U19" s="4">
        <v>0</v>
      </c>
      <c r="V19" s="7">
        <v>0</v>
      </c>
      <c r="W19" s="7">
        <v>0</v>
      </c>
      <c r="X19" s="4">
        <f t="shared" si="0"/>
        <v>0</v>
      </c>
      <c r="Y19" s="7">
        <f t="shared" si="1"/>
        <v>0</v>
      </c>
      <c r="Z19" s="7">
        <f t="shared" si="2"/>
        <v>0</v>
      </c>
      <c r="AA1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19" s="4">
        <v>4.4000000000000004</v>
      </c>
      <c r="AC19" s="7">
        <v>8.1</v>
      </c>
      <c r="AD19" s="7">
        <v>12.5</v>
      </c>
      <c r="AE19" s="4">
        <v>3.4</v>
      </c>
      <c r="AF19" s="7">
        <v>5.5</v>
      </c>
      <c r="AG19" s="7">
        <v>8.9</v>
      </c>
      <c r="AH19" s="4">
        <v>3.8</v>
      </c>
      <c r="AI19" s="7">
        <v>7.5</v>
      </c>
      <c r="AJ19" s="7">
        <v>11.3</v>
      </c>
      <c r="AK19" s="4">
        <v>4</v>
      </c>
      <c r="AL19" s="7">
        <v>9.3000000000000007</v>
      </c>
      <c r="AM19" s="7">
        <v>13.3</v>
      </c>
      <c r="AN19" s="4">
        <v>3</v>
      </c>
      <c r="AO19" s="7">
        <v>8.75</v>
      </c>
      <c r="AP19" s="7">
        <v>11.75</v>
      </c>
      <c r="AQ19" s="4">
        <v>3.3</v>
      </c>
      <c r="AR19" s="7">
        <v>7.8</v>
      </c>
      <c r="AS19" s="7">
        <v>11.1</v>
      </c>
      <c r="AT19" s="4">
        <f t="shared" si="3"/>
        <v>21.900000000000002</v>
      </c>
      <c r="AU19" s="7">
        <f t="shared" si="4"/>
        <v>46.95</v>
      </c>
      <c r="AV19" s="7">
        <f t="shared" si="5"/>
        <v>68.849999999999994</v>
      </c>
      <c r="AW1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19" s="4">
        <v>4.0999999999999996</v>
      </c>
      <c r="AY19" s="7">
        <v>6.7</v>
      </c>
      <c r="AZ19" s="7">
        <v>10.8</v>
      </c>
      <c r="BA19" s="4">
        <v>0</v>
      </c>
      <c r="BB19" s="7">
        <v>0</v>
      </c>
      <c r="BC19" s="7">
        <v>0</v>
      </c>
      <c r="BD19" s="4">
        <v>3.8</v>
      </c>
      <c r="BE19" s="7">
        <v>7.7</v>
      </c>
      <c r="BF19" s="7">
        <v>11.5</v>
      </c>
      <c r="BG19" s="4">
        <v>4</v>
      </c>
      <c r="BH19" s="7">
        <v>9.1</v>
      </c>
      <c r="BI19" s="7">
        <v>13.1</v>
      </c>
      <c r="BJ19" s="4">
        <v>2.5</v>
      </c>
      <c r="BK19" s="7">
        <v>7.15</v>
      </c>
      <c r="BL19" s="7">
        <v>9.65</v>
      </c>
      <c r="BM19" s="4">
        <v>4</v>
      </c>
      <c r="BN19" s="7">
        <v>8.25</v>
      </c>
      <c r="BO19" s="7">
        <v>12.25</v>
      </c>
      <c r="BP19" s="4">
        <f t="shared" si="6"/>
        <v>18.399999999999999</v>
      </c>
      <c r="BQ19" s="7">
        <f t="shared" si="7"/>
        <v>38.9</v>
      </c>
      <c r="BR19" s="7">
        <f t="shared" si="8"/>
        <v>57.3</v>
      </c>
      <c r="BS1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19" s="4">
        <v>3.9</v>
      </c>
      <c r="BU19" s="7">
        <v>7.9</v>
      </c>
      <c r="BV19" s="7">
        <v>11.8</v>
      </c>
      <c r="BW19" s="4">
        <v>3.4</v>
      </c>
      <c r="BX19" s="7">
        <v>6.4</v>
      </c>
      <c r="BY19" s="7">
        <v>9.8000000000000007</v>
      </c>
      <c r="BZ19" s="4">
        <v>3.8</v>
      </c>
      <c r="CA19" s="7">
        <v>7.9</v>
      </c>
      <c r="CB19" s="7">
        <v>11.7</v>
      </c>
      <c r="CC19" s="4">
        <v>4</v>
      </c>
      <c r="CD19" s="7">
        <v>9</v>
      </c>
      <c r="CE19" s="7">
        <v>13</v>
      </c>
      <c r="CF19" s="4">
        <v>3</v>
      </c>
      <c r="CG19" s="7">
        <v>8.8000000000000007</v>
      </c>
      <c r="CH19" s="7">
        <v>11.8</v>
      </c>
      <c r="CI19" s="4">
        <v>3.3</v>
      </c>
      <c r="CJ19" s="7">
        <v>8</v>
      </c>
      <c r="CK19" s="7">
        <v>11.3</v>
      </c>
      <c r="CL19" s="4">
        <f t="shared" si="9"/>
        <v>21.400000000000002</v>
      </c>
      <c r="CM19" s="7">
        <f t="shared" si="10"/>
        <v>48</v>
      </c>
      <c r="CN19" s="7">
        <f t="shared" si="11"/>
        <v>69.399999999999991</v>
      </c>
      <c r="CO1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1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1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1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1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1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1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19" s="32" t="s">
        <v>299</v>
      </c>
    </row>
    <row r="20" spans="1:101" x14ac:dyDescent="0.25">
      <c r="A20" t="s">
        <v>127</v>
      </c>
      <c r="B20" s="2" t="s">
        <v>60</v>
      </c>
      <c r="C20" s="2" t="s">
        <v>128</v>
      </c>
      <c r="D20" t="s">
        <v>72</v>
      </c>
      <c r="E20" s="2">
        <f>SUM(COUNTIF(AA[[#This Row],[Bydgoszcz_all_around]],"Yes"),COUNTIF(AA[[#This Row],[Zabrze_all_around]],"Yes"),COUNTIF(AA[[#This Row],[Cracow_all_around]],"Yes"),COUNTIF(AA[[#This Row],[Gdansk_all_Around]],"Yes"))</f>
        <v>2</v>
      </c>
      <c r="F20" s="4">
        <v>4.4000000000000004</v>
      </c>
      <c r="G20" s="7">
        <v>8.6999999999999993</v>
      </c>
      <c r="H20" s="7">
        <v>13.1</v>
      </c>
      <c r="I20" s="4">
        <v>4.2</v>
      </c>
      <c r="J20" s="7">
        <v>8</v>
      </c>
      <c r="K20" s="7">
        <v>12.2</v>
      </c>
      <c r="L20" s="4">
        <v>3.8</v>
      </c>
      <c r="M20" s="7">
        <v>8.1999999999999993</v>
      </c>
      <c r="N20" s="7">
        <v>12</v>
      </c>
      <c r="O20" s="4">
        <v>4</v>
      </c>
      <c r="P20" s="7">
        <v>9</v>
      </c>
      <c r="Q20" s="7">
        <v>13</v>
      </c>
      <c r="R20" s="4">
        <v>3.8</v>
      </c>
      <c r="S20" s="7">
        <v>7.55</v>
      </c>
      <c r="T20" s="7">
        <v>11.35</v>
      </c>
      <c r="U20" s="4">
        <v>4.0999999999999996</v>
      </c>
      <c r="V20" s="7">
        <v>8.4</v>
      </c>
      <c r="W20" s="7">
        <v>12.5</v>
      </c>
      <c r="X20" s="4">
        <f t="shared" si="0"/>
        <v>24.300000000000004</v>
      </c>
      <c r="Y20" s="7">
        <f t="shared" si="1"/>
        <v>49.849999999999994</v>
      </c>
      <c r="Z20" s="7">
        <f t="shared" si="2"/>
        <v>74.150000000000006</v>
      </c>
      <c r="AA2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0" s="4">
        <v>0</v>
      </c>
      <c r="AC20" s="7">
        <v>0</v>
      </c>
      <c r="AD20" s="7">
        <v>0</v>
      </c>
      <c r="AE20" s="4">
        <v>0</v>
      </c>
      <c r="AF20" s="7">
        <v>0</v>
      </c>
      <c r="AG20" s="7">
        <v>0</v>
      </c>
      <c r="AH20" s="4">
        <v>0</v>
      </c>
      <c r="AI20" s="7">
        <v>0</v>
      </c>
      <c r="AJ20" s="7">
        <v>0</v>
      </c>
      <c r="AK20" s="4">
        <v>0</v>
      </c>
      <c r="AL20" s="7">
        <v>0</v>
      </c>
      <c r="AM20" s="7">
        <v>0</v>
      </c>
      <c r="AN20" s="4">
        <v>0</v>
      </c>
      <c r="AO20" s="7">
        <v>0</v>
      </c>
      <c r="AP20" s="7">
        <v>0</v>
      </c>
      <c r="AQ20" s="4">
        <v>0</v>
      </c>
      <c r="AR20" s="7">
        <v>0</v>
      </c>
      <c r="AS20" s="7">
        <v>0</v>
      </c>
      <c r="AT20" s="4">
        <f t="shared" si="3"/>
        <v>0</v>
      </c>
      <c r="AU20" s="7">
        <f t="shared" si="4"/>
        <v>0</v>
      </c>
      <c r="AV20" s="7">
        <f t="shared" si="5"/>
        <v>0</v>
      </c>
      <c r="AW2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0" s="4">
        <v>3.7</v>
      </c>
      <c r="AY20" s="7">
        <v>7.1</v>
      </c>
      <c r="AZ20" s="7">
        <v>10.8</v>
      </c>
      <c r="BA20" s="4">
        <v>4.4000000000000004</v>
      </c>
      <c r="BB20" s="7">
        <v>7.2</v>
      </c>
      <c r="BC20" s="7">
        <v>11.6</v>
      </c>
      <c r="BD20" s="4">
        <v>3.8</v>
      </c>
      <c r="BE20" s="7">
        <v>8.35</v>
      </c>
      <c r="BF20" s="7">
        <v>12.15</v>
      </c>
      <c r="BG20" s="4">
        <v>4</v>
      </c>
      <c r="BH20" s="7">
        <v>9.15</v>
      </c>
      <c r="BI20" s="7">
        <v>13.15</v>
      </c>
      <c r="BJ20" s="4">
        <v>4</v>
      </c>
      <c r="BK20" s="7">
        <v>8.3000000000000007</v>
      </c>
      <c r="BL20" s="7">
        <v>12.3</v>
      </c>
      <c r="BM20" s="4">
        <v>4</v>
      </c>
      <c r="BN20" s="7">
        <v>8.0500000000000007</v>
      </c>
      <c r="BO20" s="7">
        <v>12.05</v>
      </c>
      <c r="BP20" s="4">
        <f t="shared" si="6"/>
        <v>23.900000000000002</v>
      </c>
      <c r="BQ20" s="7">
        <f t="shared" si="7"/>
        <v>48.149999999999991</v>
      </c>
      <c r="BR20" s="7">
        <f t="shared" si="8"/>
        <v>72.05</v>
      </c>
      <c r="BS2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0" s="4">
        <v>0</v>
      </c>
      <c r="BU20" s="7">
        <v>0</v>
      </c>
      <c r="BV20" s="7">
        <v>0</v>
      </c>
      <c r="BW20" s="4">
        <v>0</v>
      </c>
      <c r="BX20" s="7">
        <v>0</v>
      </c>
      <c r="BY20" s="7">
        <v>0</v>
      </c>
      <c r="BZ20" s="4">
        <v>0</v>
      </c>
      <c r="CA20" s="7">
        <v>0</v>
      </c>
      <c r="CB20" s="7">
        <v>0</v>
      </c>
      <c r="CC20" s="4">
        <v>0</v>
      </c>
      <c r="CD20" s="7">
        <v>0</v>
      </c>
      <c r="CE20" s="7">
        <v>0</v>
      </c>
      <c r="CF20" s="4">
        <v>0</v>
      </c>
      <c r="CG20" s="7">
        <v>0</v>
      </c>
      <c r="CH20" s="7">
        <v>0</v>
      </c>
      <c r="CI20" s="4">
        <v>0</v>
      </c>
      <c r="CJ20" s="7">
        <v>0</v>
      </c>
      <c r="CK20" s="7">
        <v>0</v>
      </c>
      <c r="CL20" s="4">
        <f t="shared" si="9"/>
        <v>0</v>
      </c>
      <c r="CM20" s="7">
        <f t="shared" si="10"/>
        <v>0</v>
      </c>
      <c r="CN20" s="7">
        <f t="shared" si="11"/>
        <v>0</v>
      </c>
      <c r="CO2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0" s="33" t="s">
        <v>252</v>
      </c>
    </row>
    <row r="21" spans="1:101" x14ac:dyDescent="0.25">
      <c r="A21" t="s">
        <v>116</v>
      </c>
      <c r="B21" s="2" t="s">
        <v>60</v>
      </c>
      <c r="C21" s="2" t="s">
        <v>117</v>
      </c>
      <c r="D21" t="s">
        <v>62</v>
      </c>
      <c r="E21" s="2">
        <f>SUM(COUNTIF(AA[[#This Row],[Bydgoszcz_all_around]],"Yes"),COUNTIF(AA[[#This Row],[Zabrze_all_around]],"Yes"),COUNTIF(AA[[#This Row],[Cracow_all_around]],"Yes"),COUNTIF(AA[[#This Row],[Gdansk_all_Around]],"Yes"))</f>
        <v>2</v>
      </c>
      <c r="F21" s="4">
        <v>0</v>
      </c>
      <c r="G21" s="7">
        <v>0</v>
      </c>
      <c r="H21" s="7">
        <v>0</v>
      </c>
      <c r="I21" s="4">
        <v>0</v>
      </c>
      <c r="J21" s="7">
        <v>0</v>
      </c>
      <c r="K21" s="7">
        <v>0</v>
      </c>
      <c r="L21" s="4">
        <v>0</v>
      </c>
      <c r="M21" s="7">
        <v>0</v>
      </c>
      <c r="N21" s="7">
        <v>0</v>
      </c>
      <c r="O21" s="4">
        <v>0</v>
      </c>
      <c r="P21" s="7">
        <v>0</v>
      </c>
      <c r="Q21" s="7">
        <v>0</v>
      </c>
      <c r="R21" s="4">
        <v>0</v>
      </c>
      <c r="S21" s="7">
        <v>0</v>
      </c>
      <c r="T21" s="7">
        <v>0</v>
      </c>
      <c r="U21" s="4">
        <v>0</v>
      </c>
      <c r="V21" s="7">
        <v>0</v>
      </c>
      <c r="W21" s="7">
        <v>0</v>
      </c>
      <c r="X21" s="4">
        <f t="shared" si="0"/>
        <v>0</v>
      </c>
      <c r="Y21" s="7">
        <f t="shared" si="1"/>
        <v>0</v>
      </c>
      <c r="Z21" s="7">
        <f t="shared" si="2"/>
        <v>0</v>
      </c>
      <c r="AA2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1" s="4">
        <v>0</v>
      </c>
      <c r="AC21" s="7">
        <v>0</v>
      </c>
      <c r="AD21" s="7">
        <v>0</v>
      </c>
      <c r="AE21" s="4">
        <v>0</v>
      </c>
      <c r="AF21" s="7">
        <v>0</v>
      </c>
      <c r="AG21" s="7">
        <v>0</v>
      </c>
      <c r="AH21" s="4">
        <v>0</v>
      </c>
      <c r="AI21" s="7">
        <v>0</v>
      </c>
      <c r="AJ21" s="7">
        <v>0</v>
      </c>
      <c r="AK21" s="4">
        <v>0</v>
      </c>
      <c r="AL21" s="7">
        <v>0</v>
      </c>
      <c r="AM21" s="7">
        <v>0</v>
      </c>
      <c r="AN21" s="4">
        <v>0</v>
      </c>
      <c r="AO21" s="7">
        <v>0</v>
      </c>
      <c r="AP21" s="7">
        <v>0</v>
      </c>
      <c r="AQ21" s="4">
        <v>0</v>
      </c>
      <c r="AR21" s="7">
        <v>0</v>
      </c>
      <c r="AS21" s="7">
        <v>0</v>
      </c>
      <c r="AT21" s="4">
        <f t="shared" si="3"/>
        <v>0</v>
      </c>
      <c r="AU21" s="7">
        <f t="shared" si="4"/>
        <v>0</v>
      </c>
      <c r="AV21" s="7">
        <f t="shared" si="5"/>
        <v>0</v>
      </c>
      <c r="AW2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1" s="4">
        <v>5.4</v>
      </c>
      <c r="AY21" s="7">
        <v>8.25</v>
      </c>
      <c r="AZ21" s="7">
        <v>13.65</v>
      </c>
      <c r="BA21" s="4">
        <v>4.2</v>
      </c>
      <c r="BB21" s="7">
        <v>6.5</v>
      </c>
      <c r="BC21" s="7">
        <v>10.7</v>
      </c>
      <c r="BD21" s="4">
        <v>5</v>
      </c>
      <c r="BE21" s="7">
        <v>8.1</v>
      </c>
      <c r="BF21" s="7">
        <v>13.1</v>
      </c>
      <c r="BG21" s="4">
        <v>5.2</v>
      </c>
      <c r="BH21" s="7">
        <v>8.1</v>
      </c>
      <c r="BI21" s="7">
        <v>13.3</v>
      </c>
      <c r="BJ21" s="4">
        <v>4.5</v>
      </c>
      <c r="BK21" s="7">
        <v>6.45</v>
      </c>
      <c r="BL21" s="7">
        <v>10.95</v>
      </c>
      <c r="BM21" s="4">
        <v>4.5999999999999996</v>
      </c>
      <c r="BN21" s="7">
        <v>6.65</v>
      </c>
      <c r="BO21" s="7">
        <v>11.25</v>
      </c>
      <c r="BP21" s="4">
        <f t="shared" si="6"/>
        <v>28.9</v>
      </c>
      <c r="BQ21" s="7">
        <f t="shared" si="7"/>
        <v>44.050000000000004</v>
      </c>
      <c r="BR21" s="7">
        <f t="shared" si="8"/>
        <v>72.95</v>
      </c>
      <c r="BS2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1" s="4">
        <v>5.8</v>
      </c>
      <c r="BU21" s="7">
        <v>5.4</v>
      </c>
      <c r="BV21" s="7">
        <v>11.2</v>
      </c>
      <c r="BW21" s="4">
        <v>4.0999999999999996</v>
      </c>
      <c r="BX21" s="7">
        <v>7.9</v>
      </c>
      <c r="BY21" s="7">
        <v>12</v>
      </c>
      <c r="BZ21" s="4">
        <v>5.3</v>
      </c>
      <c r="CA21" s="7">
        <v>6.6</v>
      </c>
      <c r="CB21" s="7">
        <v>11.9</v>
      </c>
      <c r="CC21" s="4">
        <v>5.2</v>
      </c>
      <c r="CD21" s="7">
        <v>8</v>
      </c>
      <c r="CE21" s="7">
        <v>13.2</v>
      </c>
      <c r="CF21" s="4">
        <v>4.9000000000000004</v>
      </c>
      <c r="CG21" s="7">
        <v>7.4</v>
      </c>
      <c r="CH21" s="7">
        <v>12.3</v>
      </c>
      <c r="CI21" s="4">
        <v>4.8</v>
      </c>
      <c r="CJ21" s="7">
        <v>6.3</v>
      </c>
      <c r="CK21" s="7">
        <v>11.1</v>
      </c>
      <c r="CL21" s="4">
        <f t="shared" si="9"/>
        <v>30.099999999999998</v>
      </c>
      <c r="CM21" s="7">
        <f t="shared" si="10"/>
        <v>41.599999999999994</v>
      </c>
      <c r="CN21" s="7">
        <f t="shared" si="11"/>
        <v>71.699999999999989</v>
      </c>
      <c r="CO2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1" s="34" t="s">
        <v>301</v>
      </c>
    </row>
    <row r="22" spans="1:101" x14ac:dyDescent="0.25">
      <c r="A22" t="s">
        <v>65</v>
      </c>
      <c r="B22" s="2" t="s">
        <v>60</v>
      </c>
      <c r="C22" s="2" t="s">
        <v>66</v>
      </c>
      <c r="D22" t="s">
        <v>67</v>
      </c>
      <c r="E22" s="2">
        <f>SUM(COUNTIF(AA[[#This Row],[Bydgoszcz_all_around]],"Yes"),COUNTIF(AA[[#This Row],[Zabrze_all_around]],"Yes"),COUNTIF(AA[[#This Row],[Cracow_all_around]],"Yes"),COUNTIF(AA[[#This Row],[Gdansk_all_Around]],"Yes"))</f>
        <v>2</v>
      </c>
      <c r="F22" s="4">
        <v>0</v>
      </c>
      <c r="G22" s="7">
        <v>0</v>
      </c>
      <c r="H22" s="7">
        <v>0</v>
      </c>
      <c r="I22" s="4">
        <v>0</v>
      </c>
      <c r="J22" s="7">
        <v>0</v>
      </c>
      <c r="K22" s="7">
        <v>0</v>
      </c>
      <c r="L22" s="4">
        <v>0</v>
      </c>
      <c r="M22" s="7">
        <v>0</v>
      </c>
      <c r="N22" s="7">
        <v>0</v>
      </c>
      <c r="O22" s="4">
        <v>0</v>
      </c>
      <c r="P22" s="7">
        <v>0</v>
      </c>
      <c r="Q22" s="7">
        <v>0</v>
      </c>
      <c r="R22" s="4">
        <v>0</v>
      </c>
      <c r="S22" s="7">
        <v>0</v>
      </c>
      <c r="T22" s="7">
        <v>0</v>
      </c>
      <c r="U22" s="4">
        <v>0</v>
      </c>
      <c r="V22" s="7">
        <v>0</v>
      </c>
      <c r="W22" s="7">
        <v>0</v>
      </c>
      <c r="X22" s="4">
        <f t="shared" si="0"/>
        <v>0</v>
      </c>
      <c r="Y22" s="7">
        <f t="shared" si="1"/>
        <v>0</v>
      </c>
      <c r="Z22" s="7">
        <f t="shared" si="2"/>
        <v>0</v>
      </c>
      <c r="AA2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2" s="4">
        <v>3.8</v>
      </c>
      <c r="AC22" s="7">
        <v>8.4</v>
      </c>
      <c r="AD22" s="7">
        <v>12.2</v>
      </c>
      <c r="AE22" s="4">
        <v>3</v>
      </c>
      <c r="AF22" s="7">
        <v>8.4</v>
      </c>
      <c r="AG22" s="7">
        <v>11.4</v>
      </c>
      <c r="AH22" s="4">
        <v>3.9</v>
      </c>
      <c r="AI22" s="7">
        <v>8.4</v>
      </c>
      <c r="AJ22" s="7">
        <v>12.3</v>
      </c>
      <c r="AK22" s="4">
        <v>4</v>
      </c>
      <c r="AL22" s="7">
        <v>9.1</v>
      </c>
      <c r="AM22" s="7">
        <v>13.1</v>
      </c>
      <c r="AN22" s="4">
        <v>3</v>
      </c>
      <c r="AO22" s="7">
        <v>9.35</v>
      </c>
      <c r="AP22" s="7">
        <v>12.35</v>
      </c>
      <c r="AQ22" s="4">
        <v>3.6</v>
      </c>
      <c r="AR22" s="7">
        <v>7.1</v>
      </c>
      <c r="AS22" s="7">
        <v>10.7</v>
      </c>
      <c r="AT22" s="4">
        <f t="shared" si="3"/>
        <v>21.3</v>
      </c>
      <c r="AU22" s="7">
        <f t="shared" si="4"/>
        <v>50.750000000000007</v>
      </c>
      <c r="AV22" s="7">
        <f t="shared" si="5"/>
        <v>72.050000000000011</v>
      </c>
      <c r="AW2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2" s="4">
        <v>0</v>
      </c>
      <c r="AY22" s="7">
        <v>0</v>
      </c>
      <c r="AZ22" s="7">
        <v>0</v>
      </c>
      <c r="BA22" s="4">
        <v>0</v>
      </c>
      <c r="BB22" s="7">
        <v>0</v>
      </c>
      <c r="BC22" s="7">
        <v>0</v>
      </c>
      <c r="BD22" s="4">
        <v>0</v>
      </c>
      <c r="BE22" s="7">
        <v>0</v>
      </c>
      <c r="BF22" s="7">
        <v>0</v>
      </c>
      <c r="BG22" s="4">
        <v>0</v>
      </c>
      <c r="BH22" s="7">
        <v>0</v>
      </c>
      <c r="BI22" s="7">
        <v>0</v>
      </c>
      <c r="BJ22" s="4">
        <v>0</v>
      </c>
      <c r="BK22" s="7">
        <v>0</v>
      </c>
      <c r="BL22" s="7">
        <v>0</v>
      </c>
      <c r="BM22" s="4">
        <v>0</v>
      </c>
      <c r="BN22" s="7">
        <v>0</v>
      </c>
      <c r="BO22" s="7">
        <v>0</v>
      </c>
      <c r="BP22" s="4">
        <f t="shared" si="6"/>
        <v>0</v>
      </c>
      <c r="BQ22" s="7">
        <f t="shared" si="7"/>
        <v>0</v>
      </c>
      <c r="BR22" s="7">
        <f t="shared" si="8"/>
        <v>0</v>
      </c>
      <c r="BS2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2" s="4">
        <v>3.9</v>
      </c>
      <c r="BU22" s="7">
        <v>7.3</v>
      </c>
      <c r="BV22" s="7">
        <v>11.2</v>
      </c>
      <c r="BW22" s="4">
        <v>3.2</v>
      </c>
      <c r="BX22" s="7">
        <v>7.8</v>
      </c>
      <c r="BY22" s="7">
        <v>11</v>
      </c>
      <c r="BZ22" s="4">
        <v>3.9</v>
      </c>
      <c r="CA22" s="7">
        <v>8.1999999999999993</v>
      </c>
      <c r="CB22" s="7">
        <v>12.1</v>
      </c>
      <c r="CC22" s="4">
        <v>4</v>
      </c>
      <c r="CD22" s="7">
        <v>8.6999999999999993</v>
      </c>
      <c r="CE22" s="7">
        <v>12.7</v>
      </c>
      <c r="CF22" s="4">
        <v>3.4</v>
      </c>
      <c r="CG22" s="7">
        <v>9</v>
      </c>
      <c r="CH22" s="7">
        <v>12.4</v>
      </c>
      <c r="CI22" s="4">
        <v>3.6</v>
      </c>
      <c r="CJ22" s="7">
        <v>8.3000000000000007</v>
      </c>
      <c r="CK22" s="7">
        <v>11.9</v>
      </c>
      <c r="CL22" s="4">
        <f t="shared" si="9"/>
        <v>22</v>
      </c>
      <c r="CM22" s="7">
        <f t="shared" si="10"/>
        <v>49.3</v>
      </c>
      <c r="CN22" s="7">
        <f t="shared" si="11"/>
        <v>71.3</v>
      </c>
      <c r="CO2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2" s="37" t="s">
        <v>304</v>
      </c>
    </row>
    <row r="23" spans="1:101" x14ac:dyDescent="0.25">
      <c r="A23" t="s">
        <v>75</v>
      </c>
      <c r="B23" s="2" t="s">
        <v>60</v>
      </c>
      <c r="C23" s="2" t="s">
        <v>76</v>
      </c>
      <c r="D23" t="s">
        <v>28</v>
      </c>
      <c r="E23" s="2">
        <f>SUM(COUNTIF(AA[[#This Row],[Bydgoszcz_all_around]],"Yes"),COUNTIF(AA[[#This Row],[Zabrze_all_around]],"Yes"),COUNTIF(AA[[#This Row],[Cracow_all_around]],"Yes"),COUNTIF(AA[[#This Row],[Gdansk_all_Around]],"Yes"))</f>
        <v>2</v>
      </c>
      <c r="F23" s="4">
        <v>0</v>
      </c>
      <c r="G23" s="7">
        <v>0</v>
      </c>
      <c r="H23" s="7">
        <v>0</v>
      </c>
      <c r="I23" s="4">
        <v>0</v>
      </c>
      <c r="J23" s="7">
        <v>0</v>
      </c>
      <c r="K23" s="7">
        <v>0</v>
      </c>
      <c r="L23" s="4">
        <v>0</v>
      </c>
      <c r="M23" s="7">
        <v>0</v>
      </c>
      <c r="N23" s="7">
        <v>0</v>
      </c>
      <c r="O23" s="4">
        <v>0</v>
      </c>
      <c r="P23" s="7">
        <v>0</v>
      </c>
      <c r="Q23" s="7">
        <v>0</v>
      </c>
      <c r="R23" s="4">
        <v>0</v>
      </c>
      <c r="S23" s="7">
        <v>0</v>
      </c>
      <c r="T23" s="7">
        <v>0</v>
      </c>
      <c r="U23" s="4">
        <v>0</v>
      </c>
      <c r="V23" s="7">
        <v>0</v>
      </c>
      <c r="W23" s="7">
        <v>0</v>
      </c>
      <c r="X23" s="4">
        <f t="shared" si="0"/>
        <v>0</v>
      </c>
      <c r="Y23" s="7">
        <f t="shared" si="1"/>
        <v>0</v>
      </c>
      <c r="Z23" s="7">
        <f t="shared" si="2"/>
        <v>0</v>
      </c>
      <c r="AA2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3" s="4">
        <v>3.8</v>
      </c>
      <c r="AC23" s="7">
        <v>7.3</v>
      </c>
      <c r="AD23" s="7">
        <v>11.1</v>
      </c>
      <c r="AE23" s="4">
        <v>4.2</v>
      </c>
      <c r="AF23" s="7">
        <v>8.25</v>
      </c>
      <c r="AG23" s="7">
        <v>12.45</v>
      </c>
      <c r="AH23" s="4">
        <v>3.8</v>
      </c>
      <c r="AI23" s="7">
        <v>7.8</v>
      </c>
      <c r="AJ23" s="7">
        <v>11.6</v>
      </c>
      <c r="AK23" s="4">
        <v>3.2</v>
      </c>
      <c r="AL23" s="7">
        <v>9.4499999999999993</v>
      </c>
      <c r="AM23" s="7">
        <v>12.65</v>
      </c>
      <c r="AN23" s="4">
        <v>3.5</v>
      </c>
      <c r="AO23" s="7">
        <v>8.0500000000000007</v>
      </c>
      <c r="AP23" s="7">
        <v>11.55</v>
      </c>
      <c r="AQ23" s="4">
        <v>2.2000000000000002</v>
      </c>
      <c r="AR23" s="7">
        <v>8.1</v>
      </c>
      <c r="AS23" s="7">
        <v>10.3</v>
      </c>
      <c r="AT23" s="4">
        <f t="shared" si="3"/>
        <v>20.7</v>
      </c>
      <c r="AU23" s="7">
        <f t="shared" si="4"/>
        <v>48.949999999999996</v>
      </c>
      <c r="AV23" s="7">
        <f t="shared" si="5"/>
        <v>69.649999999999991</v>
      </c>
      <c r="AW2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3" s="4">
        <v>3.9</v>
      </c>
      <c r="AY23" s="7">
        <v>7.9</v>
      </c>
      <c r="AZ23" s="7">
        <v>11.8</v>
      </c>
      <c r="BA23" s="4">
        <v>4.2</v>
      </c>
      <c r="BB23" s="7">
        <v>8.5</v>
      </c>
      <c r="BC23" s="7">
        <v>12.7</v>
      </c>
      <c r="BD23" s="4">
        <v>3.4</v>
      </c>
      <c r="BE23" s="7">
        <v>7.7</v>
      </c>
      <c r="BF23" s="7">
        <v>11.1</v>
      </c>
      <c r="BG23" s="4">
        <v>3.2</v>
      </c>
      <c r="BH23" s="7">
        <v>9.0500000000000007</v>
      </c>
      <c r="BI23" s="7">
        <v>12.25</v>
      </c>
      <c r="BJ23" s="4">
        <v>3.5</v>
      </c>
      <c r="BK23" s="7">
        <v>9.1</v>
      </c>
      <c r="BL23" s="7">
        <v>12.6</v>
      </c>
      <c r="BM23" s="4">
        <v>2.5</v>
      </c>
      <c r="BN23" s="7">
        <v>8.15</v>
      </c>
      <c r="BO23" s="7">
        <v>10.65</v>
      </c>
      <c r="BP23" s="4">
        <f t="shared" si="6"/>
        <v>20.7</v>
      </c>
      <c r="BQ23" s="7">
        <f t="shared" si="7"/>
        <v>50.4</v>
      </c>
      <c r="BR23" s="7">
        <f t="shared" si="8"/>
        <v>71.100000000000009</v>
      </c>
      <c r="BS2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3" s="4">
        <v>0</v>
      </c>
      <c r="BU23" s="7">
        <v>0</v>
      </c>
      <c r="BV23" s="7">
        <v>0</v>
      </c>
      <c r="BW23" s="4">
        <v>0</v>
      </c>
      <c r="BX23" s="7">
        <v>0</v>
      </c>
      <c r="BY23" s="7">
        <v>0</v>
      </c>
      <c r="BZ23" s="4">
        <v>0</v>
      </c>
      <c r="CA23" s="7">
        <v>0</v>
      </c>
      <c r="CB23" s="7">
        <v>0</v>
      </c>
      <c r="CC23" s="4">
        <v>0</v>
      </c>
      <c r="CD23" s="7">
        <v>0</v>
      </c>
      <c r="CE23" s="7">
        <v>0</v>
      </c>
      <c r="CF23" s="4">
        <v>0</v>
      </c>
      <c r="CG23" s="7">
        <v>0</v>
      </c>
      <c r="CH23" s="7">
        <v>0</v>
      </c>
      <c r="CI23" s="4">
        <v>0</v>
      </c>
      <c r="CJ23" s="7">
        <v>0</v>
      </c>
      <c r="CK23" s="7">
        <v>0</v>
      </c>
      <c r="CL23" s="4">
        <f t="shared" si="9"/>
        <v>0</v>
      </c>
      <c r="CM23" s="7">
        <f t="shared" si="10"/>
        <v>0</v>
      </c>
      <c r="CN23" s="7">
        <f t="shared" si="11"/>
        <v>0</v>
      </c>
      <c r="CO2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3" s="35" t="s">
        <v>302</v>
      </c>
    </row>
    <row r="24" spans="1:101" x14ac:dyDescent="0.25">
      <c r="A24" t="s">
        <v>112</v>
      </c>
      <c r="B24" s="2" t="s">
        <v>26</v>
      </c>
      <c r="C24" s="2" t="s">
        <v>113</v>
      </c>
      <c r="D24" t="s">
        <v>31</v>
      </c>
      <c r="E24" s="2">
        <f>SUM(COUNTIF(AA[[#This Row],[Bydgoszcz_all_around]],"Yes"),COUNTIF(AA[[#This Row],[Zabrze_all_around]],"Yes"),COUNTIF(AA[[#This Row],[Cracow_all_around]],"Yes"),COUNTIF(AA[[#This Row],[Gdansk_all_Around]],"Yes"))</f>
        <v>2</v>
      </c>
      <c r="F24" s="4">
        <v>4</v>
      </c>
      <c r="G24" s="7">
        <v>7.8</v>
      </c>
      <c r="H24" s="7">
        <v>11.8</v>
      </c>
      <c r="I24" s="4">
        <v>3.1</v>
      </c>
      <c r="J24" s="7">
        <v>7.65</v>
      </c>
      <c r="K24" s="7">
        <v>10.75</v>
      </c>
      <c r="L24" s="4">
        <v>8</v>
      </c>
      <c r="M24" s="7">
        <v>2.9</v>
      </c>
      <c r="N24" s="7">
        <v>10.9</v>
      </c>
      <c r="O24" s="4">
        <v>4</v>
      </c>
      <c r="P24" s="7">
        <v>8.5</v>
      </c>
      <c r="Q24" s="7">
        <v>12.5</v>
      </c>
      <c r="R24" s="4">
        <v>3.1</v>
      </c>
      <c r="S24" s="7">
        <v>8.65</v>
      </c>
      <c r="T24" s="7">
        <v>11.75</v>
      </c>
      <c r="U24" s="4">
        <v>3.4</v>
      </c>
      <c r="V24" s="7">
        <v>7.8</v>
      </c>
      <c r="W24" s="7">
        <v>11.2</v>
      </c>
      <c r="X24" s="4">
        <f t="shared" si="0"/>
        <v>25.6</v>
      </c>
      <c r="Y24" s="7">
        <f t="shared" si="1"/>
        <v>43.3</v>
      </c>
      <c r="Z24" s="7">
        <f t="shared" si="2"/>
        <v>68.900000000000006</v>
      </c>
      <c r="AA2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4" s="4">
        <v>0</v>
      </c>
      <c r="AC24" s="7">
        <v>0</v>
      </c>
      <c r="AD24" s="7">
        <v>0</v>
      </c>
      <c r="AE24" s="4">
        <v>0</v>
      </c>
      <c r="AF24" s="7">
        <v>0</v>
      </c>
      <c r="AG24" s="7">
        <v>0</v>
      </c>
      <c r="AH24" s="4">
        <v>0</v>
      </c>
      <c r="AI24" s="7">
        <v>0</v>
      </c>
      <c r="AJ24" s="7">
        <v>0</v>
      </c>
      <c r="AK24" s="4">
        <v>0</v>
      </c>
      <c r="AL24" s="7">
        <v>0</v>
      </c>
      <c r="AM24" s="7">
        <v>0</v>
      </c>
      <c r="AN24" s="4">
        <v>0</v>
      </c>
      <c r="AO24" s="7">
        <v>0</v>
      </c>
      <c r="AP24" s="7">
        <v>0</v>
      </c>
      <c r="AQ24" s="4">
        <v>0</v>
      </c>
      <c r="AR24" s="7">
        <v>0</v>
      </c>
      <c r="AS24" s="7">
        <v>0</v>
      </c>
      <c r="AT24" s="4">
        <f t="shared" si="3"/>
        <v>0</v>
      </c>
      <c r="AU24" s="7">
        <f t="shared" si="4"/>
        <v>0</v>
      </c>
      <c r="AV24" s="7">
        <f t="shared" si="5"/>
        <v>0</v>
      </c>
      <c r="AW2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4" s="4">
        <v>0</v>
      </c>
      <c r="AY24" s="7">
        <v>0</v>
      </c>
      <c r="AZ24" s="7">
        <v>0</v>
      </c>
      <c r="BA24" s="4">
        <v>0</v>
      </c>
      <c r="BB24" s="7">
        <v>0</v>
      </c>
      <c r="BC24" s="7">
        <v>0</v>
      </c>
      <c r="BD24" s="4">
        <v>0</v>
      </c>
      <c r="BE24" s="7">
        <v>0</v>
      </c>
      <c r="BF24" s="7">
        <v>0</v>
      </c>
      <c r="BG24" s="4">
        <v>0</v>
      </c>
      <c r="BH24" s="7">
        <v>0</v>
      </c>
      <c r="BI24" s="7">
        <v>0</v>
      </c>
      <c r="BJ24" s="4">
        <v>0</v>
      </c>
      <c r="BK24" s="7">
        <v>0</v>
      </c>
      <c r="BL24" s="7">
        <v>0</v>
      </c>
      <c r="BM24" s="4">
        <v>0</v>
      </c>
      <c r="BN24" s="7">
        <v>0</v>
      </c>
      <c r="BO24" s="7">
        <v>0</v>
      </c>
      <c r="BP24" s="4">
        <f t="shared" si="6"/>
        <v>0</v>
      </c>
      <c r="BQ24" s="7">
        <f t="shared" si="7"/>
        <v>0</v>
      </c>
      <c r="BR24" s="7">
        <f t="shared" si="8"/>
        <v>0</v>
      </c>
      <c r="BS2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4" s="4">
        <v>4.2</v>
      </c>
      <c r="BU24" s="7">
        <v>6.3</v>
      </c>
      <c r="BV24" s="7">
        <v>10.5</v>
      </c>
      <c r="BW24" s="4">
        <v>2.7</v>
      </c>
      <c r="BX24" s="7">
        <v>6</v>
      </c>
      <c r="BY24" s="7">
        <v>8.6999999999999993</v>
      </c>
      <c r="BZ24" s="4">
        <v>2.2000000000000002</v>
      </c>
      <c r="CA24" s="7">
        <v>7.7</v>
      </c>
      <c r="CB24" s="7">
        <v>9.9</v>
      </c>
      <c r="CC24" s="4">
        <v>4</v>
      </c>
      <c r="CD24" s="7">
        <v>8.9</v>
      </c>
      <c r="CE24" s="7">
        <v>12.9</v>
      </c>
      <c r="CF24" s="4">
        <v>3.2</v>
      </c>
      <c r="CG24" s="7">
        <v>7.4</v>
      </c>
      <c r="CH24" s="7">
        <v>10.6</v>
      </c>
      <c r="CI24" s="4">
        <v>3.2</v>
      </c>
      <c r="CJ24" s="7">
        <v>7.5</v>
      </c>
      <c r="CK24" s="7">
        <v>10.7</v>
      </c>
      <c r="CL24" s="4">
        <f t="shared" si="9"/>
        <v>19.5</v>
      </c>
      <c r="CM24" s="7">
        <f t="shared" si="10"/>
        <v>43.8</v>
      </c>
      <c r="CN24" s="7">
        <f t="shared" si="11"/>
        <v>63.3</v>
      </c>
      <c r="CO2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  <c r="CW24" s="36" t="s">
        <v>303</v>
      </c>
    </row>
    <row r="25" spans="1:101" x14ac:dyDescent="0.25">
      <c r="A25" t="s">
        <v>100</v>
      </c>
      <c r="B25" s="2" t="s">
        <v>60</v>
      </c>
      <c r="C25" s="2" t="s">
        <v>101</v>
      </c>
      <c r="D25" t="s">
        <v>31</v>
      </c>
      <c r="E25" s="2">
        <f>SUM(COUNTIF(AA[[#This Row],[Bydgoszcz_all_around]],"Yes"),COUNTIF(AA[[#This Row],[Zabrze_all_around]],"Yes"),COUNTIF(AA[[#This Row],[Cracow_all_around]],"Yes"),COUNTIF(AA[[#This Row],[Gdansk_all_Around]],"Yes"))</f>
        <v>1</v>
      </c>
      <c r="F25" s="4">
        <v>4.3</v>
      </c>
      <c r="G25" s="7">
        <v>7.4</v>
      </c>
      <c r="H25" s="7">
        <v>11.7</v>
      </c>
      <c r="I25" s="4">
        <v>2.4</v>
      </c>
      <c r="J25" s="7">
        <v>1.1000000000000001</v>
      </c>
      <c r="K25" s="7">
        <v>3.5</v>
      </c>
      <c r="L25" s="4">
        <v>2.9</v>
      </c>
      <c r="M25" s="7">
        <v>7</v>
      </c>
      <c r="N25" s="7">
        <v>9.9</v>
      </c>
      <c r="O25" s="4">
        <v>3.2</v>
      </c>
      <c r="P25" s="7">
        <v>7.8</v>
      </c>
      <c r="Q25" s="7">
        <v>11</v>
      </c>
      <c r="R25" s="4">
        <v>2.9</v>
      </c>
      <c r="S25" s="7">
        <v>7.75</v>
      </c>
      <c r="T25" s="7">
        <v>10.65</v>
      </c>
      <c r="U25" s="4">
        <v>2.7</v>
      </c>
      <c r="V25" s="7">
        <v>6.8</v>
      </c>
      <c r="W25" s="7">
        <v>9.5</v>
      </c>
      <c r="X25" s="4">
        <f t="shared" si="0"/>
        <v>18.400000000000002</v>
      </c>
      <c r="Y25" s="7">
        <f t="shared" si="1"/>
        <v>37.85</v>
      </c>
      <c r="Z25" s="7">
        <f t="shared" si="2"/>
        <v>56.25</v>
      </c>
      <c r="AA2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5" s="4">
        <v>4.2</v>
      </c>
      <c r="AC25" s="7">
        <v>7.3</v>
      </c>
      <c r="AD25" s="7">
        <v>11.5</v>
      </c>
      <c r="AE25" s="4">
        <v>0</v>
      </c>
      <c r="AF25" s="7">
        <v>0</v>
      </c>
      <c r="AG25" s="7">
        <v>0</v>
      </c>
      <c r="AH25" s="4">
        <v>0</v>
      </c>
      <c r="AI25" s="7">
        <v>0</v>
      </c>
      <c r="AJ25" s="7">
        <v>0</v>
      </c>
      <c r="AK25" s="4">
        <v>0</v>
      </c>
      <c r="AL25" s="7">
        <v>0</v>
      </c>
      <c r="AM25" s="7">
        <v>0</v>
      </c>
      <c r="AN25" s="4">
        <v>2.4</v>
      </c>
      <c r="AO25" s="7">
        <v>8.0500000000000007</v>
      </c>
      <c r="AP25" s="7">
        <v>10.45</v>
      </c>
      <c r="AQ25" s="4">
        <v>2</v>
      </c>
      <c r="AR25" s="7">
        <v>5.2</v>
      </c>
      <c r="AS25" s="7">
        <v>7.2</v>
      </c>
      <c r="AT25" s="4">
        <f t="shared" si="3"/>
        <v>8.6</v>
      </c>
      <c r="AU25" s="7">
        <f t="shared" si="4"/>
        <v>20.55</v>
      </c>
      <c r="AV25" s="7">
        <f t="shared" si="5"/>
        <v>29.15</v>
      </c>
      <c r="AW2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5" s="4">
        <v>4.4000000000000004</v>
      </c>
      <c r="AY25" s="7">
        <v>7.55</v>
      </c>
      <c r="AZ25" s="7">
        <v>11.95</v>
      </c>
      <c r="BA25" s="4">
        <v>0</v>
      </c>
      <c r="BB25" s="7">
        <v>0</v>
      </c>
      <c r="BC25" s="7">
        <v>0</v>
      </c>
      <c r="BD25" s="4">
        <v>0</v>
      </c>
      <c r="BE25" s="7">
        <v>0</v>
      </c>
      <c r="BF25" s="7">
        <v>0</v>
      </c>
      <c r="BG25" s="4">
        <v>0</v>
      </c>
      <c r="BH25" s="7">
        <v>0</v>
      </c>
      <c r="BI25" s="7">
        <v>0</v>
      </c>
      <c r="BJ25" s="4">
        <v>0</v>
      </c>
      <c r="BK25" s="7">
        <v>0</v>
      </c>
      <c r="BL25" s="7">
        <v>0</v>
      </c>
      <c r="BM25" s="4">
        <v>2.1</v>
      </c>
      <c r="BN25" s="7">
        <v>8.5</v>
      </c>
      <c r="BO25" s="7">
        <v>10.6</v>
      </c>
      <c r="BP25" s="4">
        <f t="shared" si="6"/>
        <v>6.5</v>
      </c>
      <c r="BQ25" s="7">
        <f t="shared" si="7"/>
        <v>16.05</v>
      </c>
      <c r="BR25" s="7">
        <f t="shared" si="8"/>
        <v>22.549999999999997</v>
      </c>
      <c r="BS2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5" s="4">
        <v>0</v>
      </c>
      <c r="BU25" s="7">
        <v>0</v>
      </c>
      <c r="BV25" s="7">
        <v>0</v>
      </c>
      <c r="BW25" s="4">
        <v>0</v>
      </c>
      <c r="BX25" s="7">
        <v>0</v>
      </c>
      <c r="BY25" s="7">
        <v>0</v>
      </c>
      <c r="BZ25" s="4">
        <v>0</v>
      </c>
      <c r="CA25" s="7">
        <v>0</v>
      </c>
      <c r="CB25" s="7">
        <v>0</v>
      </c>
      <c r="CC25" s="4">
        <v>0</v>
      </c>
      <c r="CD25" s="7">
        <v>0</v>
      </c>
      <c r="CE25" s="7">
        <v>0</v>
      </c>
      <c r="CF25" s="4">
        <v>0</v>
      </c>
      <c r="CG25" s="7">
        <v>0</v>
      </c>
      <c r="CH25" s="7">
        <v>0</v>
      </c>
      <c r="CI25" s="4">
        <v>0</v>
      </c>
      <c r="CJ25" s="7">
        <v>0</v>
      </c>
      <c r="CK25" s="7">
        <v>0</v>
      </c>
      <c r="CL25" s="4">
        <f t="shared" si="9"/>
        <v>0</v>
      </c>
      <c r="CM25" s="7">
        <f t="shared" si="10"/>
        <v>0</v>
      </c>
      <c r="CN25" s="7">
        <f t="shared" si="11"/>
        <v>0</v>
      </c>
      <c r="CO2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26" spans="1:101" x14ac:dyDescent="0.25">
      <c r="A26" t="s">
        <v>70</v>
      </c>
      <c r="B26" s="2" t="s">
        <v>60</v>
      </c>
      <c r="C26" s="2" t="s">
        <v>71</v>
      </c>
      <c r="D26" t="s">
        <v>72</v>
      </c>
      <c r="E26" s="2">
        <f>SUM(COUNTIF(AA[[#This Row],[Bydgoszcz_all_around]],"Yes"),COUNTIF(AA[[#This Row],[Zabrze_all_around]],"Yes"),COUNTIF(AA[[#This Row],[Cracow_all_around]],"Yes"),COUNTIF(AA[[#This Row],[Gdansk_all_Around]],"Yes"))</f>
        <v>1</v>
      </c>
      <c r="F26" s="4">
        <v>0</v>
      </c>
      <c r="G26" s="7">
        <v>0</v>
      </c>
      <c r="H26" s="7">
        <v>0</v>
      </c>
      <c r="I26" s="4">
        <v>0</v>
      </c>
      <c r="J26" s="7">
        <v>0</v>
      </c>
      <c r="K26" s="7">
        <v>0</v>
      </c>
      <c r="L26" s="4">
        <v>0</v>
      </c>
      <c r="M26" s="7">
        <v>0</v>
      </c>
      <c r="N26" s="7">
        <v>0</v>
      </c>
      <c r="O26" s="4">
        <v>0</v>
      </c>
      <c r="P26" s="7">
        <v>0</v>
      </c>
      <c r="Q26" s="7">
        <v>0</v>
      </c>
      <c r="R26" s="4">
        <v>0</v>
      </c>
      <c r="S26" s="7">
        <v>0</v>
      </c>
      <c r="T26" s="7">
        <v>0</v>
      </c>
      <c r="U26" s="4">
        <v>0</v>
      </c>
      <c r="V26" s="7">
        <v>0</v>
      </c>
      <c r="W26" s="7">
        <v>0</v>
      </c>
      <c r="X26" s="4">
        <f t="shared" si="0"/>
        <v>0</v>
      </c>
      <c r="Y26" s="7">
        <f t="shared" si="1"/>
        <v>0</v>
      </c>
      <c r="Z26" s="7">
        <f t="shared" si="2"/>
        <v>0</v>
      </c>
      <c r="AA2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6" s="4">
        <v>5</v>
      </c>
      <c r="AC26" s="7">
        <v>6.8</v>
      </c>
      <c r="AD26" s="7">
        <v>11.8</v>
      </c>
      <c r="AE26" s="4">
        <v>3.3</v>
      </c>
      <c r="AF26" s="7">
        <v>6</v>
      </c>
      <c r="AG26" s="7">
        <v>9.3000000000000007</v>
      </c>
      <c r="AH26" s="4">
        <v>4.0999999999999996</v>
      </c>
      <c r="AI26" s="7">
        <v>7.6</v>
      </c>
      <c r="AJ26" s="7">
        <v>11.7</v>
      </c>
      <c r="AK26" s="4">
        <v>5.2</v>
      </c>
      <c r="AL26" s="7">
        <v>8.25</v>
      </c>
      <c r="AM26" s="7">
        <v>13.45</v>
      </c>
      <c r="AN26" s="4">
        <v>4.3</v>
      </c>
      <c r="AO26" s="7">
        <v>8.1999999999999993</v>
      </c>
      <c r="AP26" s="7">
        <v>12.5</v>
      </c>
      <c r="AQ26" s="4">
        <v>3.7</v>
      </c>
      <c r="AR26" s="7">
        <v>7.95</v>
      </c>
      <c r="AS26" s="7">
        <v>11.65</v>
      </c>
      <c r="AT26" s="4">
        <f t="shared" si="3"/>
        <v>25.6</v>
      </c>
      <c r="AU26" s="7">
        <f t="shared" si="4"/>
        <v>44.8</v>
      </c>
      <c r="AV26" s="7">
        <f t="shared" si="5"/>
        <v>70.400000000000006</v>
      </c>
      <c r="AW2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Yes</v>
      </c>
      <c r="AX26" s="4">
        <v>4.9000000000000004</v>
      </c>
      <c r="AY26" s="7">
        <v>7.6</v>
      </c>
      <c r="AZ26" s="7">
        <v>12.5</v>
      </c>
      <c r="BA26" s="4">
        <v>3.6</v>
      </c>
      <c r="BB26" s="7">
        <v>6.7</v>
      </c>
      <c r="BC26" s="7">
        <v>10.3</v>
      </c>
      <c r="BD26" s="4">
        <v>4.0999999999999996</v>
      </c>
      <c r="BE26" s="7">
        <v>7.8</v>
      </c>
      <c r="BF26" s="7">
        <v>11.9</v>
      </c>
      <c r="BG26" s="4">
        <v>5.2</v>
      </c>
      <c r="BH26" s="7">
        <v>7.65</v>
      </c>
      <c r="BI26" s="7">
        <v>12.85</v>
      </c>
      <c r="BJ26" s="4">
        <v>0</v>
      </c>
      <c r="BK26" s="7">
        <v>0</v>
      </c>
      <c r="BL26" s="7">
        <v>0</v>
      </c>
      <c r="BM26" s="4">
        <v>3.7</v>
      </c>
      <c r="BN26" s="7">
        <v>7.4</v>
      </c>
      <c r="BO26" s="7">
        <v>11.1</v>
      </c>
      <c r="BP26" s="4">
        <f t="shared" si="6"/>
        <v>21.5</v>
      </c>
      <c r="BQ26" s="7">
        <f t="shared" si="7"/>
        <v>37.15</v>
      </c>
      <c r="BR26" s="7">
        <f t="shared" si="8"/>
        <v>58.650000000000006</v>
      </c>
      <c r="BS2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6" s="4">
        <v>0</v>
      </c>
      <c r="BU26" s="7">
        <v>0</v>
      </c>
      <c r="BV26" s="7">
        <v>0</v>
      </c>
      <c r="BW26" s="4">
        <v>0</v>
      </c>
      <c r="BX26" s="7">
        <v>0</v>
      </c>
      <c r="BY26" s="7">
        <v>0</v>
      </c>
      <c r="BZ26" s="4">
        <v>0</v>
      </c>
      <c r="CA26" s="7">
        <v>0</v>
      </c>
      <c r="CB26" s="7">
        <v>0</v>
      </c>
      <c r="CC26" s="4">
        <v>0</v>
      </c>
      <c r="CD26" s="7">
        <v>0</v>
      </c>
      <c r="CE26" s="7">
        <v>0</v>
      </c>
      <c r="CF26" s="4">
        <v>0</v>
      </c>
      <c r="CG26" s="7">
        <v>0</v>
      </c>
      <c r="CH26" s="7">
        <v>0</v>
      </c>
      <c r="CI26" s="4">
        <v>0</v>
      </c>
      <c r="CJ26" s="7">
        <v>0</v>
      </c>
      <c r="CK26" s="7">
        <v>0</v>
      </c>
      <c r="CL26" s="4">
        <f t="shared" si="9"/>
        <v>0</v>
      </c>
      <c r="CM26" s="7">
        <f t="shared" si="10"/>
        <v>0</v>
      </c>
      <c r="CN26" s="7">
        <f t="shared" si="11"/>
        <v>0</v>
      </c>
      <c r="CO2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27" spans="1:101" x14ac:dyDescent="0.25">
      <c r="A27" t="s">
        <v>88</v>
      </c>
      <c r="B27" s="2" t="s">
        <v>60</v>
      </c>
      <c r="C27" s="2" t="s">
        <v>89</v>
      </c>
      <c r="D27" t="s">
        <v>36</v>
      </c>
      <c r="E27" s="2">
        <f>SUM(COUNTIF(AA[[#This Row],[Bydgoszcz_all_around]],"Yes"),COUNTIF(AA[[#This Row],[Zabrze_all_around]],"Yes"),COUNTIF(AA[[#This Row],[Cracow_all_around]],"Yes"),COUNTIF(AA[[#This Row],[Gdansk_all_Around]],"Yes"))</f>
        <v>1</v>
      </c>
      <c r="F27" s="4">
        <v>0</v>
      </c>
      <c r="G27" s="7">
        <v>0</v>
      </c>
      <c r="H27" s="7">
        <v>0</v>
      </c>
      <c r="I27" s="4">
        <v>0</v>
      </c>
      <c r="J27" s="7">
        <v>0</v>
      </c>
      <c r="K27" s="7">
        <v>0</v>
      </c>
      <c r="L27" s="4">
        <v>0</v>
      </c>
      <c r="M27" s="7">
        <v>0</v>
      </c>
      <c r="N27" s="7">
        <v>0</v>
      </c>
      <c r="O27" s="4">
        <v>0</v>
      </c>
      <c r="P27" s="7">
        <v>0</v>
      </c>
      <c r="Q27" s="7">
        <v>0</v>
      </c>
      <c r="R27" s="4">
        <v>0</v>
      </c>
      <c r="S27" s="7">
        <v>0</v>
      </c>
      <c r="T27" s="7">
        <v>0</v>
      </c>
      <c r="U27" s="4">
        <v>0</v>
      </c>
      <c r="V27" s="7">
        <v>0</v>
      </c>
      <c r="W27" s="7">
        <v>0</v>
      </c>
      <c r="X27" s="4">
        <f t="shared" si="0"/>
        <v>0</v>
      </c>
      <c r="Y27" s="7">
        <f t="shared" si="1"/>
        <v>0</v>
      </c>
      <c r="Z27" s="7">
        <f t="shared" si="2"/>
        <v>0</v>
      </c>
      <c r="AA2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7" s="4">
        <v>0</v>
      </c>
      <c r="AC27" s="7">
        <v>0</v>
      </c>
      <c r="AD27" s="7">
        <v>0</v>
      </c>
      <c r="AE27" s="4">
        <v>2.7</v>
      </c>
      <c r="AF27" s="7">
        <v>7</v>
      </c>
      <c r="AG27" s="7">
        <v>9.6999999999999993</v>
      </c>
      <c r="AH27" s="4">
        <v>2.5</v>
      </c>
      <c r="AI27" s="7">
        <v>7.2</v>
      </c>
      <c r="AJ27" s="7">
        <v>9.6999999999999993</v>
      </c>
      <c r="AK27" s="4">
        <v>0</v>
      </c>
      <c r="AL27" s="7">
        <v>0</v>
      </c>
      <c r="AM27" s="7">
        <v>0</v>
      </c>
      <c r="AN27" s="4">
        <v>2.8</v>
      </c>
      <c r="AO27" s="7">
        <v>7.4</v>
      </c>
      <c r="AP27" s="7">
        <v>10.199999999999999</v>
      </c>
      <c r="AQ27" s="4">
        <v>2.1</v>
      </c>
      <c r="AR27" s="7">
        <v>6.9</v>
      </c>
      <c r="AS27" s="7">
        <v>9</v>
      </c>
      <c r="AT27" s="4">
        <f t="shared" si="3"/>
        <v>10.1</v>
      </c>
      <c r="AU27" s="7">
        <f t="shared" si="4"/>
        <v>28.5</v>
      </c>
      <c r="AV27" s="7">
        <f t="shared" si="5"/>
        <v>38.599999999999994</v>
      </c>
      <c r="AW2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7" s="4">
        <v>0</v>
      </c>
      <c r="AY27" s="7">
        <v>0</v>
      </c>
      <c r="AZ27" s="7">
        <v>0</v>
      </c>
      <c r="BA27" s="4">
        <v>0</v>
      </c>
      <c r="BB27" s="7">
        <v>0</v>
      </c>
      <c r="BC27" s="7">
        <v>0</v>
      </c>
      <c r="BD27" s="4">
        <v>0</v>
      </c>
      <c r="BE27" s="7">
        <v>0</v>
      </c>
      <c r="BF27" s="7">
        <v>0</v>
      </c>
      <c r="BG27" s="4">
        <v>0</v>
      </c>
      <c r="BH27" s="7">
        <v>0</v>
      </c>
      <c r="BI27" s="7">
        <v>0</v>
      </c>
      <c r="BJ27" s="4">
        <v>0</v>
      </c>
      <c r="BK27" s="7">
        <v>0</v>
      </c>
      <c r="BL27" s="7">
        <v>0</v>
      </c>
      <c r="BM27" s="4">
        <v>0</v>
      </c>
      <c r="BN27" s="7">
        <v>0</v>
      </c>
      <c r="BO27" s="7">
        <v>0</v>
      </c>
      <c r="BP27" s="4">
        <f t="shared" si="6"/>
        <v>0</v>
      </c>
      <c r="BQ27" s="7">
        <f t="shared" si="7"/>
        <v>0</v>
      </c>
      <c r="BR27" s="7">
        <f t="shared" si="8"/>
        <v>0</v>
      </c>
      <c r="BS2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7" s="4">
        <v>3.2</v>
      </c>
      <c r="BU27" s="7">
        <v>7</v>
      </c>
      <c r="BV27" s="7">
        <v>10.199999999999999</v>
      </c>
      <c r="BW27" s="4">
        <v>2.4</v>
      </c>
      <c r="BX27" s="7">
        <v>5.8</v>
      </c>
      <c r="BY27" s="7">
        <v>8.1999999999999993</v>
      </c>
      <c r="BZ27" s="4">
        <v>2.2000000000000002</v>
      </c>
      <c r="CA27" s="7">
        <v>7.7</v>
      </c>
      <c r="CB27" s="7">
        <v>9.9</v>
      </c>
      <c r="CC27" s="4">
        <v>2.4</v>
      </c>
      <c r="CD27" s="7">
        <v>8</v>
      </c>
      <c r="CE27" s="7">
        <v>10.4</v>
      </c>
      <c r="CF27" s="4">
        <v>2.7</v>
      </c>
      <c r="CG27" s="7">
        <v>7.9</v>
      </c>
      <c r="CH27" s="7">
        <v>10.6</v>
      </c>
      <c r="CI27" s="4">
        <v>1.9</v>
      </c>
      <c r="CJ27" s="7">
        <v>4.2</v>
      </c>
      <c r="CK27" s="7">
        <v>6.1</v>
      </c>
      <c r="CL27" s="4">
        <f t="shared" si="9"/>
        <v>14.799999999999999</v>
      </c>
      <c r="CM27" s="7">
        <f t="shared" si="10"/>
        <v>40.6</v>
      </c>
      <c r="CN27" s="7">
        <f t="shared" si="11"/>
        <v>55.4</v>
      </c>
      <c r="CO2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Yes</v>
      </c>
      <c r="CP2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28" spans="1:101" x14ac:dyDescent="0.25">
      <c r="A28" t="s">
        <v>118</v>
      </c>
      <c r="B28" s="2" t="s">
        <v>60</v>
      </c>
      <c r="C28" s="2" t="s">
        <v>119</v>
      </c>
      <c r="D28" t="s">
        <v>31</v>
      </c>
      <c r="E28" s="2">
        <f>SUM(COUNTIF(AA[[#This Row],[Bydgoszcz_all_around]],"Yes"),COUNTIF(AA[[#This Row],[Zabrze_all_around]],"Yes"),COUNTIF(AA[[#This Row],[Cracow_all_around]],"Yes"),COUNTIF(AA[[#This Row],[Gdansk_all_Around]],"Yes"))</f>
        <v>1</v>
      </c>
      <c r="F28" s="4">
        <v>0</v>
      </c>
      <c r="G28" s="7">
        <v>0</v>
      </c>
      <c r="H28" s="7">
        <v>0</v>
      </c>
      <c r="I28" s="4">
        <v>0</v>
      </c>
      <c r="J28" s="7">
        <v>0</v>
      </c>
      <c r="K28" s="7">
        <v>0</v>
      </c>
      <c r="L28" s="4">
        <v>0</v>
      </c>
      <c r="M28" s="7">
        <v>0</v>
      </c>
      <c r="N28" s="7">
        <v>0</v>
      </c>
      <c r="O28" s="4">
        <v>0</v>
      </c>
      <c r="P28" s="7">
        <v>0</v>
      </c>
      <c r="Q28" s="7">
        <v>0</v>
      </c>
      <c r="R28" s="4">
        <v>0</v>
      </c>
      <c r="S28" s="7">
        <v>0</v>
      </c>
      <c r="T28" s="7">
        <v>0</v>
      </c>
      <c r="U28" s="4">
        <v>0</v>
      </c>
      <c r="V28" s="7">
        <v>0</v>
      </c>
      <c r="W28" s="7">
        <v>0</v>
      </c>
      <c r="X28" s="4">
        <f t="shared" si="0"/>
        <v>0</v>
      </c>
      <c r="Y28" s="7">
        <f t="shared" si="1"/>
        <v>0</v>
      </c>
      <c r="Z28" s="7">
        <f t="shared" si="2"/>
        <v>0</v>
      </c>
      <c r="AA2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28" s="4">
        <v>0</v>
      </c>
      <c r="AC28" s="7">
        <v>0</v>
      </c>
      <c r="AD28" s="7">
        <v>0</v>
      </c>
      <c r="AE28" s="4">
        <v>0</v>
      </c>
      <c r="AF28" s="7">
        <v>0</v>
      </c>
      <c r="AG28" s="7">
        <v>0</v>
      </c>
      <c r="AH28" s="4">
        <v>0</v>
      </c>
      <c r="AI28" s="7">
        <v>0</v>
      </c>
      <c r="AJ28" s="7">
        <v>0</v>
      </c>
      <c r="AK28" s="4">
        <v>0</v>
      </c>
      <c r="AL28" s="7">
        <v>0</v>
      </c>
      <c r="AM28" s="7">
        <v>0</v>
      </c>
      <c r="AN28" s="4">
        <v>0</v>
      </c>
      <c r="AO28" s="7">
        <v>0</v>
      </c>
      <c r="AP28" s="7">
        <v>0</v>
      </c>
      <c r="AQ28" s="4">
        <v>0</v>
      </c>
      <c r="AR28" s="7">
        <v>0</v>
      </c>
      <c r="AS28" s="7">
        <v>0</v>
      </c>
      <c r="AT28" s="4">
        <f t="shared" si="3"/>
        <v>0</v>
      </c>
      <c r="AU28" s="7">
        <f t="shared" si="4"/>
        <v>0</v>
      </c>
      <c r="AV28" s="7">
        <f t="shared" si="5"/>
        <v>0</v>
      </c>
      <c r="AW2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8" s="4">
        <v>4.8</v>
      </c>
      <c r="AY28" s="7">
        <v>7.7</v>
      </c>
      <c r="AZ28" s="7">
        <v>12.5</v>
      </c>
      <c r="BA28" s="4">
        <v>4.5999999999999996</v>
      </c>
      <c r="BB28" s="7">
        <v>7.7</v>
      </c>
      <c r="BC28" s="7">
        <v>12.3</v>
      </c>
      <c r="BD28" s="4">
        <v>4</v>
      </c>
      <c r="BE28" s="7">
        <v>7.65</v>
      </c>
      <c r="BF28" s="7">
        <v>11.65</v>
      </c>
      <c r="BG28" s="4">
        <v>4</v>
      </c>
      <c r="BH28" s="7">
        <v>9.3000000000000007</v>
      </c>
      <c r="BI28" s="7">
        <v>13.3</v>
      </c>
      <c r="BJ28" s="4">
        <v>4.3</v>
      </c>
      <c r="BK28" s="7">
        <v>7.1</v>
      </c>
      <c r="BL28" s="7">
        <v>11.4</v>
      </c>
      <c r="BM28" s="4">
        <v>3.7</v>
      </c>
      <c r="BN28" s="7">
        <v>8.15</v>
      </c>
      <c r="BO28" s="7">
        <v>11.85</v>
      </c>
      <c r="BP28" s="4">
        <f t="shared" si="6"/>
        <v>25.4</v>
      </c>
      <c r="BQ28" s="7">
        <f t="shared" si="7"/>
        <v>47.6</v>
      </c>
      <c r="BR28" s="7">
        <f t="shared" si="8"/>
        <v>73</v>
      </c>
      <c r="BS2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Yes</v>
      </c>
      <c r="BT28" s="4">
        <v>0</v>
      </c>
      <c r="BU28" s="7">
        <v>0</v>
      </c>
      <c r="BV28" s="7">
        <v>0</v>
      </c>
      <c r="BW28" s="4">
        <v>0</v>
      </c>
      <c r="BX28" s="7">
        <v>0</v>
      </c>
      <c r="BY28" s="7">
        <v>0</v>
      </c>
      <c r="BZ28" s="4">
        <v>0</v>
      </c>
      <c r="CA28" s="7">
        <v>0</v>
      </c>
      <c r="CB28" s="7">
        <v>0</v>
      </c>
      <c r="CC28" s="4">
        <v>0</v>
      </c>
      <c r="CD28" s="7">
        <v>0</v>
      </c>
      <c r="CE28" s="7">
        <v>0</v>
      </c>
      <c r="CF28" s="4">
        <v>0</v>
      </c>
      <c r="CG28" s="7">
        <v>0</v>
      </c>
      <c r="CH28" s="7">
        <v>0</v>
      </c>
      <c r="CI28" s="4">
        <v>0</v>
      </c>
      <c r="CJ28" s="7">
        <v>0</v>
      </c>
      <c r="CK28" s="7">
        <v>0</v>
      </c>
      <c r="CL28" s="4">
        <f t="shared" si="9"/>
        <v>0</v>
      </c>
      <c r="CM28" s="7">
        <f t="shared" si="10"/>
        <v>0</v>
      </c>
      <c r="CN28" s="7">
        <f t="shared" si="11"/>
        <v>0</v>
      </c>
      <c r="CO2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29" spans="1:101" x14ac:dyDescent="0.25">
      <c r="A29" t="s">
        <v>142</v>
      </c>
      <c r="B29" s="2" t="s">
        <v>60</v>
      </c>
      <c r="C29" s="2" t="s">
        <v>143</v>
      </c>
      <c r="D29" t="s">
        <v>62</v>
      </c>
      <c r="E29" s="2">
        <f>SUM(COUNTIF(AA[[#This Row],[Bydgoszcz_all_around]],"Yes"),COUNTIF(AA[[#This Row],[Zabrze_all_around]],"Yes"),COUNTIF(AA[[#This Row],[Cracow_all_around]],"Yes"),COUNTIF(AA[[#This Row],[Gdansk_all_Around]],"Yes"))</f>
        <v>1</v>
      </c>
      <c r="F29" s="4">
        <v>4.5</v>
      </c>
      <c r="G29" s="7">
        <v>8.6999999999999993</v>
      </c>
      <c r="H29" s="7">
        <v>13.2</v>
      </c>
      <c r="I29" s="4">
        <v>3.8</v>
      </c>
      <c r="J29" s="7">
        <v>7.9</v>
      </c>
      <c r="K29" s="7">
        <v>11.7</v>
      </c>
      <c r="L29" s="4">
        <v>2.7</v>
      </c>
      <c r="M29" s="7">
        <v>8</v>
      </c>
      <c r="N29" s="7">
        <v>10.7</v>
      </c>
      <c r="O29" s="4">
        <v>3.2</v>
      </c>
      <c r="P29" s="7">
        <v>9.5</v>
      </c>
      <c r="Q29" s="7">
        <v>12.7</v>
      </c>
      <c r="R29" s="4">
        <v>3.4</v>
      </c>
      <c r="S29" s="7">
        <v>7.9</v>
      </c>
      <c r="T29" s="7">
        <v>11.3</v>
      </c>
      <c r="U29" s="4">
        <v>3.6</v>
      </c>
      <c r="V29" s="7">
        <v>8</v>
      </c>
      <c r="W29" s="7">
        <v>11.6</v>
      </c>
      <c r="X29" s="4">
        <f t="shared" si="0"/>
        <v>21.2</v>
      </c>
      <c r="Y29" s="7">
        <f t="shared" si="1"/>
        <v>50</v>
      </c>
      <c r="Z29" s="7">
        <f t="shared" si="2"/>
        <v>71.199999999999989</v>
      </c>
      <c r="AA2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29" s="4">
        <v>0</v>
      </c>
      <c r="AC29" s="7">
        <v>0</v>
      </c>
      <c r="AD29" s="7">
        <v>0</v>
      </c>
      <c r="AE29" s="4">
        <v>0</v>
      </c>
      <c r="AF29" s="7">
        <v>0</v>
      </c>
      <c r="AG29" s="7">
        <v>0</v>
      </c>
      <c r="AH29" s="4">
        <v>0</v>
      </c>
      <c r="AI29" s="7">
        <v>0</v>
      </c>
      <c r="AJ29" s="7">
        <v>0</v>
      </c>
      <c r="AK29" s="4">
        <v>0</v>
      </c>
      <c r="AL29" s="7">
        <v>0</v>
      </c>
      <c r="AM29" s="7">
        <v>0</v>
      </c>
      <c r="AN29" s="4">
        <v>0</v>
      </c>
      <c r="AO29" s="7">
        <v>0</v>
      </c>
      <c r="AP29" s="7">
        <v>0</v>
      </c>
      <c r="AQ29" s="4">
        <v>0</v>
      </c>
      <c r="AR29" s="7">
        <v>0</v>
      </c>
      <c r="AS29" s="7">
        <v>0</v>
      </c>
      <c r="AT29" s="4">
        <f t="shared" si="3"/>
        <v>0</v>
      </c>
      <c r="AU29" s="7">
        <f t="shared" si="4"/>
        <v>0</v>
      </c>
      <c r="AV29" s="7">
        <f t="shared" si="5"/>
        <v>0</v>
      </c>
      <c r="AW2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29" s="4">
        <v>0</v>
      </c>
      <c r="AY29" s="7">
        <v>0</v>
      </c>
      <c r="AZ29" s="7">
        <v>0</v>
      </c>
      <c r="BA29" s="4">
        <v>0</v>
      </c>
      <c r="BB29" s="7">
        <v>0</v>
      </c>
      <c r="BC29" s="7">
        <v>0</v>
      </c>
      <c r="BD29" s="4">
        <v>0</v>
      </c>
      <c r="BE29" s="7">
        <v>0</v>
      </c>
      <c r="BF29" s="7">
        <v>0</v>
      </c>
      <c r="BG29" s="4">
        <v>0</v>
      </c>
      <c r="BH29" s="7">
        <v>0</v>
      </c>
      <c r="BI29" s="7">
        <v>0</v>
      </c>
      <c r="BJ29" s="4">
        <v>0</v>
      </c>
      <c r="BK29" s="7">
        <v>0</v>
      </c>
      <c r="BL29" s="7">
        <v>0</v>
      </c>
      <c r="BM29" s="4">
        <v>0</v>
      </c>
      <c r="BN29" s="7">
        <v>0</v>
      </c>
      <c r="BO29" s="7">
        <v>0</v>
      </c>
      <c r="BP29" s="4">
        <f t="shared" si="6"/>
        <v>0</v>
      </c>
      <c r="BQ29" s="7">
        <f t="shared" si="7"/>
        <v>0</v>
      </c>
      <c r="BR29" s="7">
        <f t="shared" si="8"/>
        <v>0</v>
      </c>
      <c r="BS2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29" s="4">
        <v>0</v>
      </c>
      <c r="BU29" s="7">
        <v>0</v>
      </c>
      <c r="BV29" s="7">
        <v>0</v>
      </c>
      <c r="BW29" s="4">
        <v>0</v>
      </c>
      <c r="BX29" s="7">
        <v>0</v>
      </c>
      <c r="BY29" s="7">
        <v>0</v>
      </c>
      <c r="BZ29" s="4">
        <v>0</v>
      </c>
      <c r="CA29" s="7">
        <v>0</v>
      </c>
      <c r="CB29" s="7">
        <v>0</v>
      </c>
      <c r="CC29" s="4">
        <v>0</v>
      </c>
      <c r="CD29" s="7">
        <v>0</v>
      </c>
      <c r="CE29" s="7">
        <v>0</v>
      </c>
      <c r="CF29" s="4">
        <v>0</v>
      </c>
      <c r="CG29" s="7">
        <v>0</v>
      </c>
      <c r="CH29" s="7">
        <v>0</v>
      </c>
      <c r="CI29" s="4">
        <v>0</v>
      </c>
      <c r="CJ29" s="7">
        <v>0</v>
      </c>
      <c r="CK29" s="7">
        <v>0</v>
      </c>
      <c r="CL29" s="4">
        <f t="shared" si="9"/>
        <v>0</v>
      </c>
      <c r="CM29" s="7">
        <f t="shared" si="10"/>
        <v>0</v>
      </c>
      <c r="CN29" s="7">
        <f t="shared" si="11"/>
        <v>0</v>
      </c>
      <c r="CO2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2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2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2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2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2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2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30" spans="1:101" x14ac:dyDescent="0.25">
      <c r="A30" t="s">
        <v>132</v>
      </c>
      <c r="B30" s="2" t="s">
        <v>26</v>
      </c>
      <c r="C30" s="2" t="s">
        <v>133</v>
      </c>
      <c r="D30" t="s">
        <v>39</v>
      </c>
      <c r="E30" s="2">
        <f>SUM(COUNTIF(AA[[#This Row],[Bydgoszcz_all_around]],"Yes"),COUNTIF(AA[[#This Row],[Zabrze_all_around]],"Yes"),COUNTIF(AA[[#This Row],[Cracow_all_around]],"Yes"),COUNTIF(AA[[#This Row],[Gdansk_all_Around]],"Yes"))</f>
        <v>1</v>
      </c>
      <c r="F30" s="4">
        <v>3.8</v>
      </c>
      <c r="G30" s="7">
        <v>7.8</v>
      </c>
      <c r="H30" s="7">
        <v>11.6</v>
      </c>
      <c r="I30" s="4">
        <v>3</v>
      </c>
      <c r="J30" s="7">
        <v>7.6</v>
      </c>
      <c r="K30" s="7">
        <v>10.6</v>
      </c>
      <c r="L30" s="4">
        <v>2.2999999999999998</v>
      </c>
      <c r="M30" s="7">
        <v>7.15</v>
      </c>
      <c r="N30" s="7">
        <v>9.4499999999999993</v>
      </c>
      <c r="O30" s="4">
        <v>2.2000000000000002</v>
      </c>
      <c r="P30" s="7">
        <v>9.1</v>
      </c>
      <c r="Q30" s="7">
        <v>11.3</v>
      </c>
      <c r="R30" s="4">
        <v>3</v>
      </c>
      <c r="S30" s="7">
        <v>8.0500000000000007</v>
      </c>
      <c r="T30" s="7">
        <v>11.05</v>
      </c>
      <c r="U30" s="4">
        <v>2.4</v>
      </c>
      <c r="V30" s="7">
        <v>9.1</v>
      </c>
      <c r="W30" s="7">
        <v>11.5</v>
      </c>
      <c r="X30" s="4">
        <f t="shared" si="0"/>
        <v>16.7</v>
      </c>
      <c r="Y30" s="7">
        <f t="shared" si="1"/>
        <v>48.800000000000004</v>
      </c>
      <c r="Z30" s="7">
        <f t="shared" si="2"/>
        <v>65.5</v>
      </c>
      <c r="AA3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0" s="4">
        <v>0</v>
      </c>
      <c r="AC30" s="7">
        <v>0</v>
      </c>
      <c r="AD30" s="7">
        <v>0</v>
      </c>
      <c r="AE30" s="4">
        <v>0</v>
      </c>
      <c r="AF30" s="7">
        <v>0</v>
      </c>
      <c r="AG30" s="7">
        <v>0</v>
      </c>
      <c r="AH30" s="4">
        <v>0</v>
      </c>
      <c r="AI30" s="7">
        <v>0</v>
      </c>
      <c r="AJ30" s="7">
        <v>0</v>
      </c>
      <c r="AK30" s="4">
        <v>0</v>
      </c>
      <c r="AL30" s="7">
        <v>0</v>
      </c>
      <c r="AM30" s="7">
        <v>0</v>
      </c>
      <c r="AN30" s="4">
        <v>0</v>
      </c>
      <c r="AO30" s="7">
        <v>0</v>
      </c>
      <c r="AP30" s="7">
        <v>0</v>
      </c>
      <c r="AQ30" s="4">
        <v>0</v>
      </c>
      <c r="AR30" s="7">
        <v>0</v>
      </c>
      <c r="AS30" s="7">
        <v>0</v>
      </c>
      <c r="AT30" s="4">
        <f t="shared" si="3"/>
        <v>0</v>
      </c>
      <c r="AU30" s="7">
        <f t="shared" si="4"/>
        <v>0</v>
      </c>
      <c r="AV30" s="7">
        <f t="shared" si="5"/>
        <v>0</v>
      </c>
      <c r="AW3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0" s="4">
        <v>0</v>
      </c>
      <c r="AY30" s="7">
        <v>0</v>
      </c>
      <c r="AZ30" s="7">
        <v>0</v>
      </c>
      <c r="BA30" s="4">
        <v>0</v>
      </c>
      <c r="BB30" s="7">
        <v>0</v>
      </c>
      <c r="BC30" s="7">
        <v>0</v>
      </c>
      <c r="BD30" s="4">
        <v>0</v>
      </c>
      <c r="BE30" s="7">
        <v>0</v>
      </c>
      <c r="BF30" s="7">
        <v>0</v>
      </c>
      <c r="BG30" s="4">
        <v>0</v>
      </c>
      <c r="BH30" s="7">
        <v>0</v>
      </c>
      <c r="BI30" s="7">
        <v>0</v>
      </c>
      <c r="BJ30" s="4">
        <v>0</v>
      </c>
      <c r="BK30" s="7">
        <v>0</v>
      </c>
      <c r="BL30" s="7">
        <v>0</v>
      </c>
      <c r="BM30" s="4">
        <v>0</v>
      </c>
      <c r="BN30" s="7">
        <v>0</v>
      </c>
      <c r="BO30" s="7">
        <v>0</v>
      </c>
      <c r="BP30" s="4">
        <f t="shared" si="6"/>
        <v>0</v>
      </c>
      <c r="BQ30" s="7">
        <f t="shared" si="7"/>
        <v>0</v>
      </c>
      <c r="BR30" s="7">
        <f t="shared" si="8"/>
        <v>0</v>
      </c>
      <c r="BS3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0" s="4">
        <v>0</v>
      </c>
      <c r="BU30" s="7">
        <v>0</v>
      </c>
      <c r="BV30" s="7">
        <v>0</v>
      </c>
      <c r="BW30" s="4">
        <v>0</v>
      </c>
      <c r="BX30" s="7">
        <v>0</v>
      </c>
      <c r="BY30" s="7">
        <v>0</v>
      </c>
      <c r="BZ30" s="4">
        <v>0</v>
      </c>
      <c r="CA30" s="7">
        <v>0</v>
      </c>
      <c r="CB30" s="7">
        <v>0</v>
      </c>
      <c r="CC30" s="4">
        <v>0</v>
      </c>
      <c r="CD30" s="7">
        <v>0</v>
      </c>
      <c r="CE30" s="7">
        <v>0</v>
      </c>
      <c r="CF30" s="4">
        <v>0</v>
      </c>
      <c r="CG30" s="7">
        <v>0</v>
      </c>
      <c r="CH30" s="7">
        <v>0</v>
      </c>
      <c r="CI30" s="4">
        <v>0</v>
      </c>
      <c r="CJ30" s="7">
        <v>0</v>
      </c>
      <c r="CK30" s="7">
        <v>0</v>
      </c>
      <c r="CL30" s="4">
        <f t="shared" si="9"/>
        <v>0</v>
      </c>
      <c r="CM30" s="7">
        <f t="shared" si="10"/>
        <v>0</v>
      </c>
      <c r="CN30" s="7">
        <f t="shared" si="11"/>
        <v>0</v>
      </c>
      <c r="CO3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31" spans="1:101" x14ac:dyDescent="0.25">
      <c r="A31" t="s">
        <v>57</v>
      </c>
      <c r="B31" s="2" t="s">
        <v>26</v>
      </c>
      <c r="C31" s="2" t="s">
        <v>58</v>
      </c>
      <c r="D31" t="s">
        <v>36</v>
      </c>
      <c r="E31" s="2">
        <f>SUM(COUNTIF(AA[[#This Row],[Bydgoszcz_all_around]],"Yes"),COUNTIF(AA[[#This Row],[Zabrze_all_around]],"Yes"),COUNTIF(AA[[#This Row],[Cracow_all_around]],"Yes"),COUNTIF(AA[[#This Row],[Gdansk_all_Around]],"Yes"))</f>
        <v>1</v>
      </c>
      <c r="F31" s="4">
        <v>3.2</v>
      </c>
      <c r="G31" s="7">
        <v>7.3</v>
      </c>
      <c r="H31" s="7">
        <v>10.5</v>
      </c>
      <c r="I31" s="4">
        <v>2.6</v>
      </c>
      <c r="J31" s="7">
        <v>6</v>
      </c>
      <c r="K31" s="7">
        <v>8.6</v>
      </c>
      <c r="L31" s="4">
        <v>2.8</v>
      </c>
      <c r="M31" s="7">
        <v>8.1</v>
      </c>
      <c r="N31" s="7">
        <v>10.9</v>
      </c>
      <c r="O31" s="4">
        <v>1.6</v>
      </c>
      <c r="P31" s="7">
        <v>8.6999999999999993</v>
      </c>
      <c r="Q31" s="7">
        <v>10.3</v>
      </c>
      <c r="R31" s="4">
        <v>2.5</v>
      </c>
      <c r="S31" s="7">
        <v>5.7</v>
      </c>
      <c r="T31" s="7">
        <v>8.1999999999999993</v>
      </c>
      <c r="U31" s="4">
        <v>1.9</v>
      </c>
      <c r="V31" s="7">
        <v>8.1</v>
      </c>
      <c r="W31" s="7">
        <v>10</v>
      </c>
      <c r="X31" s="4">
        <f t="shared" si="0"/>
        <v>14.600000000000001</v>
      </c>
      <c r="Y31" s="7">
        <f t="shared" si="1"/>
        <v>43.9</v>
      </c>
      <c r="Z31" s="7">
        <f t="shared" si="2"/>
        <v>58.5</v>
      </c>
      <c r="AA3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1" s="4">
        <v>0</v>
      </c>
      <c r="AC31" s="7">
        <v>0</v>
      </c>
      <c r="AD31" s="7">
        <v>0</v>
      </c>
      <c r="AE31" s="4">
        <v>0</v>
      </c>
      <c r="AF31" s="7">
        <v>0</v>
      </c>
      <c r="AG31" s="7">
        <v>0</v>
      </c>
      <c r="AH31" s="4">
        <v>0</v>
      </c>
      <c r="AI31" s="7">
        <v>0</v>
      </c>
      <c r="AJ31" s="7">
        <v>0</v>
      </c>
      <c r="AK31" s="4">
        <v>0</v>
      </c>
      <c r="AL31" s="7">
        <v>0</v>
      </c>
      <c r="AM31" s="7">
        <v>0</v>
      </c>
      <c r="AN31" s="4">
        <v>0</v>
      </c>
      <c r="AO31" s="7">
        <v>0</v>
      </c>
      <c r="AP31" s="7">
        <v>0</v>
      </c>
      <c r="AQ31" s="4">
        <v>0</v>
      </c>
      <c r="AR31" s="7">
        <v>0</v>
      </c>
      <c r="AS31" s="7">
        <v>0</v>
      </c>
      <c r="AT31" s="4">
        <f t="shared" si="3"/>
        <v>0</v>
      </c>
      <c r="AU31" s="7">
        <f t="shared" si="4"/>
        <v>0</v>
      </c>
      <c r="AV31" s="7">
        <f t="shared" si="5"/>
        <v>0</v>
      </c>
      <c r="AW3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1" s="4">
        <v>0</v>
      </c>
      <c r="AY31" s="7">
        <v>0</v>
      </c>
      <c r="AZ31" s="7">
        <v>0</v>
      </c>
      <c r="BA31" s="4">
        <v>0</v>
      </c>
      <c r="BB31" s="7">
        <v>0</v>
      </c>
      <c r="BC31" s="7">
        <v>0</v>
      </c>
      <c r="BD31" s="4">
        <v>0</v>
      </c>
      <c r="BE31" s="7">
        <v>0</v>
      </c>
      <c r="BF31" s="7">
        <v>0</v>
      </c>
      <c r="BG31" s="4">
        <v>0</v>
      </c>
      <c r="BH31" s="7">
        <v>0</v>
      </c>
      <c r="BI31" s="7">
        <v>0</v>
      </c>
      <c r="BJ31" s="4">
        <v>0</v>
      </c>
      <c r="BK31" s="7">
        <v>0</v>
      </c>
      <c r="BL31" s="7">
        <v>0</v>
      </c>
      <c r="BM31" s="4">
        <v>0</v>
      </c>
      <c r="BN31" s="7">
        <v>0</v>
      </c>
      <c r="BO31" s="7">
        <v>0</v>
      </c>
      <c r="BP31" s="4">
        <f t="shared" si="6"/>
        <v>0</v>
      </c>
      <c r="BQ31" s="7">
        <f t="shared" si="7"/>
        <v>0</v>
      </c>
      <c r="BR31" s="7">
        <f t="shared" si="8"/>
        <v>0</v>
      </c>
      <c r="BS3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1" s="4">
        <v>0</v>
      </c>
      <c r="BU31" s="7">
        <v>0</v>
      </c>
      <c r="BV31" s="7">
        <v>0</v>
      </c>
      <c r="BW31" s="4">
        <v>0</v>
      </c>
      <c r="BX31" s="7">
        <v>0</v>
      </c>
      <c r="BY31" s="7">
        <v>0</v>
      </c>
      <c r="BZ31" s="4">
        <v>0</v>
      </c>
      <c r="CA31" s="7">
        <v>0</v>
      </c>
      <c r="CB31" s="7">
        <v>0</v>
      </c>
      <c r="CC31" s="4">
        <v>0</v>
      </c>
      <c r="CD31" s="7">
        <v>0</v>
      </c>
      <c r="CE31" s="7">
        <v>0</v>
      </c>
      <c r="CF31" s="4">
        <v>0</v>
      </c>
      <c r="CG31" s="7">
        <v>0</v>
      </c>
      <c r="CH31" s="7">
        <v>0</v>
      </c>
      <c r="CI31" s="4">
        <v>0</v>
      </c>
      <c r="CJ31" s="7">
        <v>0</v>
      </c>
      <c r="CK31" s="7">
        <v>0</v>
      </c>
      <c r="CL31" s="4">
        <f t="shared" si="9"/>
        <v>0</v>
      </c>
      <c r="CM31" s="7">
        <f t="shared" si="10"/>
        <v>0</v>
      </c>
      <c r="CN31" s="7">
        <f t="shared" si="11"/>
        <v>0</v>
      </c>
      <c r="CO3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32" spans="1:101" x14ac:dyDescent="0.25">
      <c r="A32" t="s">
        <v>135</v>
      </c>
      <c r="B32" s="2" t="s">
        <v>26</v>
      </c>
      <c r="C32" s="2" t="s">
        <v>136</v>
      </c>
      <c r="D32" t="s">
        <v>124</v>
      </c>
      <c r="E32" s="2">
        <f>SUM(COUNTIF(AA[[#This Row],[Bydgoszcz_all_around]],"Yes"),COUNTIF(AA[[#This Row],[Zabrze_all_around]],"Yes"),COUNTIF(AA[[#This Row],[Cracow_all_around]],"Yes"),COUNTIF(AA[[#This Row],[Gdansk_all_Around]],"Yes"))</f>
        <v>1</v>
      </c>
      <c r="F32" s="4">
        <v>2.9</v>
      </c>
      <c r="G32" s="7">
        <v>7.8</v>
      </c>
      <c r="H32" s="7">
        <v>10.7</v>
      </c>
      <c r="I32" s="4">
        <v>1.3</v>
      </c>
      <c r="J32" s="7">
        <v>0</v>
      </c>
      <c r="K32" s="7">
        <v>1.3</v>
      </c>
      <c r="L32" s="4">
        <v>2.1</v>
      </c>
      <c r="M32" s="7">
        <v>5.2</v>
      </c>
      <c r="N32" s="7">
        <v>7.3</v>
      </c>
      <c r="O32" s="4">
        <v>2.4</v>
      </c>
      <c r="P32" s="7">
        <v>7.5</v>
      </c>
      <c r="Q32" s="7">
        <v>9.9</v>
      </c>
      <c r="R32" s="4">
        <v>1.4</v>
      </c>
      <c r="S32" s="7">
        <v>1.7</v>
      </c>
      <c r="T32" s="7">
        <v>3.1</v>
      </c>
      <c r="U32" s="4">
        <v>1.5</v>
      </c>
      <c r="V32" s="7">
        <v>5</v>
      </c>
      <c r="W32" s="7">
        <v>6.5</v>
      </c>
      <c r="X32" s="4">
        <f t="shared" si="0"/>
        <v>11.600000000000001</v>
      </c>
      <c r="Y32" s="7">
        <f t="shared" si="1"/>
        <v>27.2</v>
      </c>
      <c r="Z32" s="7">
        <f t="shared" si="2"/>
        <v>38.800000000000004</v>
      </c>
      <c r="AA3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2" s="4">
        <v>0</v>
      </c>
      <c r="AC32" s="7">
        <v>0</v>
      </c>
      <c r="AD32" s="7">
        <v>0</v>
      </c>
      <c r="AE32" s="4">
        <v>0</v>
      </c>
      <c r="AF32" s="7">
        <v>0</v>
      </c>
      <c r="AG32" s="7">
        <v>0</v>
      </c>
      <c r="AH32" s="4">
        <v>0</v>
      </c>
      <c r="AI32" s="7">
        <v>0</v>
      </c>
      <c r="AJ32" s="7">
        <v>0</v>
      </c>
      <c r="AK32" s="4">
        <v>0</v>
      </c>
      <c r="AL32" s="7">
        <v>0</v>
      </c>
      <c r="AM32" s="7">
        <v>0</v>
      </c>
      <c r="AN32" s="4">
        <v>0</v>
      </c>
      <c r="AO32" s="7">
        <v>0</v>
      </c>
      <c r="AP32" s="7">
        <v>0</v>
      </c>
      <c r="AQ32" s="4">
        <v>0</v>
      </c>
      <c r="AR32" s="7">
        <v>0</v>
      </c>
      <c r="AS32" s="7">
        <v>0</v>
      </c>
      <c r="AT32" s="4">
        <f t="shared" si="3"/>
        <v>0</v>
      </c>
      <c r="AU32" s="7">
        <f t="shared" si="4"/>
        <v>0</v>
      </c>
      <c r="AV32" s="7">
        <f t="shared" si="5"/>
        <v>0</v>
      </c>
      <c r="AW3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2" s="4">
        <v>0</v>
      </c>
      <c r="AY32" s="7">
        <v>0</v>
      </c>
      <c r="AZ32" s="7">
        <v>0</v>
      </c>
      <c r="BA32" s="4">
        <v>0</v>
      </c>
      <c r="BB32" s="7">
        <v>0</v>
      </c>
      <c r="BC32" s="7">
        <v>0</v>
      </c>
      <c r="BD32" s="4">
        <v>0</v>
      </c>
      <c r="BE32" s="7">
        <v>0</v>
      </c>
      <c r="BF32" s="7">
        <v>0</v>
      </c>
      <c r="BG32" s="4">
        <v>0</v>
      </c>
      <c r="BH32" s="7">
        <v>0</v>
      </c>
      <c r="BI32" s="7">
        <v>0</v>
      </c>
      <c r="BJ32" s="4">
        <v>0</v>
      </c>
      <c r="BK32" s="7">
        <v>0</v>
      </c>
      <c r="BL32" s="7">
        <v>0</v>
      </c>
      <c r="BM32" s="4">
        <v>0</v>
      </c>
      <c r="BN32" s="7">
        <v>0</v>
      </c>
      <c r="BO32" s="7">
        <v>0</v>
      </c>
      <c r="BP32" s="4">
        <f t="shared" si="6"/>
        <v>0</v>
      </c>
      <c r="BQ32" s="7">
        <f t="shared" si="7"/>
        <v>0</v>
      </c>
      <c r="BR32" s="7">
        <f t="shared" si="8"/>
        <v>0</v>
      </c>
      <c r="BS3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2" s="4">
        <v>0</v>
      </c>
      <c r="BU32" s="7">
        <v>0</v>
      </c>
      <c r="BV32" s="7">
        <v>0</v>
      </c>
      <c r="BW32" s="4">
        <v>0</v>
      </c>
      <c r="BX32" s="7">
        <v>0</v>
      </c>
      <c r="BY32" s="7">
        <v>0</v>
      </c>
      <c r="BZ32" s="4">
        <v>0</v>
      </c>
      <c r="CA32" s="7">
        <v>0</v>
      </c>
      <c r="CB32" s="7">
        <v>0</v>
      </c>
      <c r="CC32" s="4">
        <v>0</v>
      </c>
      <c r="CD32" s="7">
        <v>0</v>
      </c>
      <c r="CE32" s="7">
        <v>0</v>
      </c>
      <c r="CF32" s="4">
        <v>0</v>
      </c>
      <c r="CG32" s="7">
        <v>0</v>
      </c>
      <c r="CH32" s="7">
        <v>0</v>
      </c>
      <c r="CI32" s="4">
        <v>0</v>
      </c>
      <c r="CJ32" s="7">
        <v>0</v>
      </c>
      <c r="CK32" s="7">
        <v>0</v>
      </c>
      <c r="CL32" s="4">
        <f t="shared" si="9"/>
        <v>0</v>
      </c>
      <c r="CM32" s="7">
        <f t="shared" si="10"/>
        <v>0</v>
      </c>
      <c r="CN32" s="7">
        <f t="shared" si="11"/>
        <v>0</v>
      </c>
      <c r="CO3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33" spans="1:99" x14ac:dyDescent="0.25">
      <c r="A33" t="s">
        <v>137</v>
      </c>
      <c r="B33" s="2" t="s">
        <v>26</v>
      </c>
      <c r="C33" s="2" t="s">
        <v>138</v>
      </c>
      <c r="D33" t="s">
        <v>124</v>
      </c>
      <c r="E33" s="2">
        <f>SUM(COUNTIF(AA[[#This Row],[Bydgoszcz_all_around]],"Yes"),COUNTIF(AA[[#This Row],[Zabrze_all_around]],"Yes"),COUNTIF(AA[[#This Row],[Cracow_all_around]],"Yes"),COUNTIF(AA[[#This Row],[Gdansk_all_Around]],"Yes"))</f>
        <v>1</v>
      </c>
      <c r="F33" s="4">
        <v>2.5</v>
      </c>
      <c r="G33" s="7">
        <v>8.3000000000000007</v>
      </c>
      <c r="H33" s="7">
        <v>10.8</v>
      </c>
      <c r="I33" s="4">
        <v>0.6</v>
      </c>
      <c r="J33" s="7">
        <v>0</v>
      </c>
      <c r="K33" s="7">
        <v>0.6</v>
      </c>
      <c r="L33" s="4">
        <v>1.5</v>
      </c>
      <c r="M33" s="7">
        <v>3.3</v>
      </c>
      <c r="N33" s="7">
        <v>4.8</v>
      </c>
      <c r="O33" s="4">
        <v>1.6</v>
      </c>
      <c r="P33" s="7">
        <v>9</v>
      </c>
      <c r="Q33" s="7">
        <v>10.6</v>
      </c>
      <c r="R33" s="4">
        <v>1.9</v>
      </c>
      <c r="S33" s="7">
        <v>2.85</v>
      </c>
      <c r="T33" s="7">
        <v>4.75</v>
      </c>
      <c r="U33" s="4">
        <v>0.1</v>
      </c>
      <c r="V33" s="7">
        <v>1</v>
      </c>
      <c r="W33" s="7">
        <v>1.1000000000000001</v>
      </c>
      <c r="X33" s="4">
        <f t="shared" si="0"/>
        <v>8.1999999999999993</v>
      </c>
      <c r="Y33" s="7">
        <f t="shared" si="1"/>
        <v>24.450000000000003</v>
      </c>
      <c r="Z33" s="7">
        <f t="shared" si="2"/>
        <v>32.65</v>
      </c>
      <c r="AA3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Yes</v>
      </c>
      <c r="AB33" s="4">
        <v>0</v>
      </c>
      <c r="AC33" s="7">
        <v>0</v>
      </c>
      <c r="AD33" s="7">
        <v>0</v>
      </c>
      <c r="AE33" s="4">
        <v>0</v>
      </c>
      <c r="AF33" s="7">
        <v>0</v>
      </c>
      <c r="AG33" s="7">
        <v>0</v>
      </c>
      <c r="AH33" s="4">
        <v>0</v>
      </c>
      <c r="AI33" s="7">
        <v>0</v>
      </c>
      <c r="AJ33" s="7">
        <v>0</v>
      </c>
      <c r="AK33" s="4">
        <v>0</v>
      </c>
      <c r="AL33" s="7">
        <v>0</v>
      </c>
      <c r="AM33" s="7">
        <v>0</v>
      </c>
      <c r="AN33" s="4">
        <v>0</v>
      </c>
      <c r="AO33" s="7">
        <v>0</v>
      </c>
      <c r="AP33" s="7">
        <v>0</v>
      </c>
      <c r="AQ33" s="4">
        <v>0</v>
      </c>
      <c r="AR33" s="7">
        <v>0</v>
      </c>
      <c r="AS33" s="7">
        <v>0</v>
      </c>
      <c r="AT33" s="4">
        <f t="shared" si="3"/>
        <v>0</v>
      </c>
      <c r="AU33" s="7">
        <f t="shared" si="4"/>
        <v>0</v>
      </c>
      <c r="AV33" s="7">
        <f t="shared" si="5"/>
        <v>0</v>
      </c>
      <c r="AW3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3" s="4">
        <v>0</v>
      </c>
      <c r="AY33" s="7">
        <v>0</v>
      </c>
      <c r="AZ33" s="7">
        <v>0</v>
      </c>
      <c r="BA33" s="4">
        <v>0</v>
      </c>
      <c r="BB33" s="7">
        <v>0</v>
      </c>
      <c r="BC33" s="7">
        <v>0</v>
      </c>
      <c r="BD33" s="4">
        <v>0</v>
      </c>
      <c r="BE33" s="7">
        <v>0</v>
      </c>
      <c r="BF33" s="7">
        <v>0</v>
      </c>
      <c r="BG33" s="4">
        <v>0</v>
      </c>
      <c r="BH33" s="7">
        <v>0</v>
      </c>
      <c r="BI33" s="7">
        <v>0</v>
      </c>
      <c r="BJ33" s="4">
        <v>0</v>
      </c>
      <c r="BK33" s="7">
        <v>0</v>
      </c>
      <c r="BL33" s="7">
        <v>0</v>
      </c>
      <c r="BM33" s="4">
        <v>0</v>
      </c>
      <c r="BN33" s="7">
        <v>0</v>
      </c>
      <c r="BO33" s="7">
        <v>0</v>
      </c>
      <c r="BP33" s="4">
        <f t="shared" si="6"/>
        <v>0</v>
      </c>
      <c r="BQ33" s="7">
        <f t="shared" si="7"/>
        <v>0</v>
      </c>
      <c r="BR33" s="7">
        <f t="shared" si="8"/>
        <v>0</v>
      </c>
      <c r="BS3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3" s="4">
        <v>0</v>
      </c>
      <c r="BU33" s="7">
        <v>0</v>
      </c>
      <c r="BV33" s="7">
        <v>0</v>
      </c>
      <c r="BW33" s="4">
        <v>0</v>
      </c>
      <c r="BX33" s="7">
        <v>0</v>
      </c>
      <c r="BY33" s="7">
        <v>0</v>
      </c>
      <c r="BZ33" s="4">
        <v>0</v>
      </c>
      <c r="CA33" s="7">
        <v>0</v>
      </c>
      <c r="CB33" s="7">
        <v>0</v>
      </c>
      <c r="CC33" s="4">
        <v>0</v>
      </c>
      <c r="CD33" s="7">
        <v>0</v>
      </c>
      <c r="CE33" s="7">
        <v>0</v>
      </c>
      <c r="CF33" s="4">
        <v>0</v>
      </c>
      <c r="CG33" s="7">
        <v>0</v>
      </c>
      <c r="CH33" s="7">
        <v>0</v>
      </c>
      <c r="CI33" s="4">
        <v>0</v>
      </c>
      <c r="CJ33" s="7">
        <v>0</v>
      </c>
      <c r="CK33" s="7">
        <v>0</v>
      </c>
      <c r="CL33" s="4">
        <f t="shared" si="9"/>
        <v>0</v>
      </c>
      <c r="CM33" s="7">
        <f t="shared" si="10"/>
        <v>0</v>
      </c>
      <c r="CN33" s="7">
        <f t="shared" si="11"/>
        <v>0</v>
      </c>
      <c r="CO3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34" spans="1:99" x14ac:dyDescent="0.25">
      <c r="A34" t="s">
        <v>86</v>
      </c>
      <c r="B34" s="2" t="s">
        <v>60</v>
      </c>
      <c r="C34" s="2" t="s">
        <v>87</v>
      </c>
      <c r="D34" t="s">
        <v>72</v>
      </c>
      <c r="E34" s="2">
        <f>SUM(COUNTIF(AA[[#This Row],[Bydgoszcz_all_around]],"Yes"),COUNTIF(AA[[#This Row],[Zabrze_all_around]],"Yes"),COUNTIF(AA[[#This Row],[Cracow_all_around]],"Yes"),COUNTIF(AA[[#This Row],[Gdansk_all_Around]],"Yes"))</f>
        <v>0</v>
      </c>
      <c r="F34" s="4">
        <v>4.2</v>
      </c>
      <c r="G34" s="7">
        <v>8.6</v>
      </c>
      <c r="H34" s="7">
        <v>12.8</v>
      </c>
      <c r="I34" s="4">
        <v>3.8</v>
      </c>
      <c r="J34" s="7">
        <v>7.1</v>
      </c>
      <c r="K34" s="7">
        <v>10.9</v>
      </c>
      <c r="L34" s="4">
        <v>3.5</v>
      </c>
      <c r="M34" s="7">
        <v>6.7</v>
      </c>
      <c r="N34" s="7">
        <v>10.199999999999999</v>
      </c>
      <c r="O34" s="4">
        <v>2.8</v>
      </c>
      <c r="P34" s="7">
        <v>9.1999999999999993</v>
      </c>
      <c r="Q34" s="7">
        <v>12</v>
      </c>
      <c r="R34" s="4">
        <v>2.6</v>
      </c>
      <c r="S34" s="7">
        <v>5.65</v>
      </c>
      <c r="T34" s="7">
        <v>8.25</v>
      </c>
      <c r="U34" s="4">
        <v>0</v>
      </c>
      <c r="V34" s="7">
        <v>0</v>
      </c>
      <c r="W34" s="7">
        <v>0</v>
      </c>
      <c r="X34" s="4">
        <f t="shared" ref="X34:X53" si="12">SUM(F34,I34,L34,O34,R34,U34)</f>
        <v>16.900000000000002</v>
      </c>
      <c r="Y34" s="7">
        <f t="shared" ref="Y34:Y53" si="13">SUM(G34,J34,M34,P34,S34,V34)</f>
        <v>37.25</v>
      </c>
      <c r="Z34" s="7">
        <f t="shared" ref="Z34:Z53" si="14">SUM(H34,K34,N34,Q34,T34,W34)</f>
        <v>54.150000000000006</v>
      </c>
      <c r="AA3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4" s="4">
        <v>3.9</v>
      </c>
      <c r="AC34" s="7">
        <v>8</v>
      </c>
      <c r="AD34" s="7">
        <v>11.9</v>
      </c>
      <c r="AE34" s="4">
        <v>4</v>
      </c>
      <c r="AF34" s="7">
        <v>7.8</v>
      </c>
      <c r="AG34" s="7">
        <v>11.8</v>
      </c>
      <c r="AH34" s="4">
        <v>2.6</v>
      </c>
      <c r="AI34" s="7">
        <v>3</v>
      </c>
      <c r="AJ34" s="7">
        <v>5.6</v>
      </c>
      <c r="AK34" s="4">
        <v>0</v>
      </c>
      <c r="AL34" s="7">
        <v>0</v>
      </c>
      <c r="AM34" s="7">
        <v>0</v>
      </c>
      <c r="AN34" s="4">
        <v>2.8</v>
      </c>
      <c r="AO34" s="7">
        <v>7.5</v>
      </c>
      <c r="AP34" s="7">
        <v>10.3</v>
      </c>
      <c r="AQ34" s="4">
        <v>0</v>
      </c>
      <c r="AR34" s="7">
        <v>0</v>
      </c>
      <c r="AS34" s="7">
        <v>0</v>
      </c>
      <c r="AT34" s="4">
        <f t="shared" ref="AT34:AT53" si="15">SUM(AB34,AE34,AH34,AK34,AN34,AQ34)</f>
        <v>13.3</v>
      </c>
      <c r="AU34" s="7">
        <f t="shared" ref="AU34:AU53" si="16">SUM(AC34,AF34,AI34,AL34,AO34,AR34)</f>
        <v>26.3</v>
      </c>
      <c r="AV34" s="7">
        <f t="shared" ref="AV34:AV53" si="17">SUM(AD34,AG34,AJ34,AM34,AP34,AS34)</f>
        <v>39.600000000000009</v>
      </c>
      <c r="AW3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4" s="4">
        <v>4.2</v>
      </c>
      <c r="AY34" s="7">
        <v>7.55</v>
      </c>
      <c r="AZ34" s="7">
        <v>11.75</v>
      </c>
      <c r="BA34" s="4">
        <v>4.2</v>
      </c>
      <c r="BB34" s="7">
        <v>8</v>
      </c>
      <c r="BC34" s="7">
        <v>12.2</v>
      </c>
      <c r="BD34" s="4">
        <v>0</v>
      </c>
      <c r="BE34" s="7">
        <v>0</v>
      </c>
      <c r="BF34" s="7">
        <v>0</v>
      </c>
      <c r="BG34" s="4">
        <v>0</v>
      </c>
      <c r="BH34" s="7">
        <v>0</v>
      </c>
      <c r="BI34" s="7">
        <v>0</v>
      </c>
      <c r="BJ34" s="4">
        <v>2.9</v>
      </c>
      <c r="BK34" s="7">
        <v>7.2</v>
      </c>
      <c r="BL34" s="7">
        <v>10.1</v>
      </c>
      <c r="BM34" s="4">
        <v>0</v>
      </c>
      <c r="BN34" s="7">
        <v>0</v>
      </c>
      <c r="BO34" s="7">
        <v>0</v>
      </c>
      <c r="BP34" s="4">
        <f t="shared" ref="BP34:BP53" si="18">SUM(AX34,BA34,BD34,BG34,BJ34,BM34)</f>
        <v>11.3</v>
      </c>
      <c r="BQ34" s="7">
        <f t="shared" ref="BQ34:BQ53" si="19">SUM(AY34,BB34,BE34,BH34,BK34,BN34)</f>
        <v>22.75</v>
      </c>
      <c r="BR34" s="7">
        <f t="shared" ref="BR34:BR53" si="20">SUM(AZ34,BC34,BF34,BI34,BL34,BO34)</f>
        <v>34.049999999999997</v>
      </c>
      <c r="BS3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4" s="4">
        <v>3.9</v>
      </c>
      <c r="BU34" s="7">
        <v>7.2</v>
      </c>
      <c r="BV34" s="7">
        <v>11.1</v>
      </c>
      <c r="BW34" s="4">
        <v>3.8</v>
      </c>
      <c r="BX34" s="7">
        <v>7.6</v>
      </c>
      <c r="BY34" s="7">
        <v>11.4</v>
      </c>
      <c r="BZ34" s="4">
        <v>2.7</v>
      </c>
      <c r="CA34" s="7">
        <v>6</v>
      </c>
      <c r="CB34" s="7">
        <v>8.6999999999999993</v>
      </c>
      <c r="CC34" s="4">
        <v>2.8</v>
      </c>
      <c r="CD34" s="7">
        <v>8.3000000000000007</v>
      </c>
      <c r="CE34" s="7">
        <v>11.1</v>
      </c>
      <c r="CF34" s="4">
        <v>2.4</v>
      </c>
      <c r="CG34" s="7">
        <v>4</v>
      </c>
      <c r="CH34" s="7">
        <v>6.4</v>
      </c>
      <c r="CI34" s="4">
        <v>0</v>
      </c>
      <c r="CJ34" s="7">
        <v>0</v>
      </c>
      <c r="CK34" s="7">
        <v>0</v>
      </c>
      <c r="CL34" s="4">
        <f t="shared" ref="CL34:CL53" si="21">SUM(BT34,BW34,BZ34,CC34,CF34,CI34)</f>
        <v>15.6</v>
      </c>
      <c r="CM34" s="7">
        <f t="shared" ref="CM34:CM53" si="22">SUM(BU34,BX34,CA34,CD34,CG34,CJ34)</f>
        <v>33.1</v>
      </c>
      <c r="CN34" s="7">
        <f t="shared" ref="CN34:CN53" si="23">SUM(BV34,BY34,CB34,CE34,CH34,CK34)</f>
        <v>48.699999999999996</v>
      </c>
      <c r="CO3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35" spans="1:99" x14ac:dyDescent="0.25">
      <c r="A35" t="s">
        <v>90</v>
      </c>
      <c r="B35" s="2" t="s">
        <v>60</v>
      </c>
      <c r="C35" s="2" t="s">
        <v>91</v>
      </c>
      <c r="D35" t="s">
        <v>36</v>
      </c>
      <c r="E35" s="2">
        <f>SUM(COUNTIF(AA[[#This Row],[Bydgoszcz_all_around]],"Yes"),COUNTIF(AA[[#This Row],[Zabrze_all_around]],"Yes"),COUNTIF(AA[[#This Row],[Cracow_all_around]],"Yes"),COUNTIF(AA[[#This Row],[Gdansk_all_Around]],"Yes"))</f>
        <v>0</v>
      </c>
      <c r="F35" s="4">
        <v>0</v>
      </c>
      <c r="G35" s="7">
        <v>0</v>
      </c>
      <c r="H35" s="7">
        <v>0</v>
      </c>
      <c r="I35" s="4">
        <v>0</v>
      </c>
      <c r="J35" s="7">
        <v>0</v>
      </c>
      <c r="K35" s="7">
        <v>0</v>
      </c>
      <c r="L35" s="4">
        <v>0</v>
      </c>
      <c r="M35" s="7">
        <v>0</v>
      </c>
      <c r="N35" s="7">
        <v>0</v>
      </c>
      <c r="O35" s="4">
        <v>0</v>
      </c>
      <c r="P35" s="7">
        <v>0</v>
      </c>
      <c r="Q35" s="7">
        <v>0</v>
      </c>
      <c r="R35" s="4">
        <v>0</v>
      </c>
      <c r="S35" s="7">
        <v>0</v>
      </c>
      <c r="T35" s="7">
        <v>0</v>
      </c>
      <c r="U35" s="4">
        <v>0</v>
      </c>
      <c r="V35" s="7">
        <v>0</v>
      </c>
      <c r="W35" s="7">
        <v>0</v>
      </c>
      <c r="X35" s="4">
        <f t="shared" si="12"/>
        <v>0</v>
      </c>
      <c r="Y35" s="7">
        <f t="shared" si="13"/>
        <v>0</v>
      </c>
      <c r="Z35" s="7">
        <f t="shared" si="14"/>
        <v>0</v>
      </c>
      <c r="AA3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5" s="4">
        <v>4</v>
      </c>
      <c r="AC35" s="7">
        <v>7.85</v>
      </c>
      <c r="AD35" s="7">
        <v>11.85</v>
      </c>
      <c r="AE35" s="4">
        <v>2.6</v>
      </c>
      <c r="AF35" s="7">
        <v>0</v>
      </c>
      <c r="AG35" s="7">
        <v>2.6</v>
      </c>
      <c r="AH35" s="4">
        <v>3.8</v>
      </c>
      <c r="AI35" s="7">
        <v>7</v>
      </c>
      <c r="AJ35" s="7">
        <v>10.8</v>
      </c>
      <c r="AK35" s="4">
        <v>4</v>
      </c>
      <c r="AL35" s="7">
        <v>8.4</v>
      </c>
      <c r="AM35" s="7">
        <v>12.4</v>
      </c>
      <c r="AN35" s="4">
        <v>0</v>
      </c>
      <c r="AO35" s="7">
        <v>0</v>
      </c>
      <c r="AP35" s="7">
        <v>0</v>
      </c>
      <c r="AQ35" s="4">
        <v>0</v>
      </c>
      <c r="AR35" s="7">
        <v>0</v>
      </c>
      <c r="AS35" s="7">
        <v>0</v>
      </c>
      <c r="AT35" s="4">
        <f t="shared" si="15"/>
        <v>14.399999999999999</v>
      </c>
      <c r="AU35" s="7">
        <f t="shared" si="16"/>
        <v>23.25</v>
      </c>
      <c r="AV35" s="7">
        <f t="shared" si="17"/>
        <v>37.65</v>
      </c>
      <c r="AW3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5" s="4">
        <v>4</v>
      </c>
      <c r="AY35" s="7">
        <v>7.9</v>
      </c>
      <c r="AZ35" s="7">
        <v>11.9</v>
      </c>
      <c r="BA35" s="4">
        <v>2.9</v>
      </c>
      <c r="BB35" s="7">
        <v>5</v>
      </c>
      <c r="BC35" s="7">
        <v>7.9</v>
      </c>
      <c r="BD35" s="4">
        <v>3</v>
      </c>
      <c r="BE35" s="7">
        <v>6.35</v>
      </c>
      <c r="BF35" s="7">
        <v>9.35</v>
      </c>
      <c r="BG35" s="4">
        <v>4</v>
      </c>
      <c r="BH35" s="7">
        <v>9.25</v>
      </c>
      <c r="BI35" s="7">
        <v>13.25</v>
      </c>
      <c r="BJ35" s="4">
        <v>2.9</v>
      </c>
      <c r="BK35" s="7">
        <v>8.5</v>
      </c>
      <c r="BL35" s="7">
        <v>11.4</v>
      </c>
      <c r="BM35" s="4">
        <v>0</v>
      </c>
      <c r="BN35" s="7">
        <v>0</v>
      </c>
      <c r="BO35" s="7">
        <v>0</v>
      </c>
      <c r="BP35" s="4">
        <f t="shared" si="18"/>
        <v>16.8</v>
      </c>
      <c r="BQ35" s="7">
        <f t="shared" si="19"/>
        <v>37</v>
      </c>
      <c r="BR35" s="7">
        <f t="shared" si="20"/>
        <v>53.8</v>
      </c>
      <c r="BS3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5" s="4">
        <v>3.6</v>
      </c>
      <c r="BU35" s="7">
        <v>5.7</v>
      </c>
      <c r="BV35" s="7">
        <v>9.3000000000000007</v>
      </c>
      <c r="BW35" s="4">
        <v>3.4</v>
      </c>
      <c r="BX35" s="7">
        <v>8.4</v>
      </c>
      <c r="BY35" s="7">
        <v>11.8</v>
      </c>
      <c r="BZ35" s="4">
        <v>0</v>
      </c>
      <c r="CA35" s="7">
        <v>0</v>
      </c>
      <c r="CB35" s="7">
        <v>0</v>
      </c>
      <c r="CC35" s="4">
        <v>4</v>
      </c>
      <c r="CD35" s="7">
        <v>8.9</v>
      </c>
      <c r="CE35" s="7">
        <v>12.9</v>
      </c>
      <c r="CF35" s="4">
        <v>0</v>
      </c>
      <c r="CG35" s="7">
        <v>0</v>
      </c>
      <c r="CH35" s="7">
        <v>0</v>
      </c>
      <c r="CI35" s="4">
        <v>0</v>
      </c>
      <c r="CJ35" s="7">
        <v>0</v>
      </c>
      <c r="CK35" s="7">
        <v>0</v>
      </c>
      <c r="CL35" s="4">
        <f t="shared" si="21"/>
        <v>11</v>
      </c>
      <c r="CM35" s="7">
        <f t="shared" si="22"/>
        <v>23</v>
      </c>
      <c r="CN35" s="7">
        <f t="shared" si="23"/>
        <v>34</v>
      </c>
      <c r="CO3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36" spans="1:99" x14ac:dyDescent="0.25">
      <c r="A36" t="s">
        <v>92</v>
      </c>
      <c r="B36" s="2" t="s">
        <v>60</v>
      </c>
      <c r="C36" s="2" t="s">
        <v>93</v>
      </c>
      <c r="D36" t="s">
        <v>39</v>
      </c>
      <c r="E36" s="2">
        <f>SUM(COUNTIF(AA[[#This Row],[Bydgoszcz_all_around]],"Yes"),COUNTIF(AA[[#This Row],[Zabrze_all_around]],"Yes"),COUNTIF(AA[[#This Row],[Cracow_all_around]],"Yes"),COUNTIF(AA[[#This Row],[Gdansk_all_Around]],"Yes"))</f>
        <v>0</v>
      </c>
      <c r="F36" s="4">
        <v>0</v>
      </c>
      <c r="G36" s="7">
        <v>0</v>
      </c>
      <c r="H36" s="7">
        <v>0</v>
      </c>
      <c r="I36" s="4">
        <v>4</v>
      </c>
      <c r="J36" s="7">
        <v>8.65</v>
      </c>
      <c r="K36" s="7">
        <v>12.65</v>
      </c>
      <c r="L36" s="4">
        <v>0</v>
      </c>
      <c r="M36" s="7">
        <v>0</v>
      </c>
      <c r="N36" s="7">
        <v>0</v>
      </c>
      <c r="O36" s="4">
        <v>0</v>
      </c>
      <c r="P36" s="7">
        <v>0</v>
      </c>
      <c r="Q36" s="7">
        <v>0</v>
      </c>
      <c r="R36" s="4">
        <v>0</v>
      </c>
      <c r="S36" s="7">
        <v>0</v>
      </c>
      <c r="T36" s="7">
        <v>0</v>
      </c>
      <c r="U36" s="4">
        <v>0</v>
      </c>
      <c r="V36" s="7">
        <v>0</v>
      </c>
      <c r="W36" s="7">
        <v>0</v>
      </c>
      <c r="X36" s="4">
        <f t="shared" si="12"/>
        <v>4</v>
      </c>
      <c r="Y36" s="7">
        <f t="shared" si="13"/>
        <v>8.65</v>
      </c>
      <c r="Z36" s="7">
        <f t="shared" si="14"/>
        <v>12.65</v>
      </c>
      <c r="AA3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6" s="4">
        <v>3.7</v>
      </c>
      <c r="AC36" s="7">
        <v>7.95</v>
      </c>
      <c r="AD36" s="7">
        <v>11.65</v>
      </c>
      <c r="AE36" s="4">
        <v>3.7</v>
      </c>
      <c r="AF36" s="7">
        <v>8.6</v>
      </c>
      <c r="AG36" s="7">
        <v>12.3</v>
      </c>
      <c r="AH36" s="4">
        <v>0</v>
      </c>
      <c r="AI36" s="7">
        <v>0</v>
      </c>
      <c r="AJ36" s="7">
        <v>0</v>
      </c>
      <c r="AK36" s="4">
        <v>4</v>
      </c>
      <c r="AL36" s="7">
        <v>8.9</v>
      </c>
      <c r="AM36" s="7">
        <v>12.9</v>
      </c>
      <c r="AN36" s="4">
        <v>0</v>
      </c>
      <c r="AO36" s="7">
        <v>0</v>
      </c>
      <c r="AP36" s="7">
        <v>0</v>
      </c>
      <c r="AQ36" s="4">
        <v>0</v>
      </c>
      <c r="AR36" s="7">
        <v>0</v>
      </c>
      <c r="AS36" s="7">
        <v>0</v>
      </c>
      <c r="AT36" s="4">
        <f t="shared" si="15"/>
        <v>11.4</v>
      </c>
      <c r="AU36" s="7">
        <f t="shared" si="16"/>
        <v>25.450000000000003</v>
      </c>
      <c r="AV36" s="7">
        <f t="shared" si="17"/>
        <v>36.85</v>
      </c>
      <c r="AW3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6" s="4">
        <v>4.0999999999999996</v>
      </c>
      <c r="AY36" s="7">
        <v>7.95</v>
      </c>
      <c r="AZ36" s="7">
        <v>12.05</v>
      </c>
      <c r="BA36" s="4">
        <v>3.7</v>
      </c>
      <c r="BB36" s="7">
        <v>8.85</v>
      </c>
      <c r="BC36" s="7">
        <v>12.55</v>
      </c>
      <c r="BD36" s="4">
        <v>0</v>
      </c>
      <c r="BE36" s="7">
        <v>0</v>
      </c>
      <c r="BF36" s="7">
        <v>0</v>
      </c>
      <c r="BG36" s="4">
        <v>4.4000000000000004</v>
      </c>
      <c r="BH36" s="7">
        <v>9.35</v>
      </c>
      <c r="BI36" s="7">
        <v>13.75</v>
      </c>
      <c r="BJ36" s="4">
        <v>0</v>
      </c>
      <c r="BK36" s="7">
        <v>0</v>
      </c>
      <c r="BL36" s="7">
        <v>0</v>
      </c>
      <c r="BM36" s="4">
        <v>0</v>
      </c>
      <c r="BN36" s="7">
        <v>0</v>
      </c>
      <c r="BO36" s="7">
        <v>0</v>
      </c>
      <c r="BP36" s="4">
        <f t="shared" si="18"/>
        <v>12.2</v>
      </c>
      <c r="BQ36" s="7">
        <f t="shared" si="19"/>
        <v>26.15</v>
      </c>
      <c r="BR36" s="7">
        <f t="shared" si="20"/>
        <v>38.35</v>
      </c>
      <c r="BS3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6" s="4">
        <v>0</v>
      </c>
      <c r="BU36" s="7">
        <v>0</v>
      </c>
      <c r="BV36" s="7">
        <v>0</v>
      </c>
      <c r="BW36" s="4">
        <v>0</v>
      </c>
      <c r="BX36" s="7">
        <v>0</v>
      </c>
      <c r="BY36" s="7">
        <v>0</v>
      </c>
      <c r="BZ36" s="4">
        <v>0</v>
      </c>
      <c r="CA36" s="7">
        <v>0</v>
      </c>
      <c r="CB36" s="7">
        <v>0</v>
      </c>
      <c r="CC36" s="4">
        <v>0</v>
      </c>
      <c r="CD36" s="7">
        <v>0</v>
      </c>
      <c r="CE36" s="7">
        <v>0</v>
      </c>
      <c r="CF36" s="4">
        <v>0</v>
      </c>
      <c r="CG36" s="7">
        <v>0</v>
      </c>
      <c r="CH36" s="7">
        <v>0</v>
      </c>
      <c r="CI36" s="4">
        <v>0</v>
      </c>
      <c r="CJ36" s="7">
        <v>0</v>
      </c>
      <c r="CK36" s="7">
        <v>0</v>
      </c>
      <c r="CL36" s="4">
        <f t="shared" si="21"/>
        <v>0</v>
      </c>
      <c r="CM36" s="7">
        <f t="shared" si="22"/>
        <v>0</v>
      </c>
      <c r="CN36" s="7">
        <f t="shared" si="23"/>
        <v>0</v>
      </c>
      <c r="CO3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37" spans="1:99" x14ac:dyDescent="0.25">
      <c r="A37" t="s">
        <v>94</v>
      </c>
      <c r="B37" s="2" t="s">
        <v>60</v>
      </c>
      <c r="C37" s="2" t="s">
        <v>95</v>
      </c>
      <c r="D37" t="s">
        <v>72</v>
      </c>
      <c r="E37" s="2">
        <f>SUM(COUNTIF(AA[[#This Row],[Bydgoszcz_all_around]],"Yes"),COUNTIF(AA[[#This Row],[Zabrze_all_around]],"Yes"),COUNTIF(AA[[#This Row],[Cracow_all_around]],"Yes"),COUNTIF(AA[[#This Row],[Gdansk_all_Around]],"Yes"))</f>
        <v>0</v>
      </c>
      <c r="F37" s="4">
        <v>0</v>
      </c>
      <c r="G37" s="7">
        <v>0</v>
      </c>
      <c r="H37" s="7">
        <v>0</v>
      </c>
      <c r="I37" s="4">
        <v>0</v>
      </c>
      <c r="J37" s="7">
        <v>0</v>
      </c>
      <c r="K37" s="7">
        <v>0</v>
      </c>
      <c r="L37" s="4">
        <v>0</v>
      </c>
      <c r="M37" s="7">
        <v>0</v>
      </c>
      <c r="N37" s="7">
        <v>0</v>
      </c>
      <c r="O37" s="4">
        <v>0</v>
      </c>
      <c r="P37" s="7">
        <v>0</v>
      </c>
      <c r="Q37" s="7">
        <v>0</v>
      </c>
      <c r="R37" s="4">
        <v>0</v>
      </c>
      <c r="S37" s="7">
        <v>0</v>
      </c>
      <c r="T37" s="7">
        <v>0</v>
      </c>
      <c r="U37" s="4">
        <v>0</v>
      </c>
      <c r="V37" s="7">
        <v>0</v>
      </c>
      <c r="W37" s="7">
        <v>0</v>
      </c>
      <c r="X37" s="4">
        <f t="shared" si="12"/>
        <v>0</v>
      </c>
      <c r="Y37" s="7">
        <f t="shared" si="13"/>
        <v>0</v>
      </c>
      <c r="Z37" s="7">
        <f t="shared" si="14"/>
        <v>0</v>
      </c>
      <c r="AA3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7" s="4">
        <v>0</v>
      </c>
      <c r="AC37" s="7">
        <v>0</v>
      </c>
      <c r="AD37" s="7">
        <v>0</v>
      </c>
      <c r="AE37" s="4">
        <v>0</v>
      </c>
      <c r="AF37" s="7">
        <v>0</v>
      </c>
      <c r="AG37" s="7">
        <v>0</v>
      </c>
      <c r="AH37" s="4">
        <v>4</v>
      </c>
      <c r="AI37" s="7">
        <v>8.4</v>
      </c>
      <c r="AJ37" s="7">
        <v>12.4</v>
      </c>
      <c r="AK37" s="4">
        <v>2.8</v>
      </c>
      <c r="AL37" s="7">
        <v>9.4</v>
      </c>
      <c r="AM37" s="7">
        <v>12.2</v>
      </c>
      <c r="AN37" s="4">
        <v>3.1</v>
      </c>
      <c r="AO37" s="7">
        <v>8.85</v>
      </c>
      <c r="AP37" s="7">
        <v>11.95</v>
      </c>
      <c r="AQ37" s="4">
        <v>0</v>
      </c>
      <c r="AR37" s="7">
        <v>0</v>
      </c>
      <c r="AS37" s="7">
        <v>0</v>
      </c>
      <c r="AT37" s="4">
        <f t="shared" si="15"/>
        <v>9.9</v>
      </c>
      <c r="AU37" s="7">
        <f t="shared" si="16"/>
        <v>26.65</v>
      </c>
      <c r="AV37" s="7">
        <f t="shared" si="17"/>
        <v>36.549999999999997</v>
      </c>
      <c r="AW3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7" s="4">
        <v>0</v>
      </c>
      <c r="AY37" s="7">
        <v>0</v>
      </c>
      <c r="AZ37" s="7">
        <v>0</v>
      </c>
      <c r="BA37" s="4">
        <v>0</v>
      </c>
      <c r="BB37" s="7">
        <v>0</v>
      </c>
      <c r="BC37" s="7">
        <v>0</v>
      </c>
      <c r="BD37" s="4">
        <v>4</v>
      </c>
      <c r="BE37" s="7">
        <v>7.65</v>
      </c>
      <c r="BF37" s="7">
        <v>11.65</v>
      </c>
      <c r="BG37" s="4">
        <v>2.8</v>
      </c>
      <c r="BH37" s="7">
        <v>9.1</v>
      </c>
      <c r="BI37" s="7">
        <v>11.9</v>
      </c>
      <c r="BJ37" s="4">
        <v>3.2</v>
      </c>
      <c r="BK37" s="7">
        <v>8.35</v>
      </c>
      <c r="BL37" s="7">
        <v>11.55</v>
      </c>
      <c r="BM37" s="4">
        <v>0</v>
      </c>
      <c r="BN37" s="7">
        <v>0</v>
      </c>
      <c r="BO37" s="7">
        <v>0</v>
      </c>
      <c r="BP37" s="4">
        <f t="shared" si="18"/>
        <v>10</v>
      </c>
      <c r="BQ37" s="7">
        <f t="shared" si="19"/>
        <v>25.1</v>
      </c>
      <c r="BR37" s="7">
        <f t="shared" si="20"/>
        <v>35.1</v>
      </c>
      <c r="BS3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7" s="4">
        <v>0</v>
      </c>
      <c r="BU37" s="7">
        <v>0</v>
      </c>
      <c r="BV37" s="7">
        <v>0</v>
      </c>
      <c r="BW37" s="4">
        <v>0</v>
      </c>
      <c r="BX37" s="7">
        <v>0</v>
      </c>
      <c r="BY37" s="7">
        <v>0</v>
      </c>
      <c r="BZ37" s="4">
        <v>4.3</v>
      </c>
      <c r="CA37" s="7">
        <v>7.2</v>
      </c>
      <c r="CB37" s="7">
        <v>11.5</v>
      </c>
      <c r="CC37" s="4">
        <v>0</v>
      </c>
      <c r="CD37" s="7">
        <v>0</v>
      </c>
      <c r="CE37" s="7">
        <v>0</v>
      </c>
      <c r="CF37" s="4">
        <v>0</v>
      </c>
      <c r="CG37" s="7">
        <v>0</v>
      </c>
      <c r="CH37" s="7">
        <v>0</v>
      </c>
      <c r="CI37" s="4">
        <v>0</v>
      </c>
      <c r="CJ37" s="7">
        <v>0</v>
      </c>
      <c r="CK37" s="7">
        <v>0</v>
      </c>
      <c r="CL37" s="4">
        <f t="shared" si="21"/>
        <v>4.3</v>
      </c>
      <c r="CM37" s="7">
        <f t="shared" si="22"/>
        <v>7.2</v>
      </c>
      <c r="CN37" s="7">
        <f t="shared" si="23"/>
        <v>11.5</v>
      </c>
      <c r="CO3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38" spans="1:99" x14ac:dyDescent="0.25">
      <c r="A38" t="s">
        <v>106</v>
      </c>
      <c r="B38" s="2" t="s">
        <v>60</v>
      </c>
      <c r="C38" s="2" t="s">
        <v>107</v>
      </c>
      <c r="D38" t="s">
        <v>31</v>
      </c>
      <c r="E38" s="2">
        <f>SUM(COUNTIF(AA[[#This Row],[Bydgoszcz_all_around]],"Yes"),COUNTIF(AA[[#This Row],[Zabrze_all_around]],"Yes"),COUNTIF(AA[[#This Row],[Cracow_all_around]],"Yes"),COUNTIF(AA[[#This Row],[Gdansk_all_Around]],"Yes"))</f>
        <v>0</v>
      </c>
      <c r="F38" s="4">
        <v>3.9</v>
      </c>
      <c r="G38" s="7">
        <v>8.4</v>
      </c>
      <c r="H38" s="7">
        <v>12.3</v>
      </c>
      <c r="I38" s="4">
        <v>2.2999999999999998</v>
      </c>
      <c r="J38" s="7">
        <v>2</v>
      </c>
      <c r="K38" s="7">
        <v>4.3</v>
      </c>
      <c r="L38" s="4">
        <v>0</v>
      </c>
      <c r="M38" s="7">
        <v>0</v>
      </c>
      <c r="N38" s="7">
        <v>0</v>
      </c>
      <c r="O38" s="4">
        <v>0</v>
      </c>
      <c r="P38" s="7">
        <v>0</v>
      </c>
      <c r="Q38" s="7">
        <v>0</v>
      </c>
      <c r="R38" s="4">
        <v>2.5</v>
      </c>
      <c r="S38" s="7">
        <v>7.45</v>
      </c>
      <c r="T38" s="7">
        <v>9.9499999999999993</v>
      </c>
      <c r="U38" s="4">
        <v>0</v>
      </c>
      <c r="V38" s="7">
        <v>0</v>
      </c>
      <c r="W38" s="7">
        <v>0</v>
      </c>
      <c r="X38" s="4">
        <f t="shared" si="12"/>
        <v>8.6999999999999993</v>
      </c>
      <c r="Y38" s="7">
        <f t="shared" si="13"/>
        <v>17.850000000000001</v>
      </c>
      <c r="Z38" s="7">
        <f t="shared" si="14"/>
        <v>26.55</v>
      </c>
      <c r="AA3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8" s="4">
        <v>4</v>
      </c>
      <c r="AC38" s="7">
        <v>6</v>
      </c>
      <c r="AD38" s="7">
        <v>10</v>
      </c>
      <c r="AE38" s="4">
        <v>0</v>
      </c>
      <c r="AF38" s="7">
        <v>0</v>
      </c>
      <c r="AG38" s="7">
        <v>0</v>
      </c>
      <c r="AH38" s="4">
        <v>0</v>
      </c>
      <c r="AI38" s="7">
        <v>0</v>
      </c>
      <c r="AJ38" s="7">
        <v>0</v>
      </c>
      <c r="AK38" s="4">
        <v>3.2</v>
      </c>
      <c r="AL38" s="7">
        <v>9.0500000000000007</v>
      </c>
      <c r="AM38" s="7">
        <v>12.25</v>
      </c>
      <c r="AN38" s="4">
        <v>0</v>
      </c>
      <c r="AO38" s="7">
        <v>0</v>
      </c>
      <c r="AP38" s="7">
        <v>0</v>
      </c>
      <c r="AQ38" s="4">
        <v>0</v>
      </c>
      <c r="AR38" s="7">
        <v>0</v>
      </c>
      <c r="AS38" s="7">
        <v>0</v>
      </c>
      <c r="AT38" s="4">
        <f t="shared" si="15"/>
        <v>7.2</v>
      </c>
      <c r="AU38" s="7">
        <f t="shared" si="16"/>
        <v>15.05</v>
      </c>
      <c r="AV38" s="7">
        <f t="shared" si="17"/>
        <v>22.25</v>
      </c>
      <c r="AW3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8" s="4">
        <v>3.8</v>
      </c>
      <c r="AY38" s="7">
        <v>7.45</v>
      </c>
      <c r="AZ38" s="7">
        <v>11.25</v>
      </c>
      <c r="BA38" s="4">
        <v>0</v>
      </c>
      <c r="BB38" s="7">
        <v>0</v>
      </c>
      <c r="BC38" s="7">
        <v>0</v>
      </c>
      <c r="BD38" s="4">
        <v>0</v>
      </c>
      <c r="BE38" s="7">
        <v>0</v>
      </c>
      <c r="BF38" s="7">
        <v>0</v>
      </c>
      <c r="BG38" s="4">
        <v>3.2</v>
      </c>
      <c r="BH38" s="7">
        <v>7.4</v>
      </c>
      <c r="BI38" s="7">
        <v>10.6</v>
      </c>
      <c r="BJ38" s="4">
        <v>0</v>
      </c>
      <c r="BK38" s="7">
        <v>0</v>
      </c>
      <c r="BL38" s="7">
        <v>0</v>
      </c>
      <c r="BM38" s="4">
        <v>0</v>
      </c>
      <c r="BN38" s="7">
        <v>0</v>
      </c>
      <c r="BO38" s="7">
        <v>0</v>
      </c>
      <c r="BP38" s="4">
        <f t="shared" si="18"/>
        <v>7</v>
      </c>
      <c r="BQ38" s="7">
        <f t="shared" si="19"/>
        <v>14.850000000000001</v>
      </c>
      <c r="BR38" s="7">
        <f t="shared" si="20"/>
        <v>21.85</v>
      </c>
      <c r="BS3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8" s="4">
        <v>0</v>
      </c>
      <c r="BU38" s="7">
        <v>0</v>
      </c>
      <c r="BV38" s="7">
        <v>0</v>
      </c>
      <c r="BW38" s="4">
        <v>0</v>
      </c>
      <c r="BX38" s="7">
        <v>0</v>
      </c>
      <c r="BY38" s="7">
        <v>0</v>
      </c>
      <c r="BZ38" s="4">
        <v>0</v>
      </c>
      <c r="CA38" s="7">
        <v>0</v>
      </c>
      <c r="CB38" s="7">
        <v>0</v>
      </c>
      <c r="CC38" s="4">
        <v>0</v>
      </c>
      <c r="CD38" s="7">
        <v>0</v>
      </c>
      <c r="CE38" s="7">
        <v>0</v>
      </c>
      <c r="CF38" s="4">
        <v>0</v>
      </c>
      <c r="CG38" s="7">
        <v>0</v>
      </c>
      <c r="CH38" s="7">
        <v>0</v>
      </c>
      <c r="CI38" s="4">
        <v>0</v>
      </c>
      <c r="CJ38" s="7">
        <v>0</v>
      </c>
      <c r="CK38" s="7">
        <v>0</v>
      </c>
      <c r="CL38" s="4">
        <f t="shared" si="21"/>
        <v>0</v>
      </c>
      <c r="CM38" s="7">
        <f t="shared" si="22"/>
        <v>0</v>
      </c>
      <c r="CN38" s="7">
        <f t="shared" si="23"/>
        <v>0</v>
      </c>
      <c r="CO3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39" spans="1:99" x14ac:dyDescent="0.25">
      <c r="A39" t="s">
        <v>98</v>
      </c>
      <c r="B39" s="2" t="s">
        <v>60</v>
      </c>
      <c r="C39" s="2" t="s">
        <v>99</v>
      </c>
      <c r="D39" t="s">
        <v>72</v>
      </c>
      <c r="E39" s="2">
        <f>SUM(COUNTIF(AA[[#This Row],[Bydgoszcz_all_around]],"Yes"),COUNTIF(AA[[#This Row],[Zabrze_all_around]],"Yes"),COUNTIF(AA[[#This Row],[Cracow_all_around]],"Yes"),COUNTIF(AA[[#This Row],[Gdansk_all_Around]],"Yes"))</f>
        <v>0</v>
      </c>
      <c r="F39" s="4">
        <v>0</v>
      </c>
      <c r="G39" s="7">
        <v>0</v>
      </c>
      <c r="H39" s="7">
        <v>0</v>
      </c>
      <c r="I39" s="4">
        <v>0</v>
      </c>
      <c r="J39" s="7">
        <v>0</v>
      </c>
      <c r="K39" s="7">
        <v>0</v>
      </c>
      <c r="L39" s="4">
        <v>0</v>
      </c>
      <c r="M39" s="7">
        <v>0</v>
      </c>
      <c r="N39" s="7">
        <v>0</v>
      </c>
      <c r="O39" s="4">
        <v>0</v>
      </c>
      <c r="P39" s="7">
        <v>0</v>
      </c>
      <c r="Q39" s="7">
        <v>0</v>
      </c>
      <c r="R39" s="4">
        <v>0</v>
      </c>
      <c r="S39" s="7">
        <v>0</v>
      </c>
      <c r="T39" s="7">
        <v>0</v>
      </c>
      <c r="U39" s="4">
        <v>0</v>
      </c>
      <c r="V39" s="7">
        <v>0</v>
      </c>
      <c r="W39" s="7">
        <v>0</v>
      </c>
      <c r="X39" s="4">
        <f t="shared" si="12"/>
        <v>0</v>
      </c>
      <c r="Y39" s="7">
        <f t="shared" si="13"/>
        <v>0</v>
      </c>
      <c r="Z39" s="7">
        <f t="shared" si="14"/>
        <v>0</v>
      </c>
      <c r="AA3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39" s="4">
        <v>0</v>
      </c>
      <c r="AC39" s="7">
        <v>0</v>
      </c>
      <c r="AD39" s="7">
        <v>0</v>
      </c>
      <c r="AE39" s="4">
        <v>3.4</v>
      </c>
      <c r="AF39" s="7">
        <v>7</v>
      </c>
      <c r="AG39" s="7">
        <v>10.4</v>
      </c>
      <c r="AH39" s="4">
        <v>2.9</v>
      </c>
      <c r="AI39" s="7">
        <v>6.7</v>
      </c>
      <c r="AJ39" s="7">
        <v>9.6</v>
      </c>
      <c r="AK39" s="4">
        <v>0</v>
      </c>
      <c r="AL39" s="7">
        <v>0</v>
      </c>
      <c r="AM39" s="7">
        <v>0</v>
      </c>
      <c r="AN39" s="4">
        <v>2.4</v>
      </c>
      <c r="AO39" s="7">
        <v>8.6</v>
      </c>
      <c r="AP39" s="7">
        <v>11</v>
      </c>
      <c r="AQ39" s="4">
        <v>0</v>
      </c>
      <c r="AR39" s="7">
        <v>0</v>
      </c>
      <c r="AS39" s="7">
        <v>0</v>
      </c>
      <c r="AT39" s="4">
        <f t="shared" si="15"/>
        <v>8.6999999999999993</v>
      </c>
      <c r="AU39" s="7">
        <f t="shared" si="16"/>
        <v>22.299999999999997</v>
      </c>
      <c r="AV39" s="7">
        <f t="shared" si="17"/>
        <v>31</v>
      </c>
      <c r="AW3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39" s="4">
        <v>0</v>
      </c>
      <c r="AY39" s="7">
        <v>0</v>
      </c>
      <c r="AZ39" s="7">
        <v>0</v>
      </c>
      <c r="BA39" s="4">
        <v>3.3</v>
      </c>
      <c r="BB39" s="7">
        <v>4.1500000000000004</v>
      </c>
      <c r="BC39" s="7">
        <v>7.45</v>
      </c>
      <c r="BD39" s="4">
        <v>2.5</v>
      </c>
      <c r="BE39" s="7">
        <v>6.55</v>
      </c>
      <c r="BF39" s="7">
        <v>9.0500000000000007</v>
      </c>
      <c r="BG39" s="4">
        <v>0</v>
      </c>
      <c r="BH39" s="7">
        <v>0</v>
      </c>
      <c r="BI39" s="7">
        <v>0</v>
      </c>
      <c r="BJ39" s="4">
        <v>2.5</v>
      </c>
      <c r="BK39" s="7">
        <v>8.6999999999999993</v>
      </c>
      <c r="BL39" s="7">
        <v>11.2</v>
      </c>
      <c r="BM39" s="4">
        <v>2.6</v>
      </c>
      <c r="BN39" s="7">
        <v>6.95</v>
      </c>
      <c r="BO39" s="7">
        <v>9.5500000000000007</v>
      </c>
      <c r="BP39" s="4">
        <f t="shared" si="18"/>
        <v>10.9</v>
      </c>
      <c r="BQ39" s="7">
        <f t="shared" si="19"/>
        <v>26.349999999999998</v>
      </c>
      <c r="BR39" s="7">
        <f t="shared" si="20"/>
        <v>37.25</v>
      </c>
      <c r="BS3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39" s="4">
        <v>0</v>
      </c>
      <c r="BU39" s="7">
        <v>0</v>
      </c>
      <c r="BV39" s="7">
        <v>0</v>
      </c>
      <c r="BW39" s="4">
        <v>0</v>
      </c>
      <c r="BX39" s="7">
        <v>0</v>
      </c>
      <c r="BY39" s="7">
        <v>0</v>
      </c>
      <c r="BZ39" s="4">
        <v>0</v>
      </c>
      <c r="CA39" s="7">
        <v>0</v>
      </c>
      <c r="CB39" s="7">
        <v>0</v>
      </c>
      <c r="CC39" s="4">
        <v>0</v>
      </c>
      <c r="CD39" s="7">
        <v>0</v>
      </c>
      <c r="CE39" s="7">
        <v>0</v>
      </c>
      <c r="CF39" s="4">
        <v>0</v>
      </c>
      <c r="CG39" s="7">
        <v>0</v>
      </c>
      <c r="CH39" s="7">
        <v>0</v>
      </c>
      <c r="CI39" s="4">
        <v>0</v>
      </c>
      <c r="CJ39" s="7">
        <v>0</v>
      </c>
      <c r="CK39" s="7">
        <v>0</v>
      </c>
      <c r="CL39" s="4">
        <f t="shared" si="21"/>
        <v>0</v>
      </c>
      <c r="CM39" s="7">
        <f t="shared" si="22"/>
        <v>0</v>
      </c>
      <c r="CN39" s="7">
        <f t="shared" si="23"/>
        <v>0</v>
      </c>
      <c r="CO3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3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3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3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3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3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3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40" spans="1:99" x14ac:dyDescent="0.25">
      <c r="A40" t="s">
        <v>96</v>
      </c>
      <c r="B40" s="2" t="s">
        <v>60</v>
      </c>
      <c r="C40" s="2" t="s">
        <v>97</v>
      </c>
      <c r="D40" t="s">
        <v>62</v>
      </c>
      <c r="E40" s="2">
        <f>SUM(COUNTIF(AA[[#This Row],[Bydgoszcz_all_around]],"Yes"),COUNTIF(AA[[#This Row],[Zabrze_all_around]],"Yes"),COUNTIF(AA[[#This Row],[Cracow_all_around]],"Yes"),COUNTIF(AA[[#This Row],[Gdansk_all_Around]],"Yes"))</f>
        <v>0</v>
      </c>
      <c r="F40" s="4">
        <v>0</v>
      </c>
      <c r="G40" s="7">
        <v>0</v>
      </c>
      <c r="H40" s="7">
        <v>0</v>
      </c>
      <c r="I40" s="4">
        <v>0</v>
      </c>
      <c r="J40" s="7">
        <v>0</v>
      </c>
      <c r="K40" s="7">
        <v>0</v>
      </c>
      <c r="L40" s="4">
        <v>0</v>
      </c>
      <c r="M40" s="7">
        <v>0</v>
      </c>
      <c r="N40" s="7">
        <v>0</v>
      </c>
      <c r="O40" s="4">
        <v>0</v>
      </c>
      <c r="P40" s="7">
        <v>0</v>
      </c>
      <c r="Q40" s="7">
        <v>0</v>
      </c>
      <c r="R40" s="4">
        <v>0</v>
      </c>
      <c r="S40" s="7">
        <v>0</v>
      </c>
      <c r="T40" s="7">
        <v>0</v>
      </c>
      <c r="U40" s="4">
        <v>0</v>
      </c>
      <c r="V40" s="7">
        <v>0</v>
      </c>
      <c r="W40" s="7">
        <v>0</v>
      </c>
      <c r="X40" s="4">
        <f t="shared" si="12"/>
        <v>0</v>
      </c>
      <c r="Y40" s="7">
        <f t="shared" si="13"/>
        <v>0</v>
      </c>
      <c r="Z40" s="7">
        <f t="shared" si="14"/>
        <v>0</v>
      </c>
      <c r="AA4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0" s="4">
        <v>0</v>
      </c>
      <c r="AC40" s="7">
        <v>0</v>
      </c>
      <c r="AD40" s="7">
        <v>0</v>
      </c>
      <c r="AE40" s="4">
        <v>4.5</v>
      </c>
      <c r="AF40" s="7">
        <v>7.3</v>
      </c>
      <c r="AG40" s="7">
        <v>11.8</v>
      </c>
      <c r="AH40" s="4">
        <v>4.5999999999999996</v>
      </c>
      <c r="AI40" s="7">
        <v>8.1</v>
      </c>
      <c r="AJ40" s="7">
        <v>12.7</v>
      </c>
      <c r="AK40" s="4">
        <v>0</v>
      </c>
      <c r="AL40" s="7">
        <v>0</v>
      </c>
      <c r="AM40" s="7">
        <v>0</v>
      </c>
      <c r="AN40" s="4">
        <v>4</v>
      </c>
      <c r="AO40" s="7">
        <v>6.6</v>
      </c>
      <c r="AP40" s="7">
        <v>10.6</v>
      </c>
      <c r="AQ40" s="4">
        <v>0</v>
      </c>
      <c r="AR40" s="7">
        <v>0</v>
      </c>
      <c r="AS40" s="7">
        <v>0</v>
      </c>
      <c r="AT40" s="4">
        <f t="shared" si="15"/>
        <v>13.1</v>
      </c>
      <c r="AU40" s="7">
        <f t="shared" si="16"/>
        <v>22</v>
      </c>
      <c r="AV40" s="7">
        <f t="shared" si="17"/>
        <v>35.1</v>
      </c>
      <c r="AW4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0" s="4">
        <v>0</v>
      </c>
      <c r="AY40" s="7">
        <v>0</v>
      </c>
      <c r="AZ40" s="7">
        <v>0</v>
      </c>
      <c r="BA40" s="4">
        <v>4.7</v>
      </c>
      <c r="BB40" s="7">
        <v>6.8</v>
      </c>
      <c r="BC40" s="7">
        <v>11.5</v>
      </c>
      <c r="BD40" s="4">
        <v>4.2</v>
      </c>
      <c r="BE40" s="7">
        <v>8.5</v>
      </c>
      <c r="BF40" s="7">
        <v>12.7</v>
      </c>
      <c r="BG40" s="4">
        <v>0</v>
      </c>
      <c r="BH40" s="7">
        <v>0</v>
      </c>
      <c r="BI40" s="7">
        <v>0</v>
      </c>
      <c r="BJ40" s="4">
        <v>3.8</v>
      </c>
      <c r="BK40" s="7">
        <v>7.2</v>
      </c>
      <c r="BL40" s="7">
        <v>11</v>
      </c>
      <c r="BM40" s="4">
        <v>0</v>
      </c>
      <c r="BN40" s="7">
        <v>0</v>
      </c>
      <c r="BO40" s="7">
        <v>0</v>
      </c>
      <c r="BP40" s="4">
        <f t="shared" si="18"/>
        <v>12.7</v>
      </c>
      <c r="BQ40" s="7">
        <f t="shared" si="19"/>
        <v>22.5</v>
      </c>
      <c r="BR40" s="7">
        <f t="shared" si="20"/>
        <v>35.200000000000003</v>
      </c>
      <c r="BS4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0" s="4">
        <v>0</v>
      </c>
      <c r="BU40" s="7">
        <v>0</v>
      </c>
      <c r="BV40" s="7">
        <v>0</v>
      </c>
      <c r="BW40" s="4">
        <v>0</v>
      </c>
      <c r="BX40" s="7">
        <v>0</v>
      </c>
      <c r="BY40" s="7">
        <v>0</v>
      </c>
      <c r="BZ40" s="4">
        <v>0</v>
      </c>
      <c r="CA40" s="7">
        <v>0</v>
      </c>
      <c r="CB40" s="7">
        <v>0</v>
      </c>
      <c r="CC40" s="4">
        <v>0</v>
      </c>
      <c r="CD40" s="7">
        <v>0</v>
      </c>
      <c r="CE40" s="7">
        <v>0</v>
      </c>
      <c r="CF40" s="4">
        <v>0</v>
      </c>
      <c r="CG40" s="7">
        <v>0</v>
      </c>
      <c r="CH40" s="7">
        <v>0</v>
      </c>
      <c r="CI40" s="4">
        <v>0</v>
      </c>
      <c r="CJ40" s="7">
        <v>0</v>
      </c>
      <c r="CK40" s="7">
        <v>0</v>
      </c>
      <c r="CL40" s="4">
        <f t="shared" si="21"/>
        <v>0</v>
      </c>
      <c r="CM40" s="7">
        <f t="shared" si="22"/>
        <v>0</v>
      </c>
      <c r="CN40" s="7">
        <f t="shared" si="23"/>
        <v>0</v>
      </c>
      <c r="CO4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41" spans="1:99" x14ac:dyDescent="0.25">
      <c r="A41" t="s">
        <v>108</v>
      </c>
      <c r="B41" s="2" t="s">
        <v>60</v>
      </c>
      <c r="C41" s="2" t="s">
        <v>109</v>
      </c>
      <c r="D41" t="s">
        <v>62</v>
      </c>
      <c r="E41" s="2">
        <f>SUM(COUNTIF(AA[[#This Row],[Bydgoszcz_all_around]],"Yes"),COUNTIF(AA[[#This Row],[Zabrze_all_around]],"Yes"),COUNTIF(AA[[#This Row],[Cracow_all_around]],"Yes"),COUNTIF(AA[[#This Row],[Gdansk_all_Around]],"Yes"))</f>
        <v>0</v>
      </c>
      <c r="F41" s="4">
        <v>0</v>
      </c>
      <c r="G41" s="7">
        <v>0</v>
      </c>
      <c r="H41" s="7">
        <v>0</v>
      </c>
      <c r="I41" s="4">
        <v>0</v>
      </c>
      <c r="J41" s="7">
        <v>0</v>
      </c>
      <c r="K41" s="7">
        <v>0</v>
      </c>
      <c r="L41" s="4">
        <v>0</v>
      </c>
      <c r="M41" s="7">
        <v>0</v>
      </c>
      <c r="N41" s="7">
        <v>0</v>
      </c>
      <c r="O41" s="4">
        <v>0</v>
      </c>
      <c r="P41" s="7">
        <v>0</v>
      </c>
      <c r="Q41" s="7">
        <v>0</v>
      </c>
      <c r="R41" s="4">
        <v>0</v>
      </c>
      <c r="S41" s="7">
        <v>0</v>
      </c>
      <c r="T41" s="7">
        <v>0</v>
      </c>
      <c r="U41" s="4">
        <v>0</v>
      </c>
      <c r="V41" s="7">
        <v>0</v>
      </c>
      <c r="W41" s="7">
        <v>0</v>
      </c>
      <c r="X41" s="4">
        <f t="shared" si="12"/>
        <v>0</v>
      </c>
      <c r="Y41" s="7">
        <f t="shared" si="13"/>
        <v>0</v>
      </c>
      <c r="Z41" s="7">
        <f t="shared" si="14"/>
        <v>0</v>
      </c>
      <c r="AA4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1" s="4">
        <v>3.3</v>
      </c>
      <c r="AC41" s="7">
        <v>8.4</v>
      </c>
      <c r="AD41" s="7">
        <v>11.7</v>
      </c>
      <c r="AE41" s="4">
        <v>0</v>
      </c>
      <c r="AF41" s="7">
        <v>0</v>
      </c>
      <c r="AG41" s="7">
        <v>0</v>
      </c>
      <c r="AH41" s="4">
        <v>2.6</v>
      </c>
      <c r="AI41" s="7">
        <v>1.7</v>
      </c>
      <c r="AJ41" s="7">
        <v>4.3</v>
      </c>
      <c r="AK41" s="4">
        <v>0</v>
      </c>
      <c r="AL41" s="7">
        <v>0</v>
      </c>
      <c r="AM41" s="7">
        <v>0</v>
      </c>
      <c r="AN41" s="4">
        <v>0</v>
      </c>
      <c r="AO41" s="7">
        <v>0</v>
      </c>
      <c r="AP41" s="7">
        <v>0</v>
      </c>
      <c r="AQ41" s="4">
        <v>0</v>
      </c>
      <c r="AR41" s="7">
        <v>0</v>
      </c>
      <c r="AS41" s="7">
        <v>0</v>
      </c>
      <c r="AT41" s="4">
        <f t="shared" si="15"/>
        <v>5.9</v>
      </c>
      <c r="AU41" s="7">
        <f t="shared" si="16"/>
        <v>10.1</v>
      </c>
      <c r="AV41" s="7">
        <f t="shared" si="17"/>
        <v>16</v>
      </c>
      <c r="AW4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1" s="4">
        <v>3.5</v>
      </c>
      <c r="AY41" s="7">
        <v>7.45</v>
      </c>
      <c r="AZ41" s="7">
        <v>10.95</v>
      </c>
      <c r="BA41" s="4">
        <v>0</v>
      </c>
      <c r="BB41" s="7">
        <v>0</v>
      </c>
      <c r="BC41" s="7">
        <v>0</v>
      </c>
      <c r="BD41" s="4">
        <v>2.9</v>
      </c>
      <c r="BE41" s="7">
        <v>5.75</v>
      </c>
      <c r="BF41" s="7">
        <v>8.65</v>
      </c>
      <c r="BG41" s="4">
        <v>0</v>
      </c>
      <c r="BH41" s="7">
        <v>0</v>
      </c>
      <c r="BI41" s="7">
        <v>0</v>
      </c>
      <c r="BJ41" s="4">
        <v>0</v>
      </c>
      <c r="BK41" s="7">
        <v>0</v>
      </c>
      <c r="BL41" s="7">
        <v>0</v>
      </c>
      <c r="BM41" s="4">
        <v>0</v>
      </c>
      <c r="BN41" s="7">
        <v>0</v>
      </c>
      <c r="BO41" s="7">
        <v>0</v>
      </c>
      <c r="BP41" s="4">
        <f t="shared" si="18"/>
        <v>6.4</v>
      </c>
      <c r="BQ41" s="7">
        <f t="shared" si="19"/>
        <v>13.2</v>
      </c>
      <c r="BR41" s="7">
        <f t="shared" si="20"/>
        <v>19.600000000000001</v>
      </c>
      <c r="BS4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1" s="4">
        <v>0</v>
      </c>
      <c r="BU41" s="7">
        <v>0</v>
      </c>
      <c r="BV41" s="7">
        <v>0</v>
      </c>
      <c r="BW41" s="4">
        <v>0</v>
      </c>
      <c r="BX41" s="7">
        <v>0</v>
      </c>
      <c r="BY41" s="7">
        <v>0</v>
      </c>
      <c r="BZ41" s="4">
        <v>0</v>
      </c>
      <c r="CA41" s="7">
        <v>0</v>
      </c>
      <c r="CB41" s="7">
        <v>0</v>
      </c>
      <c r="CC41" s="4">
        <v>0</v>
      </c>
      <c r="CD41" s="7">
        <v>0</v>
      </c>
      <c r="CE41" s="7">
        <v>0</v>
      </c>
      <c r="CF41" s="4">
        <v>0</v>
      </c>
      <c r="CG41" s="7">
        <v>0</v>
      </c>
      <c r="CH41" s="7">
        <v>0</v>
      </c>
      <c r="CI41" s="4">
        <v>0</v>
      </c>
      <c r="CJ41" s="7">
        <v>0</v>
      </c>
      <c r="CK41" s="7">
        <v>0</v>
      </c>
      <c r="CL41" s="4">
        <f t="shared" si="21"/>
        <v>0</v>
      </c>
      <c r="CM41" s="7">
        <f t="shared" si="22"/>
        <v>0</v>
      </c>
      <c r="CN41" s="7">
        <f t="shared" si="23"/>
        <v>0</v>
      </c>
      <c r="CO4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42" spans="1:99" x14ac:dyDescent="0.25">
      <c r="A42" t="s">
        <v>104</v>
      </c>
      <c r="B42" s="2" t="s">
        <v>60</v>
      </c>
      <c r="C42" s="2" t="s">
        <v>105</v>
      </c>
      <c r="D42" t="s">
        <v>28</v>
      </c>
      <c r="E42" s="2">
        <f>SUM(COUNTIF(AA[[#This Row],[Bydgoszcz_all_around]],"Yes"),COUNTIF(AA[[#This Row],[Zabrze_all_around]],"Yes"),COUNTIF(AA[[#This Row],[Cracow_all_around]],"Yes"),COUNTIF(AA[[#This Row],[Gdansk_all_Around]],"Yes"))</f>
        <v>0</v>
      </c>
      <c r="F42" s="4">
        <v>0</v>
      </c>
      <c r="G42" s="7">
        <v>0</v>
      </c>
      <c r="H42" s="7">
        <v>0</v>
      </c>
      <c r="I42" s="4">
        <v>0</v>
      </c>
      <c r="J42" s="7">
        <v>0</v>
      </c>
      <c r="K42" s="7">
        <v>0</v>
      </c>
      <c r="L42" s="4">
        <v>0</v>
      </c>
      <c r="M42" s="7">
        <v>0</v>
      </c>
      <c r="N42" s="7">
        <v>0</v>
      </c>
      <c r="O42" s="4">
        <v>0</v>
      </c>
      <c r="P42" s="7">
        <v>0</v>
      </c>
      <c r="Q42" s="7">
        <v>0</v>
      </c>
      <c r="R42" s="4">
        <v>0</v>
      </c>
      <c r="S42" s="7">
        <v>0</v>
      </c>
      <c r="T42" s="7">
        <v>0</v>
      </c>
      <c r="U42" s="4">
        <v>0</v>
      </c>
      <c r="V42" s="7">
        <v>0</v>
      </c>
      <c r="W42" s="7">
        <v>0</v>
      </c>
      <c r="X42" s="4">
        <f t="shared" si="12"/>
        <v>0</v>
      </c>
      <c r="Y42" s="7">
        <f t="shared" si="13"/>
        <v>0</v>
      </c>
      <c r="Z42" s="7">
        <f t="shared" si="14"/>
        <v>0</v>
      </c>
      <c r="AA4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2" s="4">
        <v>4.5</v>
      </c>
      <c r="AC42" s="7">
        <v>6.2</v>
      </c>
      <c r="AD42" s="7">
        <v>10.7</v>
      </c>
      <c r="AE42" s="4">
        <v>0</v>
      </c>
      <c r="AF42" s="7">
        <v>0</v>
      </c>
      <c r="AG42" s="7">
        <v>0</v>
      </c>
      <c r="AH42" s="4">
        <v>0</v>
      </c>
      <c r="AI42" s="7">
        <v>0</v>
      </c>
      <c r="AJ42" s="7">
        <v>0</v>
      </c>
      <c r="AK42" s="4">
        <v>3.2</v>
      </c>
      <c r="AL42" s="7">
        <v>8.8000000000000007</v>
      </c>
      <c r="AM42" s="7">
        <v>12</v>
      </c>
      <c r="AN42" s="4">
        <v>0</v>
      </c>
      <c r="AO42" s="7">
        <v>0</v>
      </c>
      <c r="AP42" s="7">
        <v>0</v>
      </c>
      <c r="AQ42" s="4">
        <v>0</v>
      </c>
      <c r="AR42" s="7">
        <v>0</v>
      </c>
      <c r="AS42" s="7">
        <v>0</v>
      </c>
      <c r="AT42" s="4">
        <f t="shared" si="15"/>
        <v>7.7</v>
      </c>
      <c r="AU42" s="7">
        <f t="shared" si="16"/>
        <v>15</v>
      </c>
      <c r="AV42" s="7">
        <f t="shared" si="17"/>
        <v>22.7</v>
      </c>
      <c r="AW4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2" s="4">
        <v>0</v>
      </c>
      <c r="AY42" s="7">
        <v>0</v>
      </c>
      <c r="AZ42" s="7">
        <v>0</v>
      </c>
      <c r="BA42" s="4">
        <v>0</v>
      </c>
      <c r="BB42" s="7">
        <v>0</v>
      </c>
      <c r="BC42" s="7">
        <v>0</v>
      </c>
      <c r="BD42" s="4">
        <v>0</v>
      </c>
      <c r="BE42" s="7">
        <v>0</v>
      </c>
      <c r="BF42" s="7">
        <v>0</v>
      </c>
      <c r="BG42" s="4">
        <v>0</v>
      </c>
      <c r="BH42" s="7">
        <v>0</v>
      </c>
      <c r="BI42" s="7">
        <v>0</v>
      </c>
      <c r="BJ42" s="4">
        <v>0</v>
      </c>
      <c r="BK42" s="7">
        <v>0</v>
      </c>
      <c r="BL42" s="7">
        <v>0</v>
      </c>
      <c r="BM42" s="4">
        <v>0</v>
      </c>
      <c r="BN42" s="7">
        <v>0</v>
      </c>
      <c r="BO42" s="7">
        <v>0</v>
      </c>
      <c r="BP42" s="4">
        <f t="shared" si="18"/>
        <v>0</v>
      </c>
      <c r="BQ42" s="7">
        <f t="shared" si="19"/>
        <v>0</v>
      </c>
      <c r="BR42" s="7">
        <f t="shared" si="20"/>
        <v>0</v>
      </c>
      <c r="BS4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2" s="4">
        <v>4.4000000000000004</v>
      </c>
      <c r="BU42" s="7">
        <v>4.5</v>
      </c>
      <c r="BV42" s="7">
        <v>8.9</v>
      </c>
      <c r="BW42" s="4">
        <v>0</v>
      </c>
      <c r="BX42" s="7">
        <v>0</v>
      </c>
      <c r="BY42" s="7">
        <v>0</v>
      </c>
      <c r="BZ42" s="4">
        <v>0</v>
      </c>
      <c r="CA42" s="7">
        <v>0</v>
      </c>
      <c r="CB42" s="7">
        <v>0</v>
      </c>
      <c r="CC42" s="4">
        <v>0</v>
      </c>
      <c r="CD42" s="7">
        <v>0</v>
      </c>
      <c r="CE42" s="7">
        <v>0</v>
      </c>
      <c r="CF42" s="4">
        <v>0</v>
      </c>
      <c r="CG42" s="7">
        <v>0</v>
      </c>
      <c r="CH42" s="7">
        <v>0</v>
      </c>
      <c r="CI42" s="4">
        <v>0</v>
      </c>
      <c r="CJ42" s="7">
        <v>0</v>
      </c>
      <c r="CK42" s="7">
        <v>0</v>
      </c>
      <c r="CL42" s="4">
        <f t="shared" si="21"/>
        <v>4.4000000000000004</v>
      </c>
      <c r="CM42" s="7">
        <f t="shared" si="22"/>
        <v>4.5</v>
      </c>
      <c r="CN42" s="7">
        <f t="shared" si="23"/>
        <v>8.9</v>
      </c>
      <c r="CO4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43" spans="1:99" x14ac:dyDescent="0.25">
      <c r="A43" t="s">
        <v>129</v>
      </c>
      <c r="B43" s="2" t="s">
        <v>60</v>
      </c>
      <c r="C43" s="2" t="s">
        <v>130</v>
      </c>
      <c r="D43" t="s">
        <v>72</v>
      </c>
      <c r="E43" s="2">
        <f>SUM(COUNTIF(AA[[#This Row],[Bydgoszcz_all_around]],"Yes"),COUNTIF(AA[[#This Row],[Zabrze_all_around]],"Yes"),COUNTIF(AA[[#This Row],[Cracow_all_around]],"Yes"),COUNTIF(AA[[#This Row],[Gdansk_all_Around]],"Yes"))</f>
        <v>0</v>
      </c>
      <c r="F43" s="4">
        <v>0</v>
      </c>
      <c r="G43" s="7">
        <v>0</v>
      </c>
      <c r="H43" s="7">
        <v>0</v>
      </c>
      <c r="I43" s="4">
        <v>0</v>
      </c>
      <c r="J43" s="7">
        <v>0</v>
      </c>
      <c r="K43" s="7">
        <v>0</v>
      </c>
      <c r="L43" s="4">
        <v>0</v>
      </c>
      <c r="M43" s="7">
        <v>0</v>
      </c>
      <c r="N43" s="7">
        <v>0</v>
      </c>
      <c r="O43" s="4">
        <v>0</v>
      </c>
      <c r="P43" s="7">
        <v>0</v>
      </c>
      <c r="Q43" s="7">
        <v>0</v>
      </c>
      <c r="R43" s="4">
        <v>0</v>
      </c>
      <c r="S43" s="7">
        <v>0</v>
      </c>
      <c r="T43" s="7">
        <v>0</v>
      </c>
      <c r="U43" s="4">
        <v>0</v>
      </c>
      <c r="V43" s="7">
        <v>0</v>
      </c>
      <c r="W43" s="7">
        <v>0</v>
      </c>
      <c r="X43" s="4">
        <f t="shared" si="12"/>
        <v>0</v>
      </c>
      <c r="Y43" s="7">
        <f t="shared" si="13"/>
        <v>0</v>
      </c>
      <c r="Z43" s="7">
        <f t="shared" si="14"/>
        <v>0</v>
      </c>
      <c r="AA4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3" s="4">
        <v>0</v>
      </c>
      <c r="AC43" s="7">
        <v>0</v>
      </c>
      <c r="AD43" s="7">
        <v>0</v>
      </c>
      <c r="AE43" s="4">
        <v>0</v>
      </c>
      <c r="AF43" s="7">
        <v>0</v>
      </c>
      <c r="AG43" s="7">
        <v>0</v>
      </c>
      <c r="AH43" s="4">
        <v>0</v>
      </c>
      <c r="AI43" s="7">
        <v>0</v>
      </c>
      <c r="AJ43" s="7">
        <v>0</v>
      </c>
      <c r="AK43" s="4">
        <v>0</v>
      </c>
      <c r="AL43" s="7">
        <v>0</v>
      </c>
      <c r="AM43" s="7">
        <v>0</v>
      </c>
      <c r="AN43" s="4">
        <v>0</v>
      </c>
      <c r="AO43" s="7">
        <v>0</v>
      </c>
      <c r="AP43" s="7">
        <v>0</v>
      </c>
      <c r="AQ43" s="4">
        <v>0</v>
      </c>
      <c r="AR43" s="7">
        <v>0</v>
      </c>
      <c r="AS43" s="7">
        <v>0</v>
      </c>
      <c r="AT43" s="4">
        <f t="shared" si="15"/>
        <v>0</v>
      </c>
      <c r="AU43" s="7">
        <f t="shared" si="16"/>
        <v>0</v>
      </c>
      <c r="AV43" s="7">
        <f t="shared" si="17"/>
        <v>0</v>
      </c>
      <c r="AW4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3" s="4">
        <v>4.4000000000000004</v>
      </c>
      <c r="AY43" s="7">
        <v>7.05</v>
      </c>
      <c r="AZ43" s="7">
        <v>11.45</v>
      </c>
      <c r="BA43" s="4">
        <v>0</v>
      </c>
      <c r="BB43" s="7">
        <v>0</v>
      </c>
      <c r="BC43" s="7">
        <v>0</v>
      </c>
      <c r="BD43" s="4">
        <v>0</v>
      </c>
      <c r="BE43" s="7">
        <v>0</v>
      </c>
      <c r="BF43" s="7">
        <v>0</v>
      </c>
      <c r="BG43" s="4">
        <v>2.8</v>
      </c>
      <c r="BH43" s="7">
        <v>8.5500000000000007</v>
      </c>
      <c r="BI43" s="7">
        <v>11.35</v>
      </c>
      <c r="BJ43" s="4">
        <v>2.7</v>
      </c>
      <c r="BK43" s="7">
        <v>8.5500000000000007</v>
      </c>
      <c r="BL43" s="7">
        <v>11.25</v>
      </c>
      <c r="BM43" s="4">
        <v>0</v>
      </c>
      <c r="BN43" s="7">
        <v>0</v>
      </c>
      <c r="BO43" s="7">
        <v>0</v>
      </c>
      <c r="BP43" s="4">
        <f t="shared" si="18"/>
        <v>9.9</v>
      </c>
      <c r="BQ43" s="7">
        <f t="shared" si="19"/>
        <v>24.150000000000002</v>
      </c>
      <c r="BR43" s="7">
        <f t="shared" si="20"/>
        <v>34.049999999999997</v>
      </c>
      <c r="BS4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3" s="4">
        <v>0</v>
      </c>
      <c r="BU43" s="7">
        <v>0</v>
      </c>
      <c r="BV43" s="7">
        <v>0</v>
      </c>
      <c r="BW43" s="4">
        <v>0</v>
      </c>
      <c r="BX43" s="7">
        <v>0</v>
      </c>
      <c r="BY43" s="7">
        <v>0</v>
      </c>
      <c r="BZ43" s="4">
        <v>0</v>
      </c>
      <c r="CA43" s="7">
        <v>0</v>
      </c>
      <c r="CB43" s="7">
        <v>0</v>
      </c>
      <c r="CC43" s="4">
        <v>0</v>
      </c>
      <c r="CD43" s="7">
        <v>0</v>
      </c>
      <c r="CE43" s="7">
        <v>0</v>
      </c>
      <c r="CF43" s="4">
        <v>0</v>
      </c>
      <c r="CG43" s="7">
        <v>0</v>
      </c>
      <c r="CH43" s="7">
        <v>0</v>
      </c>
      <c r="CI43" s="4">
        <v>0</v>
      </c>
      <c r="CJ43" s="7">
        <v>0</v>
      </c>
      <c r="CK43" s="7">
        <v>0</v>
      </c>
      <c r="CL43" s="4">
        <f t="shared" si="21"/>
        <v>0</v>
      </c>
      <c r="CM43" s="7">
        <f t="shared" si="22"/>
        <v>0</v>
      </c>
      <c r="CN43" s="7">
        <f t="shared" si="23"/>
        <v>0</v>
      </c>
      <c r="CO4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44" spans="1:99" x14ac:dyDescent="0.25">
      <c r="A44" t="s">
        <v>110</v>
      </c>
      <c r="B44" s="2" t="s">
        <v>60</v>
      </c>
      <c r="C44" s="2" t="s">
        <v>111</v>
      </c>
      <c r="D44" t="s">
        <v>36</v>
      </c>
      <c r="E44" s="2">
        <f>SUM(COUNTIF(AA[[#This Row],[Bydgoszcz_all_around]],"Yes"),COUNTIF(AA[[#This Row],[Zabrze_all_around]],"Yes"),COUNTIF(AA[[#This Row],[Cracow_all_around]],"Yes"),COUNTIF(AA[[#This Row],[Gdansk_all_Around]],"Yes"))</f>
        <v>0</v>
      </c>
      <c r="F44" s="4">
        <v>0</v>
      </c>
      <c r="G44" s="7">
        <v>0</v>
      </c>
      <c r="H44" s="7">
        <v>0</v>
      </c>
      <c r="I44" s="4">
        <v>0</v>
      </c>
      <c r="J44" s="7">
        <v>0</v>
      </c>
      <c r="K44" s="7">
        <v>0</v>
      </c>
      <c r="L44" s="4">
        <v>0</v>
      </c>
      <c r="M44" s="7">
        <v>0</v>
      </c>
      <c r="N44" s="7">
        <v>0</v>
      </c>
      <c r="O44" s="4">
        <v>0</v>
      </c>
      <c r="P44" s="7">
        <v>0</v>
      </c>
      <c r="Q44" s="7">
        <v>0</v>
      </c>
      <c r="R44" s="4">
        <v>0</v>
      </c>
      <c r="S44" s="7">
        <v>0</v>
      </c>
      <c r="T44" s="7">
        <v>0</v>
      </c>
      <c r="U44" s="4">
        <v>0</v>
      </c>
      <c r="V44" s="7">
        <v>0</v>
      </c>
      <c r="W44" s="7">
        <v>0</v>
      </c>
      <c r="X44" s="4">
        <f t="shared" si="12"/>
        <v>0</v>
      </c>
      <c r="Y44" s="7">
        <f t="shared" si="13"/>
        <v>0</v>
      </c>
      <c r="Z44" s="7">
        <f t="shared" si="14"/>
        <v>0</v>
      </c>
      <c r="AA44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4" s="4">
        <v>0</v>
      </c>
      <c r="AC44" s="7">
        <v>0</v>
      </c>
      <c r="AD44" s="7">
        <v>0</v>
      </c>
      <c r="AE44" s="4">
        <v>3.1</v>
      </c>
      <c r="AF44" s="7">
        <v>6</v>
      </c>
      <c r="AG44" s="7">
        <v>9.1</v>
      </c>
      <c r="AH44" s="4">
        <v>0</v>
      </c>
      <c r="AI44" s="7">
        <v>0</v>
      </c>
      <c r="AJ44" s="7">
        <v>0</v>
      </c>
      <c r="AK44" s="4">
        <v>0</v>
      </c>
      <c r="AL44" s="7">
        <v>0</v>
      </c>
      <c r="AM44" s="7">
        <v>0</v>
      </c>
      <c r="AN44" s="4">
        <v>0</v>
      </c>
      <c r="AO44" s="7">
        <v>0</v>
      </c>
      <c r="AP44" s="7">
        <v>0</v>
      </c>
      <c r="AQ44" s="4">
        <v>0</v>
      </c>
      <c r="AR44" s="7">
        <v>0</v>
      </c>
      <c r="AS44" s="7">
        <v>0</v>
      </c>
      <c r="AT44" s="4">
        <f t="shared" si="15"/>
        <v>3.1</v>
      </c>
      <c r="AU44" s="7">
        <f t="shared" si="16"/>
        <v>6</v>
      </c>
      <c r="AV44" s="7">
        <f t="shared" si="17"/>
        <v>9.1</v>
      </c>
      <c r="AW44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4" s="4">
        <v>0</v>
      </c>
      <c r="AY44" s="7">
        <v>0</v>
      </c>
      <c r="AZ44" s="7">
        <v>0</v>
      </c>
      <c r="BA44" s="4">
        <v>3.5</v>
      </c>
      <c r="BB44" s="7">
        <v>5.6</v>
      </c>
      <c r="BC44" s="7">
        <v>9.1</v>
      </c>
      <c r="BD44" s="4">
        <v>0</v>
      </c>
      <c r="BE44" s="7">
        <v>0</v>
      </c>
      <c r="BF44" s="7">
        <v>0</v>
      </c>
      <c r="BG44" s="4">
        <v>0</v>
      </c>
      <c r="BH44" s="7">
        <v>0</v>
      </c>
      <c r="BI44" s="7">
        <v>0</v>
      </c>
      <c r="BJ44" s="4">
        <v>0</v>
      </c>
      <c r="BK44" s="7">
        <v>0</v>
      </c>
      <c r="BL44" s="7">
        <v>0</v>
      </c>
      <c r="BM44" s="4">
        <v>0</v>
      </c>
      <c r="BN44" s="7">
        <v>0</v>
      </c>
      <c r="BO44" s="7">
        <v>0</v>
      </c>
      <c r="BP44" s="4">
        <f t="shared" si="18"/>
        <v>3.5</v>
      </c>
      <c r="BQ44" s="7">
        <f t="shared" si="19"/>
        <v>5.6</v>
      </c>
      <c r="BR44" s="7">
        <f t="shared" si="20"/>
        <v>9.1</v>
      </c>
      <c r="BS44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4" s="4">
        <v>0</v>
      </c>
      <c r="BU44" s="7">
        <v>0</v>
      </c>
      <c r="BV44" s="7">
        <v>0</v>
      </c>
      <c r="BW44" s="4">
        <v>0</v>
      </c>
      <c r="BX44" s="7">
        <v>0</v>
      </c>
      <c r="BY44" s="7">
        <v>0</v>
      </c>
      <c r="BZ44" s="4">
        <v>0</v>
      </c>
      <c r="CA44" s="7">
        <v>0</v>
      </c>
      <c r="CB44" s="7">
        <v>0</v>
      </c>
      <c r="CC44" s="4">
        <v>0</v>
      </c>
      <c r="CD44" s="7">
        <v>0</v>
      </c>
      <c r="CE44" s="7">
        <v>0</v>
      </c>
      <c r="CF44" s="4">
        <v>0</v>
      </c>
      <c r="CG44" s="7">
        <v>0</v>
      </c>
      <c r="CH44" s="7">
        <v>0</v>
      </c>
      <c r="CI44" s="4">
        <v>0</v>
      </c>
      <c r="CJ44" s="7">
        <v>0</v>
      </c>
      <c r="CK44" s="7">
        <v>0</v>
      </c>
      <c r="CL44" s="4">
        <f t="shared" si="21"/>
        <v>0</v>
      </c>
      <c r="CM44" s="7">
        <f t="shared" si="22"/>
        <v>0</v>
      </c>
      <c r="CN44" s="7">
        <f t="shared" si="23"/>
        <v>0</v>
      </c>
      <c r="CO44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4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4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4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45" spans="1:99" x14ac:dyDescent="0.25">
      <c r="A45" t="s">
        <v>102</v>
      </c>
      <c r="B45" s="2" t="s">
        <v>60</v>
      </c>
      <c r="C45" s="2" t="s">
        <v>103</v>
      </c>
      <c r="D45" t="s">
        <v>31</v>
      </c>
      <c r="E45" s="2">
        <f>SUM(COUNTIF(AA[[#This Row],[Bydgoszcz_all_around]],"Yes"),COUNTIF(AA[[#This Row],[Zabrze_all_around]],"Yes"),COUNTIF(AA[[#This Row],[Cracow_all_around]],"Yes"),COUNTIF(AA[[#This Row],[Gdansk_all_Around]],"Yes"))</f>
        <v>0</v>
      </c>
      <c r="F45" s="4">
        <v>0</v>
      </c>
      <c r="G45" s="7">
        <v>0</v>
      </c>
      <c r="H45" s="7">
        <v>0</v>
      </c>
      <c r="I45" s="4">
        <v>0</v>
      </c>
      <c r="J45" s="7">
        <v>0</v>
      </c>
      <c r="K45" s="7">
        <v>0</v>
      </c>
      <c r="L45" s="4">
        <v>0</v>
      </c>
      <c r="M45" s="7">
        <v>0</v>
      </c>
      <c r="N45" s="7">
        <v>0</v>
      </c>
      <c r="O45" s="4">
        <v>0</v>
      </c>
      <c r="P45" s="7">
        <v>0</v>
      </c>
      <c r="Q45" s="7">
        <v>0</v>
      </c>
      <c r="R45" s="4">
        <v>0</v>
      </c>
      <c r="S45" s="7">
        <v>0</v>
      </c>
      <c r="T45" s="7">
        <v>0</v>
      </c>
      <c r="U45" s="4">
        <v>0</v>
      </c>
      <c r="V45" s="7">
        <v>0</v>
      </c>
      <c r="W45" s="7">
        <v>0</v>
      </c>
      <c r="X45" s="4">
        <f t="shared" si="12"/>
        <v>0</v>
      </c>
      <c r="Y45" s="7">
        <f t="shared" si="13"/>
        <v>0</v>
      </c>
      <c r="Z45" s="7">
        <f t="shared" si="14"/>
        <v>0</v>
      </c>
      <c r="AA45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5" s="4">
        <v>0</v>
      </c>
      <c r="AC45" s="7">
        <v>0</v>
      </c>
      <c r="AD45" s="7">
        <v>0</v>
      </c>
      <c r="AE45" s="4">
        <v>0</v>
      </c>
      <c r="AF45" s="7">
        <v>0</v>
      </c>
      <c r="AG45" s="7">
        <v>0</v>
      </c>
      <c r="AH45" s="4">
        <v>3.2</v>
      </c>
      <c r="AI45" s="7">
        <v>6.9</v>
      </c>
      <c r="AJ45" s="7">
        <v>10.1</v>
      </c>
      <c r="AK45" s="4">
        <v>4</v>
      </c>
      <c r="AL45" s="7">
        <v>8.85</v>
      </c>
      <c r="AM45" s="7">
        <v>12.85</v>
      </c>
      <c r="AN45" s="4">
        <v>0</v>
      </c>
      <c r="AO45" s="7">
        <v>0</v>
      </c>
      <c r="AP45" s="7">
        <v>0</v>
      </c>
      <c r="AQ45" s="4">
        <v>0</v>
      </c>
      <c r="AR45" s="7">
        <v>0</v>
      </c>
      <c r="AS45" s="7">
        <v>0</v>
      </c>
      <c r="AT45" s="4">
        <f t="shared" si="15"/>
        <v>7.2</v>
      </c>
      <c r="AU45" s="7">
        <f t="shared" si="16"/>
        <v>15.75</v>
      </c>
      <c r="AV45" s="7">
        <f t="shared" si="17"/>
        <v>22.95</v>
      </c>
      <c r="AW45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5" s="4">
        <v>0</v>
      </c>
      <c r="AY45" s="7">
        <v>0</v>
      </c>
      <c r="AZ45" s="7">
        <v>0</v>
      </c>
      <c r="BA45" s="4">
        <v>0</v>
      </c>
      <c r="BB45" s="7">
        <v>0</v>
      </c>
      <c r="BC45" s="7">
        <v>0</v>
      </c>
      <c r="BD45" s="4">
        <v>0</v>
      </c>
      <c r="BE45" s="7">
        <v>0</v>
      </c>
      <c r="BF45" s="7">
        <v>0</v>
      </c>
      <c r="BG45" s="4">
        <v>0</v>
      </c>
      <c r="BH45" s="7">
        <v>0</v>
      </c>
      <c r="BI45" s="7">
        <v>0</v>
      </c>
      <c r="BJ45" s="4">
        <v>0</v>
      </c>
      <c r="BK45" s="7">
        <v>0</v>
      </c>
      <c r="BL45" s="7">
        <v>0</v>
      </c>
      <c r="BM45" s="4">
        <v>0</v>
      </c>
      <c r="BN45" s="7">
        <v>0</v>
      </c>
      <c r="BO45" s="7">
        <v>0</v>
      </c>
      <c r="BP45" s="4">
        <f t="shared" si="18"/>
        <v>0</v>
      </c>
      <c r="BQ45" s="7">
        <f t="shared" si="19"/>
        <v>0</v>
      </c>
      <c r="BR45" s="7">
        <f t="shared" si="20"/>
        <v>0</v>
      </c>
      <c r="BS45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5" s="4">
        <v>0</v>
      </c>
      <c r="BU45" s="7">
        <v>0</v>
      </c>
      <c r="BV45" s="7">
        <v>0</v>
      </c>
      <c r="BW45" s="4">
        <v>0</v>
      </c>
      <c r="BX45" s="7">
        <v>0</v>
      </c>
      <c r="BY45" s="7">
        <v>0</v>
      </c>
      <c r="BZ45" s="4">
        <v>0</v>
      </c>
      <c r="CA45" s="7">
        <v>0</v>
      </c>
      <c r="CB45" s="7">
        <v>0</v>
      </c>
      <c r="CC45" s="4">
        <v>0</v>
      </c>
      <c r="CD45" s="7">
        <v>0</v>
      </c>
      <c r="CE45" s="7">
        <v>0</v>
      </c>
      <c r="CF45" s="4">
        <v>0</v>
      </c>
      <c r="CG45" s="7">
        <v>0</v>
      </c>
      <c r="CH45" s="7">
        <v>0</v>
      </c>
      <c r="CI45" s="4">
        <v>0</v>
      </c>
      <c r="CJ45" s="7">
        <v>0</v>
      </c>
      <c r="CK45" s="7">
        <v>0</v>
      </c>
      <c r="CL45" s="4">
        <f t="shared" si="21"/>
        <v>0</v>
      </c>
      <c r="CM45" s="7">
        <f t="shared" si="22"/>
        <v>0</v>
      </c>
      <c r="CN45" s="7">
        <f t="shared" si="23"/>
        <v>0</v>
      </c>
      <c r="CO45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5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5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5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46" spans="1:99" x14ac:dyDescent="0.25">
      <c r="A46" t="s">
        <v>114</v>
      </c>
      <c r="B46" s="2" t="s">
        <v>26</v>
      </c>
      <c r="C46" s="2" t="s">
        <v>115</v>
      </c>
      <c r="D46" t="s">
        <v>36</v>
      </c>
      <c r="E46" s="2">
        <f>SUM(COUNTIF(AA[[#This Row],[Bydgoszcz_all_around]],"Yes"),COUNTIF(AA[[#This Row],[Zabrze_all_around]],"Yes"),COUNTIF(AA[[#This Row],[Cracow_all_around]],"Yes"),COUNTIF(AA[[#This Row],[Gdansk_all_Around]],"Yes"))</f>
        <v>0</v>
      </c>
      <c r="F46" s="4">
        <v>0</v>
      </c>
      <c r="G46" s="7">
        <v>0</v>
      </c>
      <c r="H46" s="7">
        <v>0</v>
      </c>
      <c r="I46" s="4">
        <v>2.6</v>
      </c>
      <c r="J46" s="7">
        <v>4.9000000000000004</v>
      </c>
      <c r="K46" s="7">
        <v>7.5</v>
      </c>
      <c r="L46" s="4">
        <v>0</v>
      </c>
      <c r="M46" s="7">
        <v>0</v>
      </c>
      <c r="N46" s="7">
        <v>0</v>
      </c>
      <c r="O46" s="4">
        <v>2.4</v>
      </c>
      <c r="P46" s="7">
        <v>8.8000000000000007</v>
      </c>
      <c r="Q46" s="7">
        <v>11.2</v>
      </c>
      <c r="R46" s="4">
        <v>2.4</v>
      </c>
      <c r="S46" s="7">
        <v>8.1</v>
      </c>
      <c r="T46" s="7">
        <v>10.5</v>
      </c>
      <c r="U46" s="4">
        <v>1.8</v>
      </c>
      <c r="V46" s="7">
        <v>8</v>
      </c>
      <c r="W46" s="7">
        <v>9.8000000000000007</v>
      </c>
      <c r="X46" s="4">
        <f t="shared" si="12"/>
        <v>9.2000000000000011</v>
      </c>
      <c r="Y46" s="7">
        <f t="shared" si="13"/>
        <v>29.8</v>
      </c>
      <c r="Z46" s="7">
        <f t="shared" si="14"/>
        <v>39</v>
      </c>
      <c r="AA46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6" s="4">
        <v>0</v>
      </c>
      <c r="AC46" s="7">
        <v>0</v>
      </c>
      <c r="AD46" s="7">
        <v>0</v>
      </c>
      <c r="AE46" s="4">
        <v>0</v>
      </c>
      <c r="AF46" s="7">
        <v>0</v>
      </c>
      <c r="AG46" s="7">
        <v>0</v>
      </c>
      <c r="AH46" s="4">
        <v>0</v>
      </c>
      <c r="AI46" s="7">
        <v>0</v>
      </c>
      <c r="AJ46" s="7">
        <v>0</v>
      </c>
      <c r="AK46" s="4">
        <v>0</v>
      </c>
      <c r="AL46" s="7">
        <v>0</v>
      </c>
      <c r="AM46" s="7">
        <v>0</v>
      </c>
      <c r="AN46" s="4">
        <v>0</v>
      </c>
      <c r="AO46" s="7">
        <v>0</v>
      </c>
      <c r="AP46" s="7">
        <v>0</v>
      </c>
      <c r="AQ46" s="4">
        <v>0</v>
      </c>
      <c r="AR46" s="7">
        <v>0</v>
      </c>
      <c r="AS46" s="7">
        <v>0</v>
      </c>
      <c r="AT46" s="4">
        <f t="shared" si="15"/>
        <v>0</v>
      </c>
      <c r="AU46" s="7">
        <f t="shared" si="16"/>
        <v>0</v>
      </c>
      <c r="AV46" s="7">
        <f t="shared" si="17"/>
        <v>0</v>
      </c>
      <c r="AW46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6" s="4">
        <v>0</v>
      </c>
      <c r="AY46" s="7">
        <v>0</v>
      </c>
      <c r="AZ46" s="7">
        <v>0</v>
      </c>
      <c r="BA46" s="4">
        <v>2.6</v>
      </c>
      <c r="BB46" s="7">
        <v>7.65</v>
      </c>
      <c r="BC46" s="7">
        <v>10.25</v>
      </c>
      <c r="BD46" s="4">
        <v>1.7</v>
      </c>
      <c r="BE46" s="7">
        <v>7.85</v>
      </c>
      <c r="BF46" s="7">
        <v>9.5500000000000007</v>
      </c>
      <c r="BG46" s="4">
        <v>1.6</v>
      </c>
      <c r="BH46" s="7">
        <v>8.8000000000000007</v>
      </c>
      <c r="BI46" s="7">
        <v>10.4</v>
      </c>
      <c r="BJ46" s="4">
        <v>2.4</v>
      </c>
      <c r="BK46" s="7">
        <v>8</v>
      </c>
      <c r="BL46" s="7">
        <v>10.4</v>
      </c>
      <c r="BM46" s="4">
        <v>1.8</v>
      </c>
      <c r="BN46" s="7">
        <v>8.8000000000000007</v>
      </c>
      <c r="BO46" s="7">
        <v>10.6</v>
      </c>
      <c r="BP46" s="4">
        <f t="shared" si="18"/>
        <v>10.100000000000001</v>
      </c>
      <c r="BQ46" s="7">
        <f t="shared" si="19"/>
        <v>41.099999999999994</v>
      </c>
      <c r="BR46" s="7">
        <f t="shared" si="20"/>
        <v>51.2</v>
      </c>
      <c r="BS46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6" s="4">
        <v>3.4</v>
      </c>
      <c r="BU46" s="7">
        <v>7.1</v>
      </c>
      <c r="BV46" s="7">
        <v>10.5</v>
      </c>
      <c r="BW46" s="4">
        <v>2.6</v>
      </c>
      <c r="BX46" s="7">
        <v>6.5</v>
      </c>
      <c r="BY46" s="7">
        <v>9.1</v>
      </c>
      <c r="BZ46" s="4">
        <v>0</v>
      </c>
      <c r="CA46" s="7">
        <v>0</v>
      </c>
      <c r="CB46" s="7">
        <v>0</v>
      </c>
      <c r="CC46" s="4">
        <v>1.6</v>
      </c>
      <c r="CD46" s="7">
        <v>8.8000000000000007</v>
      </c>
      <c r="CE46" s="7">
        <v>10.4</v>
      </c>
      <c r="CF46" s="4">
        <v>2.4</v>
      </c>
      <c r="CG46" s="7">
        <v>8.8000000000000007</v>
      </c>
      <c r="CH46" s="7">
        <v>11.2</v>
      </c>
      <c r="CI46" s="4">
        <v>1.8</v>
      </c>
      <c r="CJ46" s="7">
        <v>7.8</v>
      </c>
      <c r="CK46" s="7">
        <v>9.6</v>
      </c>
      <c r="CL46" s="4">
        <f t="shared" si="21"/>
        <v>11.8</v>
      </c>
      <c r="CM46" s="7">
        <f t="shared" si="22"/>
        <v>39</v>
      </c>
      <c r="CN46" s="7">
        <f t="shared" si="23"/>
        <v>50.800000000000004</v>
      </c>
      <c r="CO46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6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6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6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47" spans="1:99" x14ac:dyDescent="0.25">
      <c r="A47" t="s">
        <v>52</v>
      </c>
      <c r="B47" s="2" t="s">
        <v>26</v>
      </c>
      <c r="C47" s="2" t="s">
        <v>53</v>
      </c>
      <c r="D47" t="s">
        <v>36</v>
      </c>
      <c r="E47" s="2">
        <f>SUM(COUNTIF(AA[[#This Row],[Bydgoszcz_all_around]],"Yes"),COUNTIF(AA[[#This Row],[Zabrze_all_around]],"Yes"),COUNTIF(AA[[#This Row],[Cracow_all_around]],"Yes"),COUNTIF(AA[[#This Row],[Gdansk_all_Around]],"Yes"))</f>
        <v>0</v>
      </c>
      <c r="F47" s="4">
        <v>0</v>
      </c>
      <c r="G47" s="7">
        <v>0</v>
      </c>
      <c r="H47" s="7">
        <v>0</v>
      </c>
      <c r="I47" s="4">
        <v>2.1</v>
      </c>
      <c r="J47" s="7">
        <v>4.5</v>
      </c>
      <c r="K47" s="7">
        <v>6.6</v>
      </c>
      <c r="L47" s="4">
        <v>0</v>
      </c>
      <c r="M47" s="7">
        <v>0</v>
      </c>
      <c r="N47" s="7">
        <v>0</v>
      </c>
      <c r="O47" s="4">
        <v>2.4</v>
      </c>
      <c r="P47" s="7">
        <v>7.7</v>
      </c>
      <c r="Q47" s="7">
        <v>10.1</v>
      </c>
      <c r="R47" s="4">
        <v>3.1</v>
      </c>
      <c r="S47" s="7">
        <v>8.75</v>
      </c>
      <c r="T47" s="7">
        <v>11.85</v>
      </c>
      <c r="U47" s="4">
        <v>0</v>
      </c>
      <c r="V47" s="7">
        <v>0</v>
      </c>
      <c r="W47" s="7">
        <v>0</v>
      </c>
      <c r="X47" s="4">
        <f t="shared" si="12"/>
        <v>7.6</v>
      </c>
      <c r="Y47" s="7">
        <f t="shared" si="13"/>
        <v>20.95</v>
      </c>
      <c r="Z47" s="7">
        <f t="shared" si="14"/>
        <v>28.549999999999997</v>
      </c>
      <c r="AA47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7" s="4">
        <v>0</v>
      </c>
      <c r="AC47" s="7">
        <v>0</v>
      </c>
      <c r="AD47" s="7">
        <v>0</v>
      </c>
      <c r="AE47" s="4">
        <v>2.2000000000000002</v>
      </c>
      <c r="AF47" s="7">
        <v>6.5</v>
      </c>
      <c r="AG47" s="7">
        <v>8.6999999999999993</v>
      </c>
      <c r="AH47" s="4">
        <v>0</v>
      </c>
      <c r="AI47" s="7">
        <v>0</v>
      </c>
      <c r="AJ47" s="7">
        <v>0</v>
      </c>
      <c r="AK47" s="4">
        <v>0</v>
      </c>
      <c r="AL47" s="7">
        <v>0</v>
      </c>
      <c r="AM47" s="7">
        <v>0</v>
      </c>
      <c r="AN47" s="4">
        <v>3.1</v>
      </c>
      <c r="AO47" s="7">
        <v>8</v>
      </c>
      <c r="AP47" s="7">
        <v>11.1</v>
      </c>
      <c r="AQ47" s="4">
        <v>0</v>
      </c>
      <c r="AR47" s="7">
        <v>0</v>
      </c>
      <c r="AS47" s="7">
        <v>0</v>
      </c>
      <c r="AT47" s="4">
        <f t="shared" si="15"/>
        <v>5.3000000000000007</v>
      </c>
      <c r="AU47" s="7">
        <f t="shared" si="16"/>
        <v>14.5</v>
      </c>
      <c r="AV47" s="7">
        <f t="shared" si="17"/>
        <v>19.799999999999997</v>
      </c>
      <c r="AW47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7" s="4">
        <v>0</v>
      </c>
      <c r="AY47" s="7">
        <v>0</v>
      </c>
      <c r="AZ47" s="7">
        <v>0</v>
      </c>
      <c r="BA47" s="4">
        <v>2.2000000000000002</v>
      </c>
      <c r="BB47" s="7">
        <v>6.2</v>
      </c>
      <c r="BC47" s="7">
        <v>8.4</v>
      </c>
      <c r="BD47" s="4">
        <v>0</v>
      </c>
      <c r="BE47" s="7">
        <v>0</v>
      </c>
      <c r="BF47" s="7">
        <v>0</v>
      </c>
      <c r="BG47" s="4">
        <v>1.6</v>
      </c>
      <c r="BH47" s="7">
        <v>9.4499999999999993</v>
      </c>
      <c r="BI47" s="7">
        <v>11.05</v>
      </c>
      <c r="BJ47" s="4">
        <v>2.4</v>
      </c>
      <c r="BK47" s="7">
        <v>9.1</v>
      </c>
      <c r="BL47" s="7">
        <v>11.5</v>
      </c>
      <c r="BM47" s="4">
        <v>0</v>
      </c>
      <c r="BN47" s="7">
        <v>0</v>
      </c>
      <c r="BO47" s="7">
        <v>0</v>
      </c>
      <c r="BP47" s="4">
        <f t="shared" si="18"/>
        <v>6.2</v>
      </c>
      <c r="BQ47" s="7">
        <f t="shared" si="19"/>
        <v>24.75</v>
      </c>
      <c r="BR47" s="7">
        <f t="shared" si="20"/>
        <v>30.950000000000003</v>
      </c>
      <c r="BS47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7" s="4">
        <v>3.2</v>
      </c>
      <c r="BU47" s="7">
        <v>6.9</v>
      </c>
      <c r="BV47" s="7">
        <v>10.1</v>
      </c>
      <c r="BW47" s="4">
        <v>2</v>
      </c>
      <c r="BX47" s="7">
        <v>3.5</v>
      </c>
      <c r="BY47" s="7">
        <v>5.5</v>
      </c>
      <c r="BZ47" s="4">
        <v>0</v>
      </c>
      <c r="CA47" s="7">
        <v>0</v>
      </c>
      <c r="CB47" s="7">
        <v>0</v>
      </c>
      <c r="CC47" s="4">
        <v>2.4</v>
      </c>
      <c r="CD47" s="7">
        <v>8.1999999999999993</v>
      </c>
      <c r="CE47" s="7">
        <v>10.6</v>
      </c>
      <c r="CF47" s="4">
        <v>2.4</v>
      </c>
      <c r="CG47" s="7">
        <v>8.5</v>
      </c>
      <c r="CH47" s="7">
        <v>10.9</v>
      </c>
      <c r="CI47" s="4">
        <v>0</v>
      </c>
      <c r="CJ47" s="7">
        <v>0</v>
      </c>
      <c r="CK47" s="7">
        <v>0</v>
      </c>
      <c r="CL47" s="4">
        <f t="shared" si="21"/>
        <v>10</v>
      </c>
      <c r="CM47" s="7">
        <f t="shared" si="22"/>
        <v>27.1</v>
      </c>
      <c r="CN47" s="7">
        <f t="shared" si="23"/>
        <v>37.1</v>
      </c>
      <c r="CO47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7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7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7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48" spans="1:99" x14ac:dyDescent="0.25">
      <c r="A48" t="s">
        <v>120</v>
      </c>
      <c r="B48" s="2" t="s">
        <v>26</v>
      </c>
      <c r="C48" s="2" t="s">
        <v>121</v>
      </c>
      <c r="D48" t="s">
        <v>39</v>
      </c>
      <c r="E48" s="2">
        <f>SUM(COUNTIF(AA[[#This Row],[Bydgoszcz_all_around]],"Yes"),COUNTIF(AA[[#This Row],[Zabrze_all_around]],"Yes"),COUNTIF(AA[[#This Row],[Cracow_all_around]],"Yes"),COUNTIF(AA[[#This Row],[Gdansk_all_Around]],"Yes"))</f>
        <v>0</v>
      </c>
      <c r="F48" s="4">
        <v>3</v>
      </c>
      <c r="G48" s="7">
        <v>8.3000000000000007</v>
      </c>
      <c r="H48" s="7">
        <v>11.3</v>
      </c>
      <c r="I48" s="4">
        <v>2.6</v>
      </c>
      <c r="J48" s="7">
        <v>4.4000000000000004</v>
      </c>
      <c r="K48" s="7">
        <v>7</v>
      </c>
      <c r="L48" s="4">
        <v>2.9</v>
      </c>
      <c r="M48" s="7">
        <v>6.7</v>
      </c>
      <c r="N48" s="7">
        <v>9.6</v>
      </c>
      <c r="O48" s="4">
        <v>3.2</v>
      </c>
      <c r="P48" s="7">
        <v>9</v>
      </c>
      <c r="Q48" s="7">
        <v>12.2</v>
      </c>
      <c r="R48" s="4">
        <v>3.1</v>
      </c>
      <c r="S48" s="7">
        <v>7.45</v>
      </c>
      <c r="T48" s="7">
        <v>10.55</v>
      </c>
      <c r="U48" s="4">
        <v>0</v>
      </c>
      <c r="V48" s="7">
        <v>0</v>
      </c>
      <c r="W48" s="7">
        <v>0</v>
      </c>
      <c r="X48" s="4">
        <f t="shared" si="12"/>
        <v>14.799999999999999</v>
      </c>
      <c r="Y48" s="7">
        <f t="shared" si="13"/>
        <v>35.85</v>
      </c>
      <c r="Z48" s="7">
        <f t="shared" si="14"/>
        <v>50.649999999999991</v>
      </c>
      <c r="AA48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8" s="4">
        <v>0</v>
      </c>
      <c r="AC48" s="7">
        <v>0</v>
      </c>
      <c r="AD48" s="7">
        <v>0</v>
      </c>
      <c r="AE48" s="4">
        <v>0</v>
      </c>
      <c r="AF48" s="7">
        <v>0</v>
      </c>
      <c r="AG48" s="7">
        <v>0</v>
      </c>
      <c r="AH48" s="4">
        <v>0</v>
      </c>
      <c r="AI48" s="7">
        <v>0</v>
      </c>
      <c r="AJ48" s="7">
        <v>0</v>
      </c>
      <c r="AK48" s="4">
        <v>0</v>
      </c>
      <c r="AL48" s="7">
        <v>0</v>
      </c>
      <c r="AM48" s="7">
        <v>0</v>
      </c>
      <c r="AN48" s="4">
        <v>0</v>
      </c>
      <c r="AO48" s="7">
        <v>0</v>
      </c>
      <c r="AP48" s="7">
        <v>0</v>
      </c>
      <c r="AQ48" s="4">
        <v>0</v>
      </c>
      <c r="AR48" s="7">
        <v>0</v>
      </c>
      <c r="AS48" s="7">
        <v>0</v>
      </c>
      <c r="AT48" s="4">
        <f t="shared" si="15"/>
        <v>0</v>
      </c>
      <c r="AU48" s="7">
        <f t="shared" si="16"/>
        <v>0</v>
      </c>
      <c r="AV48" s="7">
        <f t="shared" si="17"/>
        <v>0</v>
      </c>
      <c r="AW48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8" s="4">
        <v>2.6</v>
      </c>
      <c r="AY48" s="7">
        <v>7.8</v>
      </c>
      <c r="AZ48" s="7">
        <v>10.4</v>
      </c>
      <c r="BA48" s="4">
        <v>2.4</v>
      </c>
      <c r="BB48" s="7">
        <v>5.7</v>
      </c>
      <c r="BC48" s="7">
        <v>8.1</v>
      </c>
      <c r="BD48" s="4">
        <v>1.8</v>
      </c>
      <c r="BE48" s="7">
        <v>6.8</v>
      </c>
      <c r="BF48" s="7">
        <v>8.6</v>
      </c>
      <c r="BG48" s="4">
        <v>2.4</v>
      </c>
      <c r="BH48" s="7">
        <v>7.8</v>
      </c>
      <c r="BI48" s="7">
        <v>10.199999999999999</v>
      </c>
      <c r="BJ48" s="4">
        <v>2.2999999999999998</v>
      </c>
      <c r="BK48" s="7">
        <v>7.45</v>
      </c>
      <c r="BL48" s="7">
        <v>9.75</v>
      </c>
      <c r="BM48" s="4">
        <v>0</v>
      </c>
      <c r="BN48" s="7">
        <v>0</v>
      </c>
      <c r="BO48" s="7">
        <v>0</v>
      </c>
      <c r="BP48" s="4">
        <f t="shared" si="18"/>
        <v>11.5</v>
      </c>
      <c r="BQ48" s="7">
        <f t="shared" si="19"/>
        <v>35.550000000000004</v>
      </c>
      <c r="BR48" s="7">
        <f t="shared" si="20"/>
        <v>47.05</v>
      </c>
      <c r="BS48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8" s="4">
        <v>0</v>
      </c>
      <c r="BU48" s="7">
        <v>0</v>
      </c>
      <c r="BV48" s="7">
        <v>0</v>
      </c>
      <c r="BW48" s="4">
        <v>0</v>
      </c>
      <c r="BX48" s="7">
        <v>0</v>
      </c>
      <c r="BY48" s="7">
        <v>0</v>
      </c>
      <c r="BZ48" s="4">
        <v>0</v>
      </c>
      <c r="CA48" s="7">
        <v>0</v>
      </c>
      <c r="CB48" s="7">
        <v>0</v>
      </c>
      <c r="CC48" s="4">
        <v>0</v>
      </c>
      <c r="CD48" s="7">
        <v>0</v>
      </c>
      <c r="CE48" s="7">
        <v>0</v>
      </c>
      <c r="CF48" s="4">
        <v>0</v>
      </c>
      <c r="CG48" s="7">
        <v>0</v>
      </c>
      <c r="CH48" s="7">
        <v>0</v>
      </c>
      <c r="CI48" s="4">
        <v>0</v>
      </c>
      <c r="CJ48" s="7">
        <v>0</v>
      </c>
      <c r="CK48" s="7">
        <v>0</v>
      </c>
      <c r="CL48" s="4">
        <f t="shared" si="21"/>
        <v>0</v>
      </c>
      <c r="CM48" s="7">
        <f t="shared" si="22"/>
        <v>0</v>
      </c>
      <c r="CN48" s="7">
        <f t="shared" si="23"/>
        <v>0</v>
      </c>
      <c r="CO48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8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8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8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49" spans="1:99" x14ac:dyDescent="0.25">
      <c r="A49" t="s">
        <v>50</v>
      </c>
      <c r="B49" s="2" t="s">
        <v>26</v>
      </c>
      <c r="C49" s="2" t="s">
        <v>51</v>
      </c>
      <c r="D49" t="s">
        <v>36</v>
      </c>
      <c r="E49" s="2">
        <f>SUM(COUNTIF(AA[[#This Row],[Bydgoszcz_all_around]],"Yes"),COUNTIF(AA[[#This Row],[Zabrze_all_around]],"Yes"),COUNTIF(AA[[#This Row],[Cracow_all_around]],"Yes"),COUNTIF(AA[[#This Row],[Gdansk_all_Around]],"Yes"))</f>
        <v>0</v>
      </c>
      <c r="F49" s="4">
        <v>0</v>
      </c>
      <c r="G49" s="7">
        <v>0</v>
      </c>
      <c r="H49" s="7">
        <v>0</v>
      </c>
      <c r="I49" s="4">
        <v>0</v>
      </c>
      <c r="J49" s="7">
        <v>0</v>
      </c>
      <c r="K49" s="7">
        <v>0</v>
      </c>
      <c r="L49" s="4">
        <v>0</v>
      </c>
      <c r="M49" s="7">
        <v>0</v>
      </c>
      <c r="N49" s="7">
        <v>0</v>
      </c>
      <c r="O49" s="4">
        <v>0</v>
      </c>
      <c r="P49" s="7">
        <v>0</v>
      </c>
      <c r="Q49" s="7">
        <v>0</v>
      </c>
      <c r="R49" s="4">
        <v>0</v>
      </c>
      <c r="S49" s="7">
        <v>0</v>
      </c>
      <c r="T49" s="7">
        <v>0</v>
      </c>
      <c r="U49" s="4">
        <v>0</v>
      </c>
      <c r="V49" s="7">
        <v>0</v>
      </c>
      <c r="W49" s="7">
        <v>0</v>
      </c>
      <c r="X49" s="4">
        <f t="shared" si="12"/>
        <v>0</v>
      </c>
      <c r="Y49" s="7">
        <f t="shared" si="13"/>
        <v>0</v>
      </c>
      <c r="Z49" s="7">
        <f t="shared" si="14"/>
        <v>0</v>
      </c>
      <c r="AA49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49" s="4">
        <v>3.7</v>
      </c>
      <c r="AC49" s="7">
        <v>8.3000000000000007</v>
      </c>
      <c r="AD49" s="7">
        <v>12</v>
      </c>
      <c r="AE49" s="4">
        <v>0</v>
      </c>
      <c r="AF49" s="7">
        <v>0</v>
      </c>
      <c r="AG49" s="7">
        <v>0</v>
      </c>
      <c r="AH49" s="4">
        <v>3.7</v>
      </c>
      <c r="AI49" s="7">
        <v>8.1</v>
      </c>
      <c r="AJ49" s="7">
        <v>11.8</v>
      </c>
      <c r="AK49" s="4">
        <v>0</v>
      </c>
      <c r="AL49" s="7">
        <v>0</v>
      </c>
      <c r="AM49" s="7">
        <v>0</v>
      </c>
      <c r="AN49" s="4">
        <v>0</v>
      </c>
      <c r="AO49" s="7">
        <v>0</v>
      </c>
      <c r="AP49" s="7">
        <v>0</v>
      </c>
      <c r="AQ49" s="4">
        <v>2.7</v>
      </c>
      <c r="AR49" s="7">
        <v>8</v>
      </c>
      <c r="AS49" s="7">
        <v>10.7</v>
      </c>
      <c r="AT49" s="4">
        <f t="shared" si="15"/>
        <v>10.100000000000001</v>
      </c>
      <c r="AU49" s="7">
        <f t="shared" si="16"/>
        <v>24.4</v>
      </c>
      <c r="AV49" s="7">
        <f t="shared" si="17"/>
        <v>34.5</v>
      </c>
      <c r="AW49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49" s="4">
        <v>3.9</v>
      </c>
      <c r="AY49" s="7">
        <v>7.35</v>
      </c>
      <c r="AZ49" s="7">
        <v>11.25</v>
      </c>
      <c r="BA49" s="4">
        <v>0</v>
      </c>
      <c r="BB49" s="7">
        <v>0</v>
      </c>
      <c r="BC49" s="7">
        <v>0</v>
      </c>
      <c r="BD49" s="4">
        <v>3.7</v>
      </c>
      <c r="BE49" s="7">
        <v>7.8</v>
      </c>
      <c r="BF49" s="7">
        <v>11.5</v>
      </c>
      <c r="BG49" s="4">
        <v>0</v>
      </c>
      <c r="BH49" s="7">
        <v>0</v>
      </c>
      <c r="BI49" s="7">
        <v>0</v>
      </c>
      <c r="BJ49" s="4">
        <v>0</v>
      </c>
      <c r="BK49" s="7">
        <v>0</v>
      </c>
      <c r="BL49" s="7">
        <v>0</v>
      </c>
      <c r="BM49" s="4">
        <v>2.7</v>
      </c>
      <c r="BN49" s="7">
        <v>9.1</v>
      </c>
      <c r="BO49" s="7">
        <v>11.8</v>
      </c>
      <c r="BP49" s="4">
        <f t="shared" si="18"/>
        <v>10.3</v>
      </c>
      <c r="BQ49" s="7">
        <f t="shared" si="19"/>
        <v>24.25</v>
      </c>
      <c r="BR49" s="7">
        <f t="shared" si="20"/>
        <v>34.549999999999997</v>
      </c>
      <c r="BS49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49" s="4">
        <v>0</v>
      </c>
      <c r="BU49" s="7">
        <v>0</v>
      </c>
      <c r="BV49" s="7">
        <v>0</v>
      </c>
      <c r="BW49" s="4">
        <v>0</v>
      </c>
      <c r="BX49" s="7">
        <v>0</v>
      </c>
      <c r="BY49" s="7">
        <v>0</v>
      </c>
      <c r="BZ49" s="4">
        <v>0</v>
      </c>
      <c r="CA49" s="7">
        <v>0</v>
      </c>
      <c r="CB49" s="7">
        <v>0</v>
      </c>
      <c r="CC49" s="4">
        <v>0</v>
      </c>
      <c r="CD49" s="7">
        <v>0</v>
      </c>
      <c r="CE49" s="7">
        <v>0</v>
      </c>
      <c r="CF49" s="4">
        <v>0</v>
      </c>
      <c r="CG49" s="7">
        <v>0</v>
      </c>
      <c r="CH49" s="7">
        <v>0</v>
      </c>
      <c r="CI49" s="4">
        <v>0</v>
      </c>
      <c r="CJ49" s="7">
        <v>0</v>
      </c>
      <c r="CK49" s="7">
        <v>0</v>
      </c>
      <c r="CL49" s="4">
        <f t="shared" si="21"/>
        <v>0</v>
      </c>
      <c r="CM49" s="7">
        <f t="shared" si="22"/>
        <v>0</v>
      </c>
      <c r="CN49" s="7">
        <f t="shared" si="23"/>
        <v>0</v>
      </c>
      <c r="CO49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4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4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4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49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49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49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50" spans="1:99" x14ac:dyDescent="0.25">
      <c r="A50" t="s">
        <v>139</v>
      </c>
      <c r="B50" s="2" t="s">
        <v>26</v>
      </c>
      <c r="C50" s="2" t="s">
        <v>140</v>
      </c>
      <c r="D50" t="s">
        <v>124</v>
      </c>
      <c r="E50" s="2">
        <f>SUM(COUNTIF(AA[[#This Row],[Bydgoszcz_all_around]],"Yes"),COUNTIF(AA[[#This Row],[Zabrze_all_around]],"Yes"),COUNTIF(AA[[#This Row],[Cracow_all_around]],"Yes"),COUNTIF(AA[[#This Row],[Gdansk_all_Around]],"Yes"))</f>
        <v>0</v>
      </c>
      <c r="F50" s="4">
        <v>3</v>
      </c>
      <c r="G50" s="7">
        <v>8.1999999999999993</v>
      </c>
      <c r="H50" s="7">
        <v>11.2</v>
      </c>
      <c r="I50" s="4">
        <v>1.5</v>
      </c>
      <c r="J50" s="7">
        <v>0</v>
      </c>
      <c r="K50" s="7">
        <v>1.5</v>
      </c>
      <c r="L50" s="4">
        <v>2.1</v>
      </c>
      <c r="M50" s="7">
        <v>6.5</v>
      </c>
      <c r="N50" s="7">
        <v>8.6</v>
      </c>
      <c r="O50" s="4">
        <v>0</v>
      </c>
      <c r="P50" s="7">
        <v>0</v>
      </c>
      <c r="Q50" s="7">
        <v>0</v>
      </c>
      <c r="R50" s="4">
        <v>2</v>
      </c>
      <c r="S50" s="7">
        <v>3.45</v>
      </c>
      <c r="T50" s="7">
        <v>5.45</v>
      </c>
      <c r="U50" s="4">
        <v>1</v>
      </c>
      <c r="V50" s="7">
        <v>3.1</v>
      </c>
      <c r="W50" s="7">
        <v>4.0999999999999996</v>
      </c>
      <c r="X50" s="4">
        <f t="shared" si="12"/>
        <v>9.6</v>
      </c>
      <c r="Y50" s="7">
        <f t="shared" si="13"/>
        <v>21.25</v>
      </c>
      <c r="Z50" s="7">
        <f t="shared" si="14"/>
        <v>30.849999999999994</v>
      </c>
      <c r="AA50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0" s="4">
        <v>0</v>
      </c>
      <c r="AC50" s="7">
        <v>0</v>
      </c>
      <c r="AD50" s="7">
        <v>0</v>
      </c>
      <c r="AE50" s="4">
        <v>0</v>
      </c>
      <c r="AF50" s="7">
        <v>0</v>
      </c>
      <c r="AG50" s="7">
        <v>0</v>
      </c>
      <c r="AH50" s="4">
        <v>0</v>
      </c>
      <c r="AI50" s="7">
        <v>0</v>
      </c>
      <c r="AJ50" s="7">
        <v>0</v>
      </c>
      <c r="AK50" s="4">
        <v>0</v>
      </c>
      <c r="AL50" s="7">
        <v>0</v>
      </c>
      <c r="AM50" s="7">
        <v>0</v>
      </c>
      <c r="AN50" s="4">
        <v>0</v>
      </c>
      <c r="AO50" s="7">
        <v>0</v>
      </c>
      <c r="AP50" s="7">
        <v>0</v>
      </c>
      <c r="AQ50" s="4">
        <v>0</v>
      </c>
      <c r="AR50" s="7">
        <v>0</v>
      </c>
      <c r="AS50" s="7">
        <v>0</v>
      </c>
      <c r="AT50" s="4">
        <f t="shared" si="15"/>
        <v>0</v>
      </c>
      <c r="AU50" s="7">
        <f t="shared" si="16"/>
        <v>0</v>
      </c>
      <c r="AV50" s="7">
        <f t="shared" si="17"/>
        <v>0</v>
      </c>
      <c r="AW50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0" s="4">
        <v>0</v>
      </c>
      <c r="AY50" s="7">
        <v>0</v>
      </c>
      <c r="AZ50" s="7">
        <v>0</v>
      </c>
      <c r="BA50" s="4">
        <v>0</v>
      </c>
      <c r="BB50" s="7">
        <v>0</v>
      </c>
      <c r="BC50" s="7">
        <v>0</v>
      </c>
      <c r="BD50" s="4">
        <v>0</v>
      </c>
      <c r="BE50" s="7">
        <v>0</v>
      </c>
      <c r="BF50" s="7">
        <v>0</v>
      </c>
      <c r="BG50" s="4">
        <v>0</v>
      </c>
      <c r="BH50" s="7">
        <v>0</v>
      </c>
      <c r="BI50" s="7">
        <v>0</v>
      </c>
      <c r="BJ50" s="4">
        <v>0</v>
      </c>
      <c r="BK50" s="7">
        <v>0</v>
      </c>
      <c r="BL50" s="7">
        <v>0</v>
      </c>
      <c r="BM50" s="4">
        <v>0</v>
      </c>
      <c r="BN50" s="7">
        <v>0</v>
      </c>
      <c r="BO50" s="7">
        <v>0</v>
      </c>
      <c r="BP50" s="4">
        <f t="shared" si="18"/>
        <v>0</v>
      </c>
      <c r="BQ50" s="7">
        <f t="shared" si="19"/>
        <v>0</v>
      </c>
      <c r="BR50" s="7">
        <f t="shared" si="20"/>
        <v>0</v>
      </c>
      <c r="BS50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0" s="4">
        <v>0</v>
      </c>
      <c r="BU50" s="7">
        <v>0</v>
      </c>
      <c r="BV50" s="7">
        <v>0</v>
      </c>
      <c r="BW50" s="4">
        <v>0</v>
      </c>
      <c r="BX50" s="7">
        <v>0</v>
      </c>
      <c r="BY50" s="7">
        <v>0</v>
      </c>
      <c r="BZ50" s="4">
        <v>0</v>
      </c>
      <c r="CA50" s="7">
        <v>0</v>
      </c>
      <c r="CB50" s="7">
        <v>0</v>
      </c>
      <c r="CC50" s="4">
        <v>0</v>
      </c>
      <c r="CD50" s="7">
        <v>0</v>
      </c>
      <c r="CE50" s="7">
        <v>0</v>
      </c>
      <c r="CF50" s="4">
        <v>0</v>
      </c>
      <c r="CG50" s="7">
        <v>0</v>
      </c>
      <c r="CH50" s="7">
        <v>0</v>
      </c>
      <c r="CI50" s="4">
        <v>0</v>
      </c>
      <c r="CJ50" s="7">
        <v>0</v>
      </c>
      <c r="CK50" s="7">
        <v>0</v>
      </c>
      <c r="CL50" s="4">
        <f t="shared" si="21"/>
        <v>0</v>
      </c>
      <c r="CM50" s="7">
        <f t="shared" si="22"/>
        <v>0</v>
      </c>
      <c r="CN50" s="7">
        <f t="shared" si="23"/>
        <v>0</v>
      </c>
      <c r="CO50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0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0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0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51" spans="1:99" x14ac:dyDescent="0.25">
      <c r="A51" t="s">
        <v>122</v>
      </c>
      <c r="B51" s="2" t="s">
        <v>26</v>
      </c>
      <c r="C51" s="2" t="s">
        <v>123</v>
      </c>
      <c r="D51" t="s">
        <v>124</v>
      </c>
      <c r="E51" s="2">
        <f>SUM(COUNTIF(AA[[#This Row],[Bydgoszcz_all_around]],"Yes"),COUNTIF(AA[[#This Row],[Zabrze_all_around]],"Yes"),COUNTIF(AA[[#This Row],[Cracow_all_around]],"Yes"),COUNTIF(AA[[#This Row],[Gdansk_all_Around]],"Yes"))</f>
        <v>0</v>
      </c>
      <c r="F51" s="4">
        <v>0</v>
      </c>
      <c r="G51" s="7">
        <v>0</v>
      </c>
      <c r="H51" s="7">
        <v>0</v>
      </c>
      <c r="I51" s="4">
        <v>0</v>
      </c>
      <c r="J51" s="7">
        <v>0</v>
      </c>
      <c r="K51" s="7">
        <v>0</v>
      </c>
      <c r="L51" s="4">
        <v>0</v>
      </c>
      <c r="M51" s="7">
        <v>0</v>
      </c>
      <c r="N51" s="7">
        <v>0</v>
      </c>
      <c r="O51" s="4">
        <v>0</v>
      </c>
      <c r="P51" s="7">
        <v>0</v>
      </c>
      <c r="Q51" s="7">
        <v>0</v>
      </c>
      <c r="R51" s="4">
        <v>0</v>
      </c>
      <c r="S51" s="7">
        <v>0</v>
      </c>
      <c r="T51" s="7">
        <v>0</v>
      </c>
      <c r="U51" s="4">
        <v>0</v>
      </c>
      <c r="V51" s="7">
        <v>0</v>
      </c>
      <c r="W51" s="7">
        <v>0</v>
      </c>
      <c r="X51" s="4">
        <f t="shared" si="12"/>
        <v>0</v>
      </c>
      <c r="Y51" s="7">
        <f t="shared" si="13"/>
        <v>0</v>
      </c>
      <c r="Z51" s="7">
        <f t="shared" si="14"/>
        <v>0</v>
      </c>
      <c r="AA51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1" s="4">
        <v>0</v>
      </c>
      <c r="AC51" s="7">
        <v>0</v>
      </c>
      <c r="AD51" s="7">
        <v>0</v>
      </c>
      <c r="AE51" s="4">
        <v>0</v>
      </c>
      <c r="AF51" s="7">
        <v>0</v>
      </c>
      <c r="AG51" s="7">
        <v>0</v>
      </c>
      <c r="AH51" s="4">
        <v>0</v>
      </c>
      <c r="AI51" s="7">
        <v>0</v>
      </c>
      <c r="AJ51" s="7">
        <v>0</v>
      </c>
      <c r="AK51" s="4">
        <v>0</v>
      </c>
      <c r="AL51" s="7">
        <v>0</v>
      </c>
      <c r="AM51" s="7">
        <v>0</v>
      </c>
      <c r="AN51" s="4">
        <v>0</v>
      </c>
      <c r="AO51" s="7">
        <v>0</v>
      </c>
      <c r="AP51" s="7">
        <v>0</v>
      </c>
      <c r="AQ51" s="4">
        <v>0</v>
      </c>
      <c r="AR51" s="7">
        <v>0</v>
      </c>
      <c r="AS51" s="7">
        <v>0</v>
      </c>
      <c r="AT51" s="4">
        <f t="shared" si="15"/>
        <v>0</v>
      </c>
      <c r="AU51" s="7">
        <f t="shared" si="16"/>
        <v>0</v>
      </c>
      <c r="AV51" s="7">
        <f t="shared" si="17"/>
        <v>0</v>
      </c>
      <c r="AW51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1" s="4">
        <v>3.1</v>
      </c>
      <c r="AY51" s="7">
        <v>7.55</v>
      </c>
      <c r="AZ51" s="7">
        <v>10.65</v>
      </c>
      <c r="BA51" s="4">
        <v>0</v>
      </c>
      <c r="BB51" s="7">
        <v>0</v>
      </c>
      <c r="BC51" s="7">
        <v>0</v>
      </c>
      <c r="BD51" s="4">
        <v>2</v>
      </c>
      <c r="BE51" s="7">
        <v>7.35</v>
      </c>
      <c r="BF51" s="7">
        <v>9.35</v>
      </c>
      <c r="BG51" s="4">
        <v>2.2000000000000002</v>
      </c>
      <c r="BH51" s="7">
        <v>8.8000000000000007</v>
      </c>
      <c r="BI51" s="7">
        <v>11</v>
      </c>
      <c r="BJ51" s="4">
        <v>0</v>
      </c>
      <c r="BK51" s="7">
        <v>0</v>
      </c>
      <c r="BL51" s="7">
        <v>0</v>
      </c>
      <c r="BM51" s="4">
        <v>2</v>
      </c>
      <c r="BN51" s="7">
        <v>6.6</v>
      </c>
      <c r="BO51" s="7">
        <v>8.6</v>
      </c>
      <c r="BP51" s="4">
        <f t="shared" si="18"/>
        <v>9.3000000000000007</v>
      </c>
      <c r="BQ51" s="7">
        <f t="shared" si="19"/>
        <v>30.299999999999997</v>
      </c>
      <c r="BR51" s="7">
        <f t="shared" si="20"/>
        <v>39.6</v>
      </c>
      <c r="BS51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1" s="4">
        <v>0</v>
      </c>
      <c r="BU51" s="7">
        <v>0</v>
      </c>
      <c r="BV51" s="7">
        <v>0</v>
      </c>
      <c r="BW51" s="4">
        <v>0</v>
      </c>
      <c r="BX51" s="7">
        <v>0</v>
      </c>
      <c r="BY51" s="7">
        <v>0</v>
      </c>
      <c r="BZ51" s="4">
        <v>0</v>
      </c>
      <c r="CA51" s="7">
        <v>0</v>
      </c>
      <c r="CB51" s="7">
        <v>0</v>
      </c>
      <c r="CC51" s="4">
        <v>0</v>
      </c>
      <c r="CD51" s="7">
        <v>0</v>
      </c>
      <c r="CE51" s="7">
        <v>0</v>
      </c>
      <c r="CF51" s="4">
        <v>0</v>
      </c>
      <c r="CG51" s="7">
        <v>0</v>
      </c>
      <c r="CH51" s="7">
        <v>0</v>
      </c>
      <c r="CI51" s="4">
        <v>0</v>
      </c>
      <c r="CJ51" s="7">
        <v>0</v>
      </c>
      <c r="CK51" s="7">
        <v>0</v>
      </c>
      <c r="CL51" s="4">
        <f t="shared" si="21"/>
        <v>0</v>
      </c>
      <c r="CM51" s="7">
        <f t="shared" si="22"/>
        <v>0</v>
      </c>
      <c r="CN51" s="7">
        <f t="shared" si="23"/>
        <v>0</v>
      </c>
      <c r="CO51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1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1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1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52" spans="1:99" x14ac:dyDescent="0.25">
      <c r="A52" t="s">
        <v>125</v>
      </c>
      <c r="B52" s="2" t="s">
        <v>26</v>
      </c>
      <c r="C52" s="2" t="s">
        <v>126</v>
      </c>
      <c r="D52" t="s">
        <v>67</v>
      </c>
      <c r="E52" s="2">
        <f>SUM(COUNTIF(AA[[#This Row],[Bydgoszcz_all_around]],"Yes"),COUNTIF(AA[[#This Row],[Zabrze_all_around]],"Yes"),COUNTIF(AA[[#This Row],[Cracow_all_around]],"Yes"),COUNTIF(AA[[#This Row],[Gdansk_all_Around]],"Yes"))</f>
        <v>0</v>
      </c>
      <c r="F52" s="4">
        <v>0</v>
      </c>
      <c r="G52" s="7">
        <v>0</v>
      </c>
      <c r="H52" s="7">
        <v>0</v>
      </c>
      <c r="I52" s="4">
        <v>0</v>
      </c>
      <c r="J52" s="7">
        <v>0</v>
      </c>
      <c r="K52" s="7">
        <v>0</v>
      </c>
      <c r="L52" s="4">
        <v>0</v>
      </c>
      <c r="M52" s="7">
        <v>0</v>
      </c>
      <c r="N52" s="7">
        <v>0</v>
      </c>
      <c r="O52" s="4">
        <v>0</v>
      </c>
      <c r="P52" s="7">
        <v>0</v>
      </c>
      <c r="Q52" s="7">
        <v>0</v>
      </c>
      <c r="R52" s="4">
        <v>0</v>
      </c>
      <c r="S52" s="7">
        <v>0</v>
      </c>
      <c r="T52" s="7">
        <v>0</v>
      </c>
      <c r="U52" s="4">
        <v>0</v>
      </c>
      <c r="V52" s="7">
        <v>0</v>
      </c>
      <c r="W52" s="7">
        <v>0</v>
      </c>
      <c r="X52" s="4">
        <f t="shared" si="12"/>
        <v>0</v>
      </c>
      <c r="Y52" s="7">
        <f t="shared" si="13"/>
        <v>0</v>
      </c>
      <c r="Z52" s="7">
        <f t="shared" si="14"/>
        <v>0</v>
      </c>
      <c r="AA52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2" s="4">
        <v>0</v>
      </c>
      <c r="AC52" s="7">
        <v>0</v>
      </c>
      <c r="AD52" s="7">
        <v>0</v>
      </c>
      <c r="AE52" s="4">
        <v>0</v>
      </c>
      <c r="AF52" s="7">
        <v>0</v>
      </c>
      <c r="AG52" s="7">
        <v>0</v>
      </c>
      <c r="AH52" s="4">
        <v>0</v>
      </c>
      <c r="AI52" s="7">
        <v>0</v>
      </c>
      <c r="AJ52" s="7">
        <v>0</v>
      </c>
      <c r="AK52" s="4">
        <v>0</v>
      </c>
      <c r="AL52" s="7">
        <v>0</v>
      </c>
      <c r="AM52" s="7">
        <v>0</v>
      </c>
      <c r="AN52" s="4">
        <v>0</v>
      </c>
      <c r="AO52" s="7">
        <v>0</v>
      </c>
      <c r="AP52" s="7">
        <v>0</v>
      </c>
      <c r="AQ52" s="4">
        <v>0</v>
      </c>
      <c r="AR52" s="7">
        <v>0</v>
      </c>
      <c r="AS52" s="7">
        <v>0</v>
      </c>
      <c r="AT52" s="4">
        <f t="shared" si="15"/>
        <v>0</v>
      </c>
      <c r="AU52" s="7">
        <f t="shared" si="16"/>
        <v>0</v>
      </c>
      <c r="AV52" s="7">
        <f t="shared" si="17"/>
        <v>0</v>
      </c>
      <c r="AW52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2" s="4">
        <v>3.5</v>
      </c>
      <c r="AY52" s="7">
        <v>7.85</v>
      </c>
      <c r="AZ52" s="7">
        <v>11.35</v>
      </c>
      <c r="BA52" s="4">
        <v>0</v>
      </c>
      <c r="BB52" s="7">
        <v>0</v>
      </c>
      <c r="BC52" s="7">
        <v>0</v>
      </c>
      <c r="BD52" s="4">
        <v>0</v>
      </c>
      <c r="BE52" s="7">
        <v>0</v>
      </c>
      <c r="BF52" s="7">
        <v>0</v>
      </c>
      <c r="BG52" s="4">
        <v>3.2</v>
      </c>
      <c r="BH52" s="7">
        <v>8.1999999999999993</v>
      </c>
      <c r="BI52" s="7">
        <v>11.4</v>
      </c>
      <c r="BJ52" s="4">
        <v>0</v>
      </c>
      <c r="BK52" s="7">
        <v>0</v>
      </c>
      <c r="BL52" s="7">
        <v>0</v>
      </c>
      <c r="BM52" s="4">
        <v>0</v>
      </c>
      <c r="BN52" s="7">
        <v>0</v>
      </c>
      <c r="BO52" s="7">
        <v>0</v>
      </c>
      <c r="BP52" s="4">
        <f t="shared" si="18"/>
        <v>6.7</v>
      </c>
      <c r="BQ52" s="7">
        <f t="shared" si="19"/>
        <v>16.049999999999997</v>
      </c>
      <c r="BR52" s="7">
        <f t="shared" si="20"/>
        <v>22.75</v>
      </c>
      <c r="BS52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2" s="4">
        <v>0</v>
      </c>
      <c r="BU52" s="7">
        <v>0</v>
      </c>
      <c r="BV52" s="7">
        <v>0</v>
      </c>
      <c r="BW52" s="4">
        <v>0</v>
      </c>
      <c r="BX52" s="7">
        <v>0</v>
      </c>
      <c r="BY52" s="7">
        <v>0</v>
      </c>
      <c r="BZ52" s="4">
        <v>0</v>
      </c>
      <c r="CA52" s="7">
        <v>0</v>
      </c>
      <c r="CB52" s="7">
        <v>0</v>
      </c>
      <c r="CC52" s="4">
        <v>0</v>
      </c>
      <c r="CD52" s="7">
        <v>0</v>
      </c>
      <c r="CE52" s="7">
        <v>0</v>
      </c>
      <c r="CF52" s="4">
        <v>0</v>
      </c>
      <c r="CG52" s="7">
        <v>0</v>
      </c>
      <c r="CH52" s="7">
        <v>0</v>
      </c>
      <c r="CI52" s="4">
        <v>0</v>
      </c>
      <c r="CJ52" s="7">
        <v>0</v>
      </c>
      <c r="CK52" s="7">
        <v>0</v>
      </c>
      <c r="CL52" s="4">
        <f t="shared" si="21"/>
        <v>0</v>
      </c>
      <c r="CM52" s="7">
        <f t="shared" si="22"/>
        <v>0</v>
      </c>
      <c r="CN52" s="7">
        <f t="shared" si="23"/>
        <v>0</v>
      </c>
      <c r="CO52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2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2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2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53" spans="1:99" x14ac:dyDescent="0.25">
      <c r="A53" t="s">
        <v>54</v>
      </c>
      <c r="B53" s="2" t="s">
        <v>26</v>
      </c>
      <c r="C53" s="2" t="s">
        <v>55</v>
      </c>
      <c r="D53" t="s">
        <v>56</v>
      </c>
      <c r="E53" s="2">
        <f>SUM(COUNTIF(AA[[#This Row],[Bydgoszcz_all_around]],"Yes"),COUNTIF(AA[[#This Row],[Zabrze_all_around]],"Yes"),COUNTIF(AA[[#This Row],[Cracow_all_around]],"Yes"),COUNTIF(AA[[#This Row],[Gdansk_all_Around]],"Yes"))</f>
        <v>0</v>
      </c>
      <c r="F53" s="4">
        <v>0</v>
      </c>
      <c r="G53" s="7">
        <v>0</v>
      </c>
      <c r="H53" s="7">
        <v>0</v>
      </c>
      <c r="I53" s="4">
        <v>0</v>
      </c>
      <c r="J53" s="7">
        <v>0</v>
      </c>
      <c r="K53" s="7">
        <v>0</v>
      </c>
      <c r="L53" s="4">
        <v>0</v>
      </c>
      <c r="M53" s="7">
        <v>0</v>
      </c>
      <c r="N53" s="7">
        <v>0</v>
      </c>
      <c r="O53" s="4">
        <v>0</v>
      </c>
      <c r="P53" s="7">
        <v>0</v>
      </c>
      <c r="Q53" s="7">
        <v>0</v>
      </c>
      <c r="R53" s="4">
        <v>0</v>
      </c>
      <c r="S53" s="7">
        <v>0</v>
      </c>
      <c r="T53" s="7">
        <v>0</v>
      </c>
      <c r="U53" s="4">
        <v>0</v>
      </c>
      <c r="V53" s="7">
        <v>0</v>
      </c>
      <c r="W53" s="7">
        <v>0</v>
      </c>
      <c r="X53" s="4">
        <f t="shared" si="12"/>
        <v>0</v>
      </c>
      <c r="Y53" s="7">
        <f t="shared" si="13"/>
        <v>0</v>
      </c>
      <c r="Z53" s="7">
        <f t="shared" si="14"/>
        <v>0</v>
      </c>
      <c r="AA53" s="7" t="str">
        <f>IF(SUM(COUNTIF(AA[[#This Row],[bydgoszcz_FX_Total_Score]],"&gt;0"),COUNTIF(AA[[#This Row],[bydgoszcz_PH_Total_Score]],"&gt;0"),COUNTIF(AA[[#This Row],[bydgoszcz_SR_Total_Score]],"&gt;0"),COUNTIF(AA[[#This Row],[bydgoszcz_VT_Total_Score]],"&gt;0"),COUNTIF(AA[[#This Row],[bydgoszcz_PB_Total_Score]],"&gt;0"),COUNTIF(AA[[#This Row],[bydgoszcz_HB_Total_Score]],"&gt;0"))=6,"Yes","No")</f>
        <v>No</v>
      </c>
      <c r="AB53" s="4">
        <v>0</v>
      </c>
      <c r="AC53" s="7">
        <v>0</v>
      </c>
      <c r="AD53" s="7">
        <v>0</v>
      </c>
      <c r="AE53" s="4">
        <v>0</v>
      </c>
      <c r="AF53" s="7">
        <v>0</v>
      </c>
      <c r="AG53" s="7">
        <v>0</v>
      </c>
      <c r="AH53" s="4">
        <v>0</v>
      </c>
      <c r="AI53" s="7">
        <v>0</v>
      </c>
      <c r="AJ53" s="7">
        <v>0</v>
      </c>
      <c r="AK53" s="4">
        <v>1.6</v>
      </c>
      <c r="AL53" s="7">
        <v>8.3000000000000007</v>
      </c>
      <c r="AM53" s="7">
        <v>9.9</v>
      </c>
      <c r="AN53" s="4">
        <v>0</v>
      </c>
      <c r="AO53" s="7">
        <v>0</v>
      </c>
      <c r="AP53" s="7">
        <v>0</v>
      </c>
      <c r="AQ53" s="4">
        <v>0</v>
      </c>
      <c r="AR53" s="7">
        <v>0</v>
      </c>
      <c r="AS53" s="7">
        <v>0</v>
      </c>
      <c r="AT53" s="4">
        <f t="shared" si="15"/>
        <v>1.6</v>
      </c>
      <c r="AU53" s="7">
        <f t="shared" si="16"/>
        <v>8.3000000000000007</v>
      </c>
      <c r="AV53" s="7">
        <f t="shared" si="17"/>
        <v>9.9</v>
      </c>
      <c r="AW53" s="7" t="str">
        <f>IF(SUM(COUNTIF(AA[[#This Row],[zabrze_FX_Total_Score]],"&gt;0"),COUNTIF(AA[[#This Row],[zabrze_PH_Total_Score]],"&gt;0"),COUNTIF(AA[[#This Row],[zabrze_SR_Total_Score]],"&gt;0"),COUNTIF(AA[[#This Row],[zabrze_VT_Total_Score]],"&gt;0"),COUNTIF(AA[[#This Row],[zabrze_PB_Total_Score]],"&gt;0"),COUNTIF(AA[[#This Row],[zabrze_HB_Total_Score]],"&gt;0"))=6,"Yes","No")</f>
        <v>No</v>
      </c>
      <c r="AX53" s="4">
        <v>0</v>
      </c>
      <c r="AY53" s="7">
        <v>0</v>
      </c>
      <c r="AZ53" s="7">
        <v>0</v>
      </c>
      <c r="BA53" s="4">
        <v>0</v>
      </c>
      <c r="BB53" s="7">
        <v>0</v>
      </c>
      <c r="BC53" s="7">
        <v>0</v>
      </c>
      <c r="BD53" s="4">
        <v>0</v>
      </c>
      <c r="BE53" s="7">
        <v>0</v>
      </c>
      <c r="BF53" s="7">
        <v>0</v>
      </c>
      <c r="BG53" s="4">
        <v>0</v>
      </c>
      <c r="BH53" s="7">
        <v>0</v>
      </c>
      <c r="BI53" s="7">
        <v>0</v>
      </c>
      <c r="BJ53" s="4">
        <v>0</v>
      </c>
      <c r="BK53" s="7">
        <v>0</v>
      </c>
      <c r="BL53" s="7">
        <v>0</v>
      </c>
      <c r="BM53" s="4">
        <v>0</v>
      </c>
      <c r="BN53" s="7">
        <v>0</v>
      </c>
      <c r="BO53" s="7">
        <v>0</v>
      </c>
      <c r="BP53" s="4">
        <f t="shared" si="18"/>
        <v>0</v>
      </c>
      <c r="BQ53" s="7">
        <f t="shared" si="19"/>
        <v>0</v>
      </c>
      <c r="BR53" s="7">
        <f t="shared" si="20"/>
        <v>0</v>
      </c>
      <c r="BS53" s="7" t="str">
        <f>IF(SUM(COUNTIF(AA[[#This Row],[cracow_FX_Total_Score]],"&gt;0"),COUNTIF(AA[[#This Row],[cracow_PH_Total_Score]],"&gt;0"),COUNTIF(AA[[#This Row],[cracow_SR_Total_Score]],"&gt;0"),COUNTIF(AA[[#This Row],[cracow_VT_Total_Score]],"&gt;0"),COUNTIF(AA[[#This Row],[cracow_PB_Total_Score]],"&gt;0"),COUNTIF(AA[[#This Row],[cracow_HB_Total_Score]],"&gt;0"))=6,"Yes","No")</f>
        <v>No</v>
      </c>
      <c r="BT53" s="4">
        <v>0</v>
      </c>
      <c r="BU53" s="7">
        <v>0</v>
      </c>
      <c r="BV53" s="7">
        <v>0</v>
      </c>
      <c r="BW53" s="4">
        <v>0</v>
      </c>
      <c r="BX53" s="7">
        <v>0</v>
      </c>
      <c r="BY53" s="7">
        <v>0</v>
      </c>
      <c r="BZ53" s="4">
        <v>0</v>
      </c>
      <c r="CA53" s="7">
        <v>0</v>
      </c>
      <c r="CB53" s="7">
        <v>0</v>
      </c>
      <c r="CC53" s="4">
        <v>0</v>
      </c>
      <c r="CD53" s="7">
        <v>0</v>
      </c>
      <c r="CE53" s="7">
        <v>0</v>
      </c>
      <c r="CF53" s="4">
        <v>0</v>
      </c>
      <c r="CG53" s="7">
        <v>0</v>
      </c>
      <c r="CH53" s="7">
        <v>0</v>
      </c>
      <c r="CI53" s="4">
        <v>0</v>
      </c>
      <c r="CJ53" s="7">
        <v>0</v>
      </c>
      <c r="CK53" s="7">
        <v>0</v>
      </c>
      <c r="CL53" s="4">
        <f t="shared" si="21"/>
        <v>0</v>
      </c>
      <c r="CM53" s="7">
        <f t="shared" si="22"/>
        <v>0</v>
      </c>
      <c r="CN53" s="7">
        <f t="shared" si="23"/>
        <v>0</v>
      </c>
      <c r="CO53" s="7" t="str">
        <f>IF(SUM(COUNTIF(AA[[#This Row],[gdansk_FX_Total_Score]],"&gt;0"),COUNTIF(AA[[#This Row],[gdansk_PH_Total_Score]],"&gt;0"),COUNTIF(AA[[#This Row],[gdansk_SR_Total_Score]],"&gt;0"),COUNTIF(AA[[#This Row],[gdansk_VT_Total_Score]],"&gt;0"),COUNTIF(AA[[#This Row],[gdansk_PB_Total_Score]],"&gt;0"),COUNTIF(AA[[#This Row],[gdansk_HB_Total_Score]],"&gt;0"))=6,"Yes","No")</f>
        <v>No</v>
      </c>
      <c r="CP5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Row],[gdansk_Dscore]]),3)),0)</f>
        <v>0</v>
      </c>
      <c r="CQ5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Row],[gdansk_Escore]]),3)),0)</f>
        <v>0</v>
      </c>
      <c r="CR5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Row],[gdansk_Total_Score]]),3)),0)</f>
        <v>0</v>
      </c>
      <c r="CS53" s="4">
        <f>IF(AA[[#This Row],[All around competition]]&gt;=3,(LARGE(CHOOSE({1;2;3;4},AA[[#This Row],[bydgoszcz_DScore]],AA[[#This Row],[zabrze_Dscore]],AA[[#This Row],[cracow_Dscore]],AA[[#This Row],[gdansk_Dscore]]),1)+LARGE(CHOOSE({1;2;3;4},AA[[#This Row],[bydgoszcz_DScore]],AA[[#This Row],[zabrze_Dscore]],AA[[#This Row],[cracow_Dscore]],AA[[#This Row],[gdansk_Dscore]]),2)+LARGE(CHOOSE({1;2;3;4},AA[[#This Row],[bydgoszcz_DScore]],AA[[#This Row],[zabrze_Dscore]],AA[[#This Row],[cracow_Dscore]],AA[[#This Row],[gdansk_Dscore]]),3))/3,0)</f>
        <v>0</v>
      </c>
      <c r="CT53" s="7">
        <f>IF(AA[[#This Row],[All around competition]]&gt;=3,(LARGE(CHOOSE({1;2;3;4},AA[[#This Row],[bydgoszcz_Escore]],AA[[#This Row],[zabrze_Escore]],AA[[#This Row],[cracow_Escore]],AA[[#This Row],[gdansk_Escore]]),1)+LARGE(CHOOSE({1;2;3;4},AA[[#This Row],[bydgoszcz_Escore]],AA[[#This Row],[zabrze_Escore]],AA[[#This Row],[cracow_Escore]],AA[[#This Row],[gdansk_Escore]]),2)+LARGE(CHOOSE({1;2;3;4},AA[[#This Row],[bydgoszcz_Escore]],AA[[#This Row],[zabrze_Escore]],AA[[#This Row],[cracow_Escore]],AA[[#This Row],[gdansk_Escore]]),3))/3,0)</f>
        <v>0</v>
      </c>
      <c r="CU53" s="7">
        <f>IF(AA[[#This Row],[All around competition]]&gt;=3,(LARGE(CHOOSE({1;2;3;4},AA[[#This Row],[bydgoszcz_Total_Score]],AA[[#This Row],[zabrze_Total_Score]],AA[[#This Row],[cracow_Total_Score]],AA[[#This Row],[gdansk_Total_Score]]),1)+LARGE(CHOOSE({1;2;3;4},AA[[#This Row],[bydgoszcz_Total_Score]],AA[[#This Row],[zabrze_Total_Score]],AA[[#This Row],[cracow_Total_Score]],AA[[#This Row],[gdansk_Total_Score]]),2)+LARGE(CHOOSE({1;2;3;4},AA[[#This Row],[bydgoszcz_Total_Score]],AA[[#This Row],[zabrze_Total_Score]],AA[[#This Row],[cracow_Total_Score]],AA[[#This Row],[gdansk_Total_Score]]),3))/3,0)</f>
        <v>0</v>
      </c>
    </row>
    <row r="54" spans="1:99" x14ac:dyDescent="0.25">
      <c r="BX54" s="4"/>
    </row>
    <row r="57" spans="1:99" ht="25.5" customHeight="1" x14ac:dyDescent="0.25">
      <c r="A57" s="16" t="s">
        <v>2</v>
      </c>
      <c r="B57" s="16" t="s">
        <v>266</v>
      </c>
      <c r="C57" s="16" t="s">
        <v>271</v>
      </c>
      <c r="D57" s="17" t="s">
        <v>272</v>
      </c>
      <c r="E57" s="19" t="s">
        <v>270</v>
      </c>
      <c r="F57" s="16" t="s">
        <v>253</v>
      </c>
      <c r="G57" s="17" t="s">
        <v>278</v>
      </c>
      <c r="H57" s="17" t="s">
        <v>279</v>
      </c>
      <c r="I57" s="24" t="s">
        <v>280</v>
      </c>
      <c r="J57" s="17" t="s">
        <v>281</v>
      </c>
      <c r="K57" s="17" t="s">
        <v>282</v>
      </c>
      <c r="L57" s="24" t="s">
        <v>283</v>
      </c>
      <c r="M57" s="17" t="s">
        <v>284</v>
      </c>
      <c r="N57" s="17" t="s">
        <v>285</v>
      </c>
      <c r="O57" s="24" t="s">
        <v>286</v>
      </c>
      <c r="P57" s="17" t="s">
        <v>287</v>
      </c>
      <c r="Q57" s="17" t="s">
        <v>288</v>
      </c>
      <c r="R57" s="24" t="s">
        <v>289</v>
      </c>
      <c r="S57" s="17" t="s">
        <v>290</v>
      </c>
      <c r="T57" s="17" t="s">
        <v>291</v>
      </c>
      <c r="U57" s="24" t="s">
        <v>292</v>
      </c>
      <c r="V57" s="17" t="s">
        <v>293</v>
      </c>
      <c r="W57" s="17" t="s">
        <v>294</v>
      </c>
      <c r="X57" s="16" t="s">
        <v>295</v>
      </c>
    </row>
    <row r="58" spans="1:99" ht="30" customHeight="1" x14ac:dyDescent="0.25">
      <c r="A58" s="15" t="s">
        <v>60</v>
      </c>
      <c r="B58" s="15" t="s">
        <v>269</v>
      </c>
      <c r="C58" s="4" cm="1">
        <f t="array" ref="C58">SUM(_xlfn._xlws.FILTER(AA[bydgoszcz_DScore],(AA[Category]="senior")*(AA[Bydgoszcz_all_around]&gt;="yes")),_xlfn._xlws.FILTER(AA[zabrze_Dscore],(AA[Category]="senior")*(AA[Zabrze_all_around]&gt;="yes")),_xlfn._xlws.FILTER(AA[cracow_Dscore],(AA[Category]="senior")*(AA[Cracow_all_around]&gt;="yes")),_xlfn._xlws.FILTER(AA[gdansk_Dscore],(AA[Category]="senior")*(AA[Gdansk_all_Around]&gt;="yes")))/(COUNTIFS(AA[bydgoszcz_DScore],"&gt;0",AA[Category],"senior",AA[Bydgoszcz_all_around],"Yes")+COUNTIFS(AA[zabrze_Dscore],"&gt;0",AA[Category],"senior",AA[Zabrze_all_around],"Yes")+COUNTIFS(AA[cracow_Dscore],"&gt;0",AA[Category],"senior",AA[Cracow_all_around],"Yes")+COUNTIFS(AA[gdansk_Dscore],"&gt;0",AA[Category],"senior",AA[Gdansk_all_Around],"Yes"))</f>
        <v>22.792682926829269</v>
      </c>
      <c r="D58" s="4" cm="1">
        <f t="array" ref="D58">_xlfn.STDEV.S(_xlfn._xlws.FILTER(AA[bydgoszcz_DScore],(AA[Category]="senior")*(AA[Bydgoszcz_all_around]&gt;="yes")*(AA[bydgoszcz_DScore]&gt;0)),_xlfn._xlws.FILTER(AA[zabrze_Dscore],(AA[Category]="senior")*(AA[zabrze_Dscore]&gt;0)*(AA[Zabrze_all_around]&gt;="yes")),_xlfn._xlws.FILTER(AA[cracow_Dscore],(AA[Category]="senior")*(AA[cracow_Dscore]&gt;0)*(AA[Cracow_all_around]&gt;="yes")),_xlfn._xlws.FILTER(AA[gdansk_Dscore],(AA[Category]="senior")*(AA[gdansk_Dscore]&gt;0)*(AA[Gdansk_all_Around]&gt;="yes")))</f>
        <v>3.514924625358435</v>
      </c>
      <c r="E58" s="4" cm="1">
        <f t="array" ref="E58">MAX(_xlfn._xlws.FILTER(AA[bydgoszcz_DScore],AA[Category]="senior"),_xlfn._xlws.FILTER(AA[zabrze_Dscore],AA[Category]="senior"),_xlfn._xlws.FILTER(AA[cracow_Dscore],AA[Category]="senior"),_xlfn._xlws.FILTER(AA[gdansk_Dscore],AA[Category]="senior"))</f>
        <v>30.099999999999998</v>
      </c>
      <c r="F58" s="7" t="str" cm="1">
        <f t="array" ref="F58">_xlfn.XLOOKUP(E58,_xlfn._xlws.FILTER(AA[bydgoszcz_DScore],AA[Category]="senior"),_xlfn._xlws.FILTER(AA[Name],AA[Category]="senior"),_xlfn.XLOOKUP(E58,_xlfn._xlws.FILTER(AA[zabrze_Dscore],AA[Category]="senior"),_xlfn._xlws.FILTER(AA[Name],AA[Category]="senior"),_xlfn.XLOOKUP(E58,_xlfn._xlws.FILTER(AA[cracow_Dscore],AA[Category]="senior"),_xlfn._xlws.FILTER(AA[Name],AA[Category]="senior"),_xlfn.XLOOKUP(E58,_xlfn._xlws.FILTER(AA[gdansk_Dscore],AA[Category]="senior"),_xlfn._xlws.FILTER(AA[Name],AA[Category]="senior")))))</f>
        <v>GAWROŃSKI Sebastian</v>
      </c>
      <c r="I58" s="7"/>
      <c r="L58" s="7"/>
      <c r="O58" s="7"/>
      <c r="R58" s="7"/>
      <c r="U58" s="7"/>
      <c r="X58" s="7" t="str" cm="1">
        <f t="array" ref="X58">_xlfn.XLOOKUP(AA_Calculation[[#This Row],[Top]],_xlfn._xlws.FILTER(AA[bydgoszcz_DScore],AA[Category]="senior"),_xlfn._xlws.FILTER(AA[Name],AA[Category]="senior"),_xlfn.XLOOKUP(AA_Calculation[[#This Row],[Top]],_xlfn._xlws.FILTER(AA[zabrze_Dscore],AA[Category]="senior"),_xlfn._xlws.FILTER(AA[Name],AA[Category]="senior"),_xlfn.XLOOKUP(AA_Calculation[[#This Row],[Top]],_xlfn._xlws.FILTER(AA[cracow_Dscore],AA[Category]="senior"),_xlfn._xlws.FILTER(AA[Name],AA[Category]="senior"),_xlfn.XLOOKUP(AA_Calculation[[#This Row],[Top]],_xlfn._xlws.FILTER(AA[gdansk_Dscore],AA[Category]="senior"),_xlfn._xlws.FILTER(AA[Name],AA[Category]="senior")))))</f>
        <v>GAWROŃSKI Sebastian</v>
      </c>
    </row>
    <row r="59" spans="1:99" ht="33.75" customHeight="1" x14ac:dyDescent="0.25">
      <c r="A59" s="15" t="s">
        <v>60</v>
      </c>
      <c r="B59" s="15" t="s">
        <v>267</v>
      </c>
      <c r="C59" s="7" cm="1">
        <f t="array" ref="C59">SUM(_xlfn._xlws.FILTER(AA[bydgoszcz_Escore],(AA[Category]="senior")*(AA[Bydgoszcz_all_around]&gt;="yes")),_xlfn._xlws.FILTER(AA[zabrze_Escore],(AA[Category]="senior")*(AA[Zabrze_all_around]&gt;="yes")),_xlfn._xlws.FILTER(AA[cracow_Escore],(AA[Category]="senior")*(AA[Cracow_all_around]&gt;="yes")),_xlfn._xlws.FILTER(AA[gdansk_Escore],(AA[Category]="senior")*(AA[Gdansk_all_Around]&gt;="yes")))/(COUNTIFS(AA[bydgoszcz_Escore],"&gt;0",AA[Category],"senior",AA[Bydgoszcz_all_around],"Yes")+COUNTIFS(AA[zabrze_Escore],"&gt;0",AA[Category],"senior",AA[Zabrze_all_around],"Yes")+COUNTIFS(AA[cracow_Escore],"&gt;0",AA[Category],"senior",AA[Cracow_all_around],"Yes")+COUNTIFS(AA[gdansk_Escore],"&gt;0",AA[Category],"senior",AA[Gdansk_all_Around],"Yes"))</f>
        <v>46.186585365853652</v>
      </c>
      <c r="D59" s="7" cm="1">
        <f t="array" ref="D59">_xlfn.STDEV.S(_xlfn._xlws.FILTER(AA[bydgoszcz_Escore],(AA[Category]="senior")*(AA[Bydgoszcz_all_around]&gt;="yes")*(AA[bydgoszcz_Escore]&gt;0)),_xlfn._xlws.FILTER(AA[zabrze_Escore],(AA[Category]="senior")*(AA[zabrze_Escore]&gt;0)*(AA[Zabrze_all_around]&gt;="yes")),_xlfn._xlws.FILTER(AA[cracow_Escore],(AA[Category]="senior")*(AA[cracow_Escore]&gt;0)*(AA[Cracow_all_around]&gt;="yes")),_xlfn._xlws.FILTER(AA[gdansk_Escore],(AA[Category]="senior")*(AA[gdansk_Escore]&gt;0)*(AA[Gdansk_all_Around]&gt;="yes")))</f>
        <v>3.3056963031682876</v>
      </c>
      <c r="E59" s="7" cm="1">
        <f t="array" ref="E59">MAX(_xlfn._xlws.FILTER(AA[bydgoszcz_Escore],AA[Category]="senior"),_xlfn._xlws.FILTER(AA[zabrze_Escore],AA[Category]="senior"),_xlfn._xlws.FILTER(AA[cracow_Escore],AA[Category]="senior"),_xlfn._xlws.FILTER(AA[gdansk_Escore],AA[Category]="senior"))</f>
        <v>51.55</v>
      </c>
      <c r="F59" s="7" t="str" cm="1">
        <f t="array" ref="F59">_xlfn.XLOOKUP(E59,_xlfn._xlws.FILTER(AA[bydgoszcz_Escore],AA[Category]="senior"),_xlfn._xlws.FILTER(AA[Name],AA[Category]="senior"),_xlfn.XLOOKUP(E59,_xlfn._xlws.FILTER(AA[zabrze_Escore],AA[Category]="senior"),_xlfn._xlws.FILTER(AA[Name],AA[Category]="senior"),_xlfn.XLOOKUP(E59,_xlfn._xlws.FILTER(AA[cracow_Escore],AA[Category]="senior"),_xlfn._xlws.FILTER(AA[Name],AA[Category]="senior"),_xlfn.XLOOKUP(E59,_xlfn._xlws.FILTER(AA[gdansk_Escore],AA[Category]="senior"),_xlfn._xlws.FILTER(AA[Name],AA[Category]="senior")))))</f>
        <v>KUROWSKI Jakub</v>
      </c>
      <c r="I59" s="7"/>
      <c r="L59" s="7"/>
      <c r="O59" s="7"/>
      <c r="R59" s="7"/>
      <c r="U59" s="7"/>
      <c r="X59" s="7" t="str" cm="1">
        <f t="array" ref="X59">_xlfn.XLOOKUP(AA_Calculation[[#This Row],[Top]],_xlfn._xlws.FILTER(AA[bydgoszcz_Escore],AA[Category]="senior"),_xlfn._xlws.FILTER(AA[Name],AA[Category]="senior"),_xlfn.XLOOKUP(AA_Calculation[[#This Row],[Top]],_xlfn._xlws.FILTER(AA[zabrze_Escore],AA[Category]="senior"),_xlfn._xlws.FILTER(AA[Name],AA[Category]="senior"),_xlfn.XLOOKUP(AA_Calculation[[#This Row],[Top]],_xlfn._xlws.FILTER(AA[cracow_Escore],AA[Category]="senior"),_xlfn._xlws.FILTER(AA[Name],AA[Category]="senior"),_xlfn.XLOOKUP(AA_Calculation[[#This Row],[Top]],_xlfn._xlws.FILTER(AA[gdansk_Escore],AA[Category]="senior"),_xlfn._xlws.FILTER(AA[Name],AA[Category]="senior")))))</f>
        <v>KUROWSKI Jakub</v>
      </c>
    </row>
    <row r="60" spans="1:99" ht="33.75" customHeight="1" x14ac:dyDescent="0.25">
      <c r="A60" s="15" t="s">
        <v>60</v>
      </c>
      <c r="B60" s="15" t="s">
        <v>268</v>
      </c>
      <c r="C60" s="7" cm="1">
        <f t="array" ref="C60">SUM(_xlfn._xlws.FILTER(AA[bydgoszcz_Total_Score],(AA[Category]="senior")*(AA[Bydgoszcz_all_around]&gt;="yes")),_xlfn._xlws.FILTER(AA[zabrze_Total_Score],(AA[Category]="senior")*(AA[Zabrze_all_around]&gt;="yes")),_xlfn._xlws.FILTER(AA[cracow_Total_Score],(AA[Category]="senior")*(AA[Cracow_all_around]&gt;="yes")),_xlfn._xlws.FILTER(AA[gdansk_Total_Score],(AA[Category]="senior")*(AA[Gdansk_all_Around]&gt;="yes")))/(COUNTIFS(AA[bydgoszcz_Total_Score],"&gt;0",AA[Category],"senior",AA[Bydgoszcz_all_around],"Yes")+COUNTIFS(AA[zabrze_Total_Score],"&gt;0",AA[Category],"senior",AA[Zabrze_all_around],"Yes")+COUNTIFS(AA[cracow_Total_Score],"&gt;0",AA[Category],"senior",AA[Cracow_all_around],"Yes")+COUNTIFS(AA[gdansk_Total_Score],"&gt;0",AA[Category],"senior",AA[Gdansk_all_Around],"Yes"))</f>
        <v>68.979268292682931</v>
      </c>
      <c r="D60" s="7" cm="1">
        <f t="array" ref="D60">_xlfn.STDEV.S(_xlfn._xlws.FILTER(AA[bydgoszcz_Total_Score],(AA[Category]="senior")*(AA[Bydgoszcz_all_around]&gt;="yes")*(AA[bydgoszcz_Total_Score]&gt;0)),_xlfn._xlws.FILTER(AA[zabrze_Total_Score],(AA[Category]="senior")*(AA[zabrze_Total_Score]&gt;0)*(AA[Zabrze_all_around]&gt;="yes")),_xlfn._xlws.FILTER(AA[cracow_Total_Score],(AA[Category]="senior")*(AA[cracow_Total_Score]&gt;0)*(AA[Cracow_all_around]&gt;="yes")),_xlfn._xlws.FILTER(AA[gdansk_Total_Score],(AA[Category]="senior")*(AA[gdansk_Total_Score]&gt;0)*(AA[Gdansk_all_Around]&gt;="yes")))</f>
        <v>5.2201888807991903</v>
      </c>
      <c r="E60" s="7" cm="1">
        <f t="array" ref="E60">MAX(_xlfn._xlws.FILTER(AA[bydgoszcz_Total_Score],AA[Category]="senior"),_xlfn._xlws.FILTER(AA[zabrze_Total_Score],AA[Category]="senior"),_xlfn._xlws.FILTER(AA[cracow_Total_Score],AA[Category]="senior"),_xlfn._xlws.FILTER(AA[gdansk_Total_Score],AA[Category]="senior"))</f>
        <v>76.150000000000006</v>
      </c>
      <c r="F60" s="7" t="str" cm="1">
        <f t="array" ref="F60">_xlfn.XLOOKUP(E60,_xlfn._xlws.FILTER(AA[bydgoszcz_Total_Score],AA[Category]="senior"),_xlfn._xlws.FILTER(AA[Name],AA[Category]="senior"),_xlfn.XLOOKUP(E60,_xlfn._xlws.FILTER(AA[zabrze_Total_Score],AA[Category]="senior"),_xlfn._xlws.FILTER(AA[Name],AA[Category]="senior"),_xlfn.XLOOKUP(E60,_xlfn._xlws.FILTER(AA[cracow_Total_Score],AA[Category]="senior"),_xlfn._xlws.FILTER(AA[Name],AA[Category]="senior"),_xlfn.XLOOKUP(E60,_xlfn._xlws.FILTER(AA[gdansk_Total_Score],AA[Category]="senior"),_xlfn._xlws.FILTER(AA[Name],AA[Category]="senior")))))</f>
        <v>GARNCZAREK Kacper</v>
      </c>
      <c r="I60" s="7"/>
      <c r="L60" s="7"/>
      <c r="O60" s="7"/>
      <c r="R60" s="7"/>
      <c r="U60" s="7"/>
      <c r="X60" s="7" t="str" cm="1">
        <f t="array" ref="X60">_xlfn.XLOOKUP(AA_Calculation[[#This Row],[Top]],_xlfn._xlws.FILTER(AA[bydgoszcz_Total_Score],AA[Category]="senior"),_xlfn._xlws.FILTER(AA[Name],AA[Category]="senior"),_xlfn.XLOOKUP(AA_Calculation[[#This Row],[Top]],_xlfn._xlws.FILTER(AA[zabrze_Total_Score],AA[Category]="senior"),_xlfn._xlws.FILTER(AA[Name],AA[Category]="senior"),_xlfn.XLOOKUP(AA_Calculation[[#This Row],[Top]],_xlfn._xlws.FILTER(AA[cracow_Total_Score],AA[Category]="senior"),_xlfn._xlws.FILTER(AA[Name],AA[Category]="senior"),_xlfn.XLOOKUP(AA_Calculation[[#This Row],[Top]],_xlfn._xlws.FILTER(AA[gdansk_Total_Score],AA[Category]="senior"),_xlfn._xlws.FILTER(AA[Name],AA[Category]="senior")))))</f>
        <v>GARNCZAREK Kacper</v>
      </c>
    </row>
    <row r="61" spans="1:99" ht="33.75" customHeight="1" x14ac:dyDescent="0.25">
      <c r="A61" s="15" t="s">
        <v>60</v>
      </c>
      <c r="B61" s="15" t="s">
        <v>275</v>
      </c>
      <c r="C61" s="4" cm="1">
        <f t="array" ref="C61">SUM(_xlfn._xlws.FILTER(AA[Year_AA_Dscore],(AA[Category]="senior")*(AA[All around competition]&gt;=3))/COUNTIFS(AA[All around competition],"&gt;=3",AA[Category],"senior"))</f>
        <v>69.771428571428558</v>
      </c>
      <c r="D61" s="4" cm="1">
        <f t="array" ref="D61">_xlfn.STDEV.S(_xlfn._xlws.FILTER(AA[Year_AA_Dscore],(AA[Category]="senior")*(AA[All around competition]&gt;=3)))</f>
        <v>10.268676364834702</v>
      </c>
      <c r="E61" s="7" cm="1">
        <f t="array" ref="E61">MAX(_xlfn._xlws.FILTER(AA[Year_AA_Dscore],AA[Category]="senior"))</f>
        <v>84.9</v>
      </c>
      <c r="F61" s="7" t="e" cm="1">
        <f t="array" ref="F61">_xlfn.XLOOKUP(#REF!,_xlfn._xlws.FILTER(AA[bydgoszcz_Total_Score],AA[Category]="junior"),_xlfn._xlws.FILTER(AA[Name],AA[Category]="junior"),_xlfn.XLOOKUP(#REF!,_xlfn._xlws.FILTER(AA[zabrze_Total_Score],AA[Category]="junior"),_xlfn._xlws.FILTER(AA[Name],AA[Category]="junior"),_xlfn.XLOOKUP(#REF!,_xlfn._xlws.FILTER(AA[cracow_Total_Score],AA[Category]="junior"),_xlfn._xlws.FILTER(AA[Name],AA[Category]="junior"),_xlfn.XLOOKUP(#REF!,_xlfn._xlws.FILTER(AA[gdansk_Total_Score],AA[Category]="junior"),_xlfn._xlws.FILTER(AA[Name],AA[Category]="junior")))))</f>
        <v>#REF!</v>
      </c>
      <c r="I61" s="7"/>
      <c r="L61" s="7"/>
      <c r="O61" s="7"/>
      <c r="R61" s="7"/>
      <c r="U61" s="7"/>
      <c r="X61" s="7" t="str" cm="1">
        <f t="array" ref="X61">_xlfn.XLOOKUP(AA_Calculation[[#This Row],[Top]],_xlfn._xlws.FILTER(AA[Year_AA_Dscore],AA[Category]="senior"),_xlfn._xlws.FILTER(AA[Name],AA[Category]="senior"))</f>
        <v>GARNCZAREK Kacper</v>
      </c>
    </row>
    <row r="62" spans="1:99" ht="33.75" customHeight="1" x14ac:dyDescent="0.25">
      <c r="A62" s="15" t="s">
        <v>60</v>
      </c>
      <c r="B62" s="15" t="s">
        <v>276</v>
      </c>
      <c r="C62" s="7" cm="1">
        <f t="array" ref="C62">SUM(_xlfn._xlws.FILTER(AA[Year_AA_Escore],(AA[Category]="senior")*(AA[All around competition]&gt;=3))/COUNTIFS(AA[All around competition],"&gt;=3",AA[Category],"senior"))</f>
        <v>140.37857142857143</v>
      </c>
      <c r="D62" s="7" cm="1">
        <f t="array" ref="D62">_xlfn.STDEV.S(_xlfn._xlws.FILTER(AA[Year_AA_Escore],(AA[Category]="senior")*(AA[All around competition]&gt;=3)))</f>
        <v>3.8505256289301104</v>
      </c>
      <c r="E62" s="7" cm="1">
        <f t="array" ref="E62">MAX(_xlfn._xlws.FILTER(AA[Year_AA_Escore],AA[Category]="senior"))</f>
        <v>144.69999999999999</v>
      </c>
      <c r="F62" s="7" t="e" cm="1">
        <f t="array" ref="F62">_xlfn.XLOOKUP(FX_Calculation[[#This Row],[Top]],_xlfn._xlws.FILTER(FX[Year_Dscore],FX[Category]="senior"),_xlfn._xlws.FILTER(FX[Name],FX[Category]="senior"))</f>
        <v>#N/A</v>
      </c>
      <c r="I62" s="7"/>
      <c r="L62" s="7"/>
      <c r="O62" s="7"/>
      <c r="R62" s="7"/>
      <c r="U62" s="7"/>
      <c r="X62" s="7" t="str" cm="1">
        <f t="array" ref="X62">_xlfn.XLOOKUP(AA_Calculation[[#This Row],[Top]],_xlfn._xlws.FILTER(AA[Year_AA_Escore],AA[Category]="senior"),_xlfn._xlws.FILTER(AA[Name],AA[Category]="senior"))</f>
        <v>KUROWSKI Jakub</v>
      </c>
    </row>
    <row r="63" spans="1:99" ht="33.75" customHeight="1" x14ac:dyDescent="0.25">
      <c r="A63" s="15" t="s">
        <v>60</v>
      </c>
      <c r="B63" s="15" t="s">
        <v>277</v>
      </c>
      <c r="C63" s="7" cm="1">
        <f t="array" ref="C63">SUM(_xlfn._xlws.FILTER(AA[Year_AA_Total_Score],(AA[Category]="senior")*(AA[All around competition]&gt;=3))/COUNTIFS(AA[All around competition],"&gt;=3",AA[Category],"senior"))</f>
        <v>210.02857142857144</v>
      </c>
      <c r="D63" s="7" cm="1">
        <f t="array" ref="D63">_xlfn.STDEV.S(_xlfn._xlws.FILTER(AA[Year_AA_Total_Score],(AA[Category]="senior")*(AA[All around competition]&gt;=3)))</f>
        <v>11.225486520371742</v>
      </c>
      <c r="E63" s="7" cm="1">
        <f t="array" ref="E63">MAX(_xlfn._xlws.FILTER(AA[Year_AA_Total_Score],AA[Category]="senior"))</f>
        <v>225.45</v>
      </c>
      <c r="F63" s="7" t="e" cm="1">
        <f t="array" ref="F63">_xlfn.XLOOKUP(FX_Calculation[[#This Row],[Top]],_xlfn._xlws.FILTER(FX[Year_Escore],FX[Category]="senior"),_xlfn._xlws.FILTER(FX[Name],FX[Category]="senior"))</f>
        <v>#VALUE!</v>
      </c>
      <c r="I63" s="7"/>
      <c r="L63" s="7"/>
      <c r="O63" s="7"/>
      <c r="R63" s="7"/>
      <c r="U63" s="7"/>
      <c r="X63" s="7" t="str" cm="1">
        <f t="array" ref="X63">_xlfn.XLOOKUP(AA_Calculation[[#This Row],[Top]],_xlfn._xlws.FILTER(AA[Year_AA_Total_Score],AA[Category]="senior"),_xlfn._xlws.FILTER(AA[Name],AA[Category]="senior"))</f>
        <v>SASNAL Filip</v>
      </c>
    </row>
    <row r="64" spans="1:99" ht="41.25" customHeight="1" x14ac:dyDescent="0.25">
      <c r="A64" s="14" t="s">
        <v>26</v>
      </c>
      <c r="B64" s="14" t="s">
        <v>269</v>
      </c>
      <c r="C64" s="4" cm="1">
        <f t="array" ref="C64">SUM(_xlfn._xlws.FILTER(AA[bydgoszcz_DScore],(AA[Category]="junior")*(AA[Bydgoszcz_all_around]&gt;="yes")),_xlfn._xlws.FILTER(AA[zabrze_Dscore],(AA[Category]="junior")*(AA[Zabrze_all_around]&gt;="yes")),_xlfn._xlws.FILTER(AA[cracow_Dscore],(AA[Category]="junior")*(AA[Cracow_all_around]&gt;="yes")),_xlfn._xlws.FILTER(AA[gdansk_Dscore],(AA[Category]="junior")*(AA[Gdansk_all_Around]&gt;="yes")))/(COUNTIFS(AA[bydgoszcz_DScore],"&gt;0",AA[Category],"junior",AA[Bydgoszcz_all_around],"Yes")+COUNTIFS(AA[zabrze_Dscore],"&gt;0",AA[Category],"junior",AA[Zabrze_all_around],"Yes")+COUNTIFS(AA[cracow_Dscore],"&gt;0",AA[Category],"junior",AA[Cracow_all_around],"Yes")+COUNTIFS(AA[gdansk_Dscore],"&gt;0",AA[Category],"junior",AA[Gdansk_all_Around],"Yes"))</f>
        <v>17.661904761904765</v>
      </c>
      <c r="D64" s="4" cm="1">
        <f t="array" ref="D64">_xlfn.STDEV.S(_xlfn._xlws.FILTER(AA[bydgoszcz_DScore],(AA[Category]="junior")*(AA[Bydgoszcz_all_around]&gt;="yes")*(AA[bydgoszcz_DScore]&gt;0)),_xlfn._xlws.FILTER(AA[zabrze_Dscore],(AA[Category]="junior")*(AA[zabrze_Dscore]&gt;0)*(AA[Zabrze_all_around]&gt;="yes")),_xlfn._xlws.FILTER(AA[cracow_Dscore],(AA[Category]="junior")*(AA[cracow_Dscore]&gt;0)*(AA[Cracow_all_around]&gt;="yes")),_xlfn._xlws.FILTER(AA[gdansk_Dscore],(AA[Category]="junior")*(AA[gdansk_Dscore]&gt;0)*(AA[Gdansk_all_Around]&gt;="yes")))</f>
        <v>3.2183128727340868</v>
      </c>
      <c r="E64" s="4" cm="1">
        <f t="array" ref="E64">MAX(_xlfn._xlws.FILTER(AA[bydgoszcz_DScore],AA[Category]="junior"),_xlfn._xlws.FILTER(AA[zabrze_Dscore],AA[Category]="junior"),_xlfn._xlws.FILTER(AA[cracow_Dscore],AA[Category]="junior"),_xlfn._xlws.FILTER(AA[gdansk_Dscore],AA[Category]="junior"))</f>
        <v>25.6</v>
      </c>
      <c r="F64" s="7" t="str" cm="1">
        <f t="array" ref="F64">_xlfn.XLOOKUP(E64,_xlfn._xlws.FILTER(AA[bydgoszcz_DScore],AA[Category]="junior"),_xlfn._xlws.FILTER(AA[Name],AA[Category]="junior"),_xlfn.XLOOKUP(E64,_xlfn._xlws.FILTER(AA[zabrze_Dscore],AA[Category]="junior"),_xlfn._xlws.FILTER(AA[Name],AA[Category]="junior"),_xlfn.XLOOKUP(E64,_xlfn._xlws.FILTER(AA[cracow_Dscore],AA[Category]="junior"),_xlfn._xlws.FILTER(AA[Name],AA[Category]="junior"),_xlfn.XLOOKUP(E64,_xlfn._xlws.FILTER(AA[gdansk_Dscore],AA[Category]="junior"),_xlfn._xlws.FILTER(AA[Name],AA[Category]="junior")))))</f>
        <v>MISHCHENKO Oleksandr</v>
      </c>
      <c r="I64" s="7"/>
      <c r="L64" s="7"/>
      <c r="O64" s="7"/>
      <c r="R64" s="7"/>
      <c r="U64" s="7"/>
      <c r="X64" s="7" t="str" cm="1">
        <f t="array" ref="X64">_xlfn.XLOOKUP(AA_Calculation[[#This Row],[Top]],_xlfn._xlws.FILTER(AA[bydgoszcz_DScore],AA[Category]="junior"),_xlfn._xlws.FILTER(AA[Name],AA[Category]="junior"),_xlfn.XLOOKUP(AA_Calculation[[#This Row],[Top]],_xlfn._xlws.FILTER(AA[zabrze_Dscore],AA[Category]="junior"),_xlfn._xlws.FILTER(AA[Name],AA[Category]="junior"),_xlfn.XLOOKUP(AA_Calculation[[#This Row],[Top]],_xlfn._xlws.FILTER(AA[cracow_Dscore],AA[Category]="junior"),_xlfn._xlws.FILTER(AA[Name],AA[Category]="junior"),_xlfn.XLOOKUP(AA_Calculation[[#This Row],[Top]],_xlfn._xlws.FILTER(AA[gdansk_Dscore],AA[Category]="junior"),_xlfn._xlws.FILTER(AA[Name],AA[Category]="junior")))))</f>
        <v>MISHCHENKO Oleksandr</v>
      </c>
    </row>
    <row r="65" spans="1:24" ht="41.25" customHeight="1" x14ac:dyDescent="0.25">
      <c r="A65" s="14" t="s">
        <v>26</v>
      </c>
      <c r="B65" s="14" t="s">
        <v>267</v>
      </c>
      <c r="C65" s="7" cm="1">
        <f t="array" ref="C65">SUM(_xlfn._xlws.FILTER(AA[bydgoszcz_Escore],(AA[Category]="junior")*(AA[Bydgoszcz_all_around]&gt;="yes")),_xlfn._xlws.FILTER(AA[zabrze_Escore],(AA[Category]="junior")*(AA[Zabrze_all_around]&gt;="yes")),_xlfn._xlws.FILTER(AA[cracow_Escore],(AA[Category]="junior")*(AA[Cracow_all_around]&gt;="yes")),_xlfn._xlws.FILTER(AA[gdansk_Escore],(AA[Category]="junior")*(AA[Gdansk_all_Around]&gt;="yes")))/(COUNTIFS(AA[bydgoszcz_Escore],"&gt;0",AA[Category],"junior",AA[Bydgoszcz_all_around],"Yes")+COUNTIFS(AA[zabrze_Escore],"&gt;0",AA[Category],"junior",AA[Zabrze_all_around],"Yes")+COUNTIFS(AA[cracow_Escore],"&gt;0",AA[Category],"junior",AA[Cracow_all_around],"Yes")+COUNTIFS(AA[gdansk_Escore],"&gt;0",AA[Category],"junior",AA[Gdansk_all_Around],"Yes"))</f>
        <v>46.188095238095251</v>
      </c>
      <c r="D65" s="7" cm="1">
        <f t="array" ref="D65">_xlfn.STDEV.S(_xlfn._xlws.FILTER(AA[bydgoszcz_Escore],(AA[Category]="junior")*(AA[Bydgoszcz_all_around]&gt;="yes")*(AA[bydgoszcz_Escore]&gt;0)),_xlfn._xlws.FILTER(AA[zabrze_Escore],(AA[Category]="junior")*(AA[zabrze_Escore]&gt;0)*(AA[Zabrze_all_around]&gt;="yes")),_xlfn._xlws.FILTER(AA[cracow_Escore],(AA[Category]="junior")*(AA[cracow_Escore]&gt;0)*(AA[Cracow_all_around]&gt;="yes")),_xlfn._xlws.FILTER(AA[gdansk_Escore],(AA[Category]="junior")*(AA[gdansk_Escore]&gt;0)*(AA[Gdansk_all_Around]&gt;="yes")))</f>
        <v>5.4465564140285094</v>
      </c>
      <c r="E65" s="7" cm="1">
        <f t="array" ref="E65">MAX(_xlfn._xlws.FILTER(AA[bydgoszcz_Escore],AA[Category]="junior"),_xlfn._xlws.FILTER(AA[zabrze_Escore],AA[Category]="junior"),_xlfn._xlws.FILTER(AA[cracow_Escore],AA[Category]="junior"),_xlfn._xlws.FILTER(AA[gdansk_Escore],AA[Category]="junior"))</f>
        <v>53.7</v>
      </c>
      <c r="F65" s="7" t="str" cm="1">
        <f t="array" ref="F65">_xlfn.XLOOKUP(E65,_xlfn._xlws.FILTER(AA[bydgoszcz_Escore],AA[Category]="junior"),_xlfn._xlws.FILTER(AA[Name],AA[Category]="junior"),_xlfn.XLOOKUP(E65,_xlfn._xlws.FILTER(AA[zabrze_Escore],AA[Category]="junior"),_xlfn._xlws.FILTER(AA[Name],AA[Category]="junior"),_xlfn.XLOOKUP(E65,_xlfn._xlws.FILTER(AA[cracow_Escore],AA[Category]="junior"),_xlfn._xlws.FILTER(AA[Name],AA[Category]="junior"),_xlfn.XLOOKUP(E65,_xlfn._xlws.FILTER(AA[gdansk_Escore],AA[Category]="junior"),_xlfn._xlws.FILTER(AA[Name],AA[Category]="junior")))))</f>
        <v>LEKHAC Tomasz</v>
      </c>
      <c r="I65" s="7"/>
      <c r="L65" s="7"/>
      <c r="O65" s="7"/>
      <c r="R65" s="7"/>
      <c r="U65" s="7"/>
      <c r="X65" s="7" t="str" cm="1">
        <f t="array" ref="X65">_xlfn.XLOOKUP(AA_Calculation[[#This Row],[Top]],_xlfn._xlws.FILTER(AA[bydgoszcz_Escore],AA[Category]="junior"),_xlfn._xlws.FILTER(AA[Name],AA[Category]="junior"),_xlfn.XLOOKUP(AA_Calculation[[#This Row],[Top]],_xlfn._xlws.FILTER(AA[zabrze_Escore],AA[Category]="junior"),_xlfn._xlws.FILTER(AA[Name],AA[Category]="junior"),_xlfn.XLOOKUP(AA_Calculation[[#This Row],[Top]],_xlfn._xlws.FILTER(AA[cracow_Escore],AA[Category]="junior"),_xlfn._xlws.FILTER(AA[Name],AA[Category]="junior"),_xlfn.XLOOKUP(AA_Calculation[[#This Row],[Top]],_xlfn._xlws.FILTER(AA[gdansk_Escore],AA[Category]="junior"),_xlfn._xlws.FILTER(AA[Name],AA[Category]="junior")))))</f>
        <v>LEKHAC Tomasz</v>
      </c>
    </row>
    <row r="66" spans="1:24" ht="41.25" customHeight="1" x14ac:dyDescent="0.25">
      <c r="A66" s="14" t="s">
        <v>26</v>
      </c>
      <c r="B66" s="14" t="s">
        <v>268</v>
      </c>
      <c r="C66" s="7" cm="1">
        <f t="array" ref="C66">SUM(_xlfn._xlws.FILTER(AA[bydgoszcz_Total_Score],(AA[Category]="junior")*(AA[Bydgoszcz_all_around]&gt;="yes")),_xlfn._xlws.FILTER(AA[zabrze_Total_Score],(AA[Category]="junior")*(AA[Zabrze_all_around]&gt;="yes")),_xlfn._xlws.FILTER(AA[cracow_Total_Score],(AA[Category]="junior")*(AA[Cracow_all_around]&gt;="yes")),_xlfn._xlws.FILTER(AA[gdansk_Total_Score],(AA[Category]="junior")*(AA[Gdansk_all_Around]&gt;="yes")))/(COUNTIFS(AA[bydgoszcz_Total_Score],"&gt;0",AA[Category],"junior",AA[Bydgoszcz_all_around],"Yes")+COUNTIFS(AA[zabrze_Total_Score],"&gt;0",AA[Category],"junior",AA[Zabrze_all_around],"Yes")+COUNTIFS(AA[cracow_Total_Score],"&gt;0",AA[Category],"junior",AA[Cracow_all_around],"Yes")+COUNTIFS(AA[gdansk_Total_Score],"&gt;0",AA[Category],"junior",AA[Gdansk_all_Around],"Yes"))</f>
        <v>63.850000000000009</v>
      </c>
      <c r="D66" s="7" cm="1">
        <f t="array" ref="D66">_xlfn.STDEV.S(_xlfn._xlws.FILTER(AA[bydgoszcz_Total_Score],(AA[Category]="junior")*(AA[Bydgoszcz_all_around]&gt;="yes")*(AA[bydgoszcz_Total_Score]&gt;0)),_xlfn._xlws.FILTER(AA[zabrze_Total_Score],(AA[Category]="junior")*(AA[zabrze_Total_Score]&gt;0)*(AA[Zabrze_all_around]&gt;="yes")),_xlfn._xlws.FILTER(AA[cracow_Total_Score],(AA[Category]="junior")*(AA[cracow_Total_Score]&gt;0)*(AA[Cracow_all_around]&gt;="yes")),_xlfn._xlws.FILTER(AA[gdansk_Total_Score],(AA[Category]="junior")*(AA[gdansk_Total_Score]&gt;0)*(AA[Gdansk_all_Around]&gt;="yes")))</f>
        <v>7.8148311156322245</v>
      </c>
      <c r="E66" s="7" cm="1">
        <f t="array" ref="E66">MAX(_xlfn._xlws.FILTER(AA[bydgoszcz_Total_Score],AA[Category]="junior"),_xlfn._xlws.FILTER(AA[zabrze_Total_Score],AA[Category]="junior"),_xlfn._xlws.FILTER(AA[cracow_Total_Score],AA[Category]="junior"),_xlfn._xlws.FILTER(AA[gdansk_Total_Score],AA[Category]="junior"))</f>
        <v>73.2</v>
      </c>
      <c r="F66" s="7" t="str" cm="1">
        <f t="array" ref="F66">_xlfn.XLOOKUP(E66,_xlfn._xlws.FILTER(AA[bydgoszcz_Total_Score],AA[Category]="junior"),_xlfn._xlws.FILTER(AA[Name],AA[Category]="junior"),_xlfn.XLOOKUP(E66,_xlfn._xlws.FILTER(AA[zabrze_Total_Score],AA[Category]="junior"),_xlfn._xlws.FILTER(AA[Name],AA[Category]="junior"),_xlfn.XLOOKUP(E66,_xlfn._xlws.FILTER(AA[cracow_Total_Score],AA[Category]="junior"),_xlfn._xlws.FILTER(AA[Name],AA[Category]="junior"),_xlfn.XLOOKUP(E66,_xlfn._xlws.FILTER(AA[gdansk_Total_Score],AA[Category]="junior"),_xlfn._xlws.FILTER(AA[Name],AA[Category]="junior")))))</f>
        <v>LEKHAC Tomasz</v>
      </c>
      <c r="I66" s="7"/>
      <c r="L66" s="7"/>
      <c r="O66" s="7"/>
      <c r="R66" s="7"/>
      <c r="U66" s="7"/>
      <c r="X66" s="7" t="str" cm="1">
        <f t="array" ref="X66">_xlfn.XLOOKUP(AA_Calculation[[#This Row],[Top]],_xlfn._xlws.FILTER(AA[bydgoszcz_Total_Score],AA[Category]="junior"),_xlfn._xlws.FILTER(AA[Name],AA[Category]="junior"),_xlfn.XLOOKUP(AA_Calculation[[#This Row],[Top]],_xlfn._xlws.FILTER(AA[zabrze_Total_Score],AA[Category]="junior"),_xlfn._xlws.FILTER(AA[Name],AA[Category]="junior"),_xlfn.XLOOKUP(AA_Calculation[[#This Row],[Top]],_xlfn._xlws.FILTER(AA[cracow_Total_Score],AA[Category]="junior"),_xlfn._xlws.FILTER(AA[Name],AA[Category]="junior"),_xlfn.XLOOKUP(AA_Calculation[[#This Row],[Top]],_xlfn._xlws.FILTER(AA[gdansk_Total_Score],AA[Category]="junior"),_xlfn._xlws.FILTER(AA[Name],AA[Category]="junior")))))</f>
        <v>LEKHAC Tomasz</v>
      </c>
    </row>
    <row r="67" spans="1:24" ht="41.25" customHeight="1" x14ac:dyDescent="0.25">
      <c r="A67" s="15" t="s">
        <v>26</v>
      </c>
      <c r="B67" s="15" t="s">
        <v>275</v>
      </c>
      <c r="C67" s="4" cm="1">
        <f t="array" ref="C67">SUM(_xlfn._xlws.FILTER(AA[Year_AA_Dscore],(AA[Category]="junior")*(AA[All around competition]&gt;=3))/COUNTIFS(AA[All around competition],"&gt;=3",AA[Category],"junior"))</f>
        <v>53.95</v>
      </c>
      <c r="D67" s="4" cm="1">
        <f t="array" ref="D67">_xlfn.STDEV.S(_xlfn._xlws.FILTER(AA[Year_AA_Dscore],(AA[Category]="junior")*(AA[All around competition]&gt;=3)))</f>
        <v>7.6456596256379772</v>
      </c>
      <c r="E67" s="7" cm="1">
        <f t="array" ref="E67">MAX(_xlfn._xlws.FILTER(AA[Year_AA_Dscore],AA[Category]="junior"))</f>
        <v>62.2</v>
      </c>
      <c r="F67" s="7" t="e" cm="1">
        <f t="array" ref="F67">_xlfn.XLOOKUP(FX_Calculation[[#This Row],[Top]],_xlfn._xlws.FILTER(FX[Year_Total_Score],FX[Category]="senior"),_xlfn._xlws.FILTER(FX[Name],FX[Category]="senior"))</f>
        <v>#VALUE!</v>
      </c>
      <c r="I67" s="7"/>
      <c r="L67" s="7"/>
      <c r="O67" s="7"/>
      <c r="R67" s="7"/>
      <c r="U67" s="7"/>
      <c r="X67" s="7" t="str" cm="1">
        <f t="array" ref="X67">_xlfn.XLOOKUP(AA_Calculation[[#This Row],[Top]],_xlfn._xlws.FILTER(AA[Year_AA_Dscore],AA[Category]="junior"),_xlfn._xlws.FILTER(AA[Name],AA[Category]="junior"))</f>
        <v>KUZDRA Christian</v>
      </c>
    </row>
    <row r="68" spans="1:24" ht="41.25" customHeight="1" x14ac:dyDescent="0.25">
      <c r="A68" s="15" t="s">
        <v>26</v>
      </c>
      <c r="B68" s="15" t="s">
        <v>276</v>
      </c>
      <c r="C68" s="7" cm="1">
        <f t="array" ref="C68">SUM(_xlfn._xlws.FILTER(AA[Year_AA_Escore],(AA[Category]="junior")*(AA[All around competition]&gt;=3))/COUNTIFS(AA[All around competition],"&gt;=3",AA[Category],"junior"))</f>
        <v>143.19499999999999</v>
      </c>
      <c r="D68" s="7" cm="1">
        <f t="array" ref="D68">_xlfn.STDEV.S(_xlfn._xlws.FILTER(AA[Year_AA_Escore],(AA[Category]="junior")*(AA[All around competition]&gt;=3)))</f>
        <v>7.8714127632140372</v>
      </c>
      <c r="E68" s="7" cm="1">
        <f t="array" ref="E68">MAX(_xlfn._xlws.FILTER(AA[Year_AA_Escore],AA[Category]="junior"))</f>
        <v>159.25</v>
      </c>
      <c r="F68" s="7" t="e" cm="1">
        <f t="array" ref="F68">_xlfn.XLOOKUP(FX_Calculation[[#This Row],[Top]],_xlfn._xlws.FILTER(FX[Year_Dscore],FX[Category]="junior"),_xlfn._xlws.FILTER(FX[Name],FX[Category]="junior"))</f>
        <v>#VALUE!</v>
      </c>
      <c r="I68" s="7"/>
      <c r="L68" s="7"/>
      <c r="O68" s="7"/>
      <c r="R68" s="7"/>
      <c r="U68" s="7"/>
      <c r="X68" s="7" t="str" cm="1">
        <f t="array" ref="X68">_xlfn.XLOOKUP(AA_Calculation[[#This Row],[Top]],_xlfn._xlws.FILTER(AA[Year_AA_Escore],AA[Category]="junior"),_xlfn._xlws.FILTER(AA[Name],AA[Category]="junior"))</f>
        <v>LEKHAC Tomasz</v>
      </c>
    </row>
    <row r="69" spans="1:24" ht="41.25" customHeight="1" x14ac:dyDescent="0.25">
      <c r="A69" s="23" t="s">
        <v>26</v>
      </c>
      <c r="B69" s="23" t="s">
        <v>277</v>
      </c>
      <c r="C69" s="7" cm="1">
        <f t="array" ref="C69">SUM(_xlfn._xlws.FILTER(AA[Year_AA_Total_Score],(AA[Category]="junior")*(AA[All around competition]&gt;=3))/COUNTIFS(AA[All around competition],"&gt;=3",AA[Category],"junior"))</f>
        <v>196.88499999999999</v>
      </c>
      <c r="D69" s="7" cm="1">
        <f t="array" ref="D69">_xlfn.STDEV.S(_xlfn._xlws.FILTER(AA[Year_AA_Total_Score],(AA[Category]="junior")*(AA[All around competition]&gt;=3)))</f>
        <v>13.926195340676024</v>
      </c>
      <c r="E69" s="7" cm="1">
        <f t="array" ref="E69">MAX(_xlfn._xlws.FILTER(AA[Year_AA_Total_Score],AA[Category]="junior"))</f>
        <v>217.95</v>
      </c>
      <c r="F69" s="7" t="e" cm="1">
        <f t="array" ref="F69">_xlfn.XLOOKUP(FX_Calculation[[#This Row],[Top]],_xlfn._xlws.FILTER(FX[Year_Escore],FX[Category]="junior"),_xlfn._xlws.FILTER(FX[Name],FX[Category]="junior"))</f>
        <v>#VALUE!</v>
      </c>
      <c r="I69" s="7"/>
      <c r="L69" s="7"/>
      <c r="O69" s="7"/>
      <c r="R69" s="7"/>
      <c r="U69" s="7"/>
      <c r="X69" s="7" t="str" cm="1">
        <f t="array" ref="X69">_xlfn.XLOOKUP(AA_Calculation[[#This Row],[Top]],_xlfn._xlws.FILTER(AA[Year_AA_Total_Score],AA[Category]="junior"),_xlfn._xlws.FILTER(AA[Name],AA[Category]="junior"))</f>
        <v>LEKHAC Tomasz</v>
      </c>
    </row>
    <row r="70" spans="1:24" x14ac:dyDescent="0.25">
      <c r="F70" s="2" t="e" cm="1">
        <f t="array" ref="F70">_xlfn.XLOOKUP(FX_Calculation[[#This Row],[Top]],_xlfn._xlws.FILTER(FX[Year_Total_Score],FX[Category]="junior"),_xlfn._xlws.FILTER(FX[Name],FX[Category]="junior"))</f>
        <v>#VALUE!</v>
      </c>
    </row>
  </sheetData>
  <mergeCells count="2">
    <mergeCell ref="CW2:CW7"/>
    <mergeCell ref="CW8:CW13"/>
  </mergeCells>
  <phoneticPr fontId="1" type="noConversion"/>
  <conditionalFormatting sqref="A2:A53">
    <cfRule type="expression" dxfId="19" priority="1">
      <formula>IF($B2="junior",$CR2=LARGE(_xlfn._xlws.FILTER($CR$2:$CR$53,$B$2:$B$53="junior"),1),$CR2=LARGE(_xlfn._xlws.FILTER($CR$2:$CR$53,$B$2:$B$53="senior"),1))</formula>
    </cfRule>
    <cfRule type="expression" dxfId="18" priority="2">
      <formula>IF($B2="junior",$CR2=LARGE(_xlfn._xlws.FILTER($CR$2:$CR$53,$B$2:$B$53="junior"),2),$CR2=LARGE(_xlfn._xlws.FILTER($CR$2:$CR$53,$B$2:$B$53="senior"),2))</formula>
    </cfRule>
    <cfRule type="expression" dxfId="17" priority="3">
      <formula>IF($B2="junior",$CR2=LARGE(_xlfn._xlws.FILTER($CR$2:$CR$53,$B$2:$B$53="junior"),3),$CR2=LARGE(_xlfn._xlws.FILTER($CR$2:$CR$53,$B$2:$B$53="senior"),3))</formula>
    </cfRule>
    <cfRule type="expression" dxfId="16" priority="4">
      <formula>IF($B2="junior",$CP2=MAX(_xlfn._xlws.FILTER($CP$2:$CP$53,$B$2:$B$53="junior")),$CP2=MAX(_xlfn._xlws.FILTER($CP$2:$CP$53,$B$2:$B$53="senior")))</formula>
    </cfRule>
    <cfRule type="expression" dxfId="15" priority="5">
      <formula>IF($B2="junior",$CQ2=MAX(_xlfn._xlws.FILTER($CQ$2:$CQ$53,$B$2:$B$53="junior")),$CQ2=MAX(_xlfn._xlws.FILTER($CQ$2:$CQ$53,$B$2:$B$53="senior")))</formula>
    </cfRule>
  </conditionalFormatting>
  <conditionalFormatting sqref="F57:F63">
    <cfRule type="expression" dxfId="14" priority="25">
      <formula>AND(AND($B3="senior",F57&lt;2.9),F57&gt;0)</formula>
    </cfRule>
    <cfRule type="expression" dxfId="13" priority="26">
      <formula>AND(AND($B3="junior",F57&lt;2.6),F57&gt;0)</formula>
    </cfRule>
  </conditionalFormatting>
  <conditionalFormatting sqref="X2:X53 AT2:AT53 BP2:BP53 CL2:CL53">
    <cfRule type="expression" dxfId="12" priority="17">
      <formula>IF($B2="junior",X2&gt;=($CY$8+$CZ$8),X2&gt;=($CY$2+$CZ$2))</formula>
    </cfRule>
  </conditionalFormatting>
  <conditionalFormatting sqref="X58:X69">
    <cfRule type="expression" dxfId="11" priority="21">
      <formula>AND(AND($B58="senior",X58&lt;2.9),X58&gt;0)</formula>
    </cfRule>
    <cfRule type="expression" dxfId="10" priority="22">
      <formula>AND(AND($B58="junior",X58&lt;2.6),X58&gt;0)</formula>
    </cfRule>
  </conditionalFormatting>
  <conditionalFormatting sqref="Z2:Z53 AV2:AV53 BR2:BR53 CN2:CN53">
    <cfRule type="expression" dxfId="9" priority="14">
      <formula>IF($B2="junior",Z2&gt;=$DA$10,Z2&gt;=$DA$4)</formula>
    </cfRule>
    <cfRule type="expression" dxfId="8" priority="15">
      <formula>IF($B2="junior",Z2&gt;=($CY$10+$CZ$10),Z2&gt;=($CY$4+$CZ$4))</formula>
    </cfRule>
  </conditionalFormatting>
  <conditionalFormatting sqref="AA2:CO2 AA3:CU38 Z39:CU47 F48:CU53 F2:W47">
    <cfRule type="cellIs" dxfId="7" priority="27" operator="equal">
      <formula>0</formula>
    </cfRule>
  </conditionalFormatting>
  <conditionalFormatting sqref="CP2:CP53">
    <cfRule type="expression" dxfId="6" priority="8">
      <formula>IF($B2="junior",CP2&gt;=($CY$11+$CZ$11),CP2&gt;=($CY$5+$CZ$5))</formula>
    </cfRule>
  </conditionalFormatting>
  <conditionalFormatting sqref="CQ2:CQ53">
    <cfRule type="expression" dxfId="5" priority="12">
      <formula>IF($B2="junior",CQ2&gt;=$CY$12+$CZ$12,CQ2&gt;=$CY$6+$CZ$6)</formula>
    </cfRule>
  </conditionalFormatting>
  <conditionalFormatting sqref="CR2:CR53">
    <cfRule type="expression" dxfId="4" priority="7">
      <formula>IF($B2="junior",CR2&gt;=$DA$13,CR2&gt;=$DA$7)</formula>
    </cfRule>
    <cfRule type="expression" dxfId="3" priority="11">
      <formula>IF($B2="junior",CR2&gt;=($CY$13+$CZ$13),CR2&gt;=($CY$7+$CZ$7))</formula>
    </cfRule>
  </conditionalFormatting>
  <conditionalFormatting sqref="CS2:CS53">
    <cfRule type="expression" dxfId="2" priority="9">
      <formula>IF($B2="junior",CS2&gt;=($CY$8+$CZ$8),CS2&gt;=($CY$2+$CZ$2))</formula>
    </cfRule>
  </conditionalFormatting>
  <conditionalFormatting sqref="CT2:CT53">
    <cfRule type="expression" dxfId="1" priority="6">
      <formula>IF($B2="junior",CT2&gt;=$CY$9+$CZ$9,CT2&gt;=$CY$3+$CZ$3)</formula>
    </cfRule>
  </conditionalFormatting>
  <conditionalFormatting sqref="CU2:CU53">
    <cfRule type="expression" dxfId="0" priority="10">
      <formula>IF($B2="junior",CU2&gt;=($CY$10+$CZ$10),CU2&gt;=($CY$4+$CZ$4))</formula>
    </cfRule>
  </conditionalFormatting>
  <pageMargins left="0.7" right="0.7" top="0.75" bottom="0.75" header="0.3" footer="0.3"/>
  <tableParts count="2">
    <tablePart r:id="rId1"/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Props1.xml><?xml version="1.0" encoding="utf-8"?>
<ds:datastoreItem xmlns:ds="http://schemas.openxmlformats.org/officeDocument/2006/customXml" ds:itemID="{B1A8283E-552E-435D-B13B-11809C64C32C}">
  <ds:schemaRefs/>
</ds:datastoreItem>
</file>

<file path=customXml/itemProps2.xml><?xml version="1.0" encoding="utf-8"?>
<ds:datastoreItem xmlns:ds="http://schemas.openxmlformats.org/officeDocument/2006/customXml" ds:itemID="{11EEA458-C91C-4C21-AF51-174CADD5E782}">
  <ds:schemaRefs/>
</ds:datastoreItem>
</file>

<file path=customXml/itemProps3.xml><?xml version="1.0" encoding="utf-8"?>
<ds:datastoreItem xmlns:ds="http://schemas.openxmlformats.org/officeDocument/2006/customXml" ds:itemID="{93F6F53A-003B-4287-960D-8D330F038D4C}">
  <ds:schemaRefs/>
</ds:datastoreItem>
</file>

<file path=customXml/itemProps4.xml><?xml version="1.0" encoding="utf-8"?>
<ds:datastoreItem xmlns:ds="http://schemas.openxmlformats.org/officeDocument/2006/customXml" ds:itemID="{63259269-1694-4D13-B086-92370366CDA5}">
  <ds:schemaRefs/>
</ds:datastoreItem>
</file>

<file path=customXml/itemProps5.xml><?xml version="1.0" encoding="utf-8"?>
<ds:datastoreItem xmlns:ds="http://schemas.openxmlformats.org/officeDocument/2006/customXml" ds:itemID="{A4A1BC66-34C8-42D8-92A7-2A914CD69B1B}">
  <ds:schemaRefs/>
</ds:datastoreItem>
</file>

<file path=customXml/itemProps6.xml><?xml version="1.0" encoding="utf-8"?>
<ds:datastoreItem xmlns:ds="http://schemas.openxmlformats.org/officeDocument/2006/customXml" ds:itemID="{856708C9-7F2B-4855-A6AC-D750775BA075}">
  <ds:schemaRefs/>
</ds:datastoreItem>
</file>

<file path=customXml/itemProps7.xml><?xml version="1.0" encoding="utf-8"?>
<ds:datastoreItem xmlns:ds="http://schemas.openxmlformats.org/officeDocument/2006/customXml" ds:itemID="{17673791-DFA4-475F-86E6-639BD91F0BCE}">
  <ds:schemaRefs/>
</ds:datastoreItem>
</file>

<file path=customXml/itemProps8.xml><?xml version="1.0" encoding="utf-8"?>
<ds:datastoreItem xmlns:ds="http://schemas.openxmlformats.org/officeDocument/2006/customXml" ds:itemID="{09642B97-883D-41BA-9A87-63357A1A6A6A}">
  <ds:schemaRefs/>
</ds:datastoreItem>
</file>

<file path=customXml/itemProps9.xml><?xml version="1.0" encoding="utf-8"?>
<ds:datastoreItem xmlns:ds="http://schemas.openxmlformats.org/officeDocument/2006/customXml" ds:itemID="{FE441B3B-9C1B-4261-ADB0-C98D3FB54FA1}">
  <ds:schemaRefs/>
</ds:datastoreItem>
</file>

<file path=customXml/itemProps10.xml><?xml version="1.0" encoding="utf-8"?>
<ds:datastoreItem xmlns:ds="http://schemas.openxmlformats.org/officeDocument/2006/customXml" ds:itemID="{782CE1FE-00EB-FE4E-874F-055C932FA8A9}">
  <ds:schemaRefs>
    <ds:schemaRef ds:uri="http://schemas.microsoft.com/DataMashup"/>
  </ds:schemaRefs>
</ds:datastoreItem>
</file>

<file path=customXml/itemProps11.xml><?xml version="1.0" encoding="utf-8"?>
<ds:datastoreItem xmlns:ds="http://schemas.openxmlformats.org/officeDocument/2006/customXml" ds:itemID="{2F0EFD71-8469-456A-AEC7-02F71D85E2E5}">
  <ds:schemaRefs/>
</ds:datastoreItem>
</file>

<file path=customXml/itemProps12.xml><?xml version="1.0" encoding="utf-8"?>
<ds:datastoreItem xmlns:ds="http://schemas.openxmlformats.org/officeDocument/2006/customXml" ds:itemID="{C63D1799-B07E-49E7-AA3D-A3404E67CB05}">
  <ds:schemaRefs/>
</ds:datastoreItem>
</file>

<file path=customXml/itemProps13.xml><?xml version="1.0" encoding="utf-8"?>
<ds:datastoreItem xmlns:ds="http://schemas.openxmlformats.org/officeDocument/2006/customXml" ds:itemID="{6CCA27B6-3C20-4FED-9893-FF64C51DCB93}">
  <ds:schemaRefs/>
</ds:datastoreItem>
</file>

<file path=customXml/itemProps14.xml><?xml version="1.0" encoding="utf-8"?>
<ds:datastoreItem xmlns:ds="http://schemas.openxmlformats.org/officeDocument/2006/customXml" ds:itemID="{9EF5688B-223C-484E-BB4E-FA011DE95E29}">
  <ds:schemaRefs/>
</ds:datastoreItem>
</file>

<file path=customXml/itemProps15.xml><?xml version="1.0" encoding="utf-8"?>
<ds:datastoreItem xmlns:ds="http://schemas.openxmlformats.org/officeDocument/2006/customXml" ds:itemID="{E4F0C0C0-C256-431E-9F53-ECAFA2834B90}">
  <ds:schemaRefs/>
</ds:datastoreItem>
</file>

<file path=customXml/itemProps16.xml><?xml version="1.0" encoding="utf-8"?>
<ds:datastoreItem xmlns:ds="http://schemas.openxmlformats.org/officeDocument/2006/customXml" ds:itemID="{AD53E95C-FA46-4CE5-B555-9F57D6171E90}">
  <ds:schemaRefs/>
</ds:datastoreItem>
</file>

<file path=customXml/itemProps17.xml><?xml version="1.0" encoding="utf-8"?>
<ds:datastoreItem xmlns:ds="http://schemas.openxmlformats.org/officeDocument/2006/customXml" ds:itemID="{AC38CF00-B751-4787-B67F-AF2C75F5A33B}">
  <ds:schemaRefs/>
</ds:datastoreItem>
</file>

<file path=customXml/itemProps18.xml><?xml version="1.0" encoding="utf-8"?>
<ds:datastoreItem xmlns:ds="http://schemas.openxmlformats.org/officeDocument/2006/customXml" ds:itemID="{1F400C8B-174A-439D-B69D-651B6B018096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11</vt:i4>
      </vt:variant>
    </vt:vector>
  </HeadingPairs>
  <TitlesOfParts>
    <vt:vector size="11" baseType="lpstr">
      <vt:lpstr>Bydgoszcz_2022</vt:lpstr>
      <vt:lpstr>Zabrze_2022</vt:lpstr>
      <vt:lpstr>Cracow_2022</vt:lpstr>
      <vt:lpstr>Gdansk_2022</vt:lpstr>
      <vt:lpstr>FX_2022</vt:lpstr>
      <vt:lpstr>PH_2022</vt:lpstr>
      <vt:lpstr>SR_2022</vt:lpstr>
      <vt:lpstr>VT_2022</vt:lpstr>
      <vt:lpstr>PB_2022</vt:lpstr>
      <vt:lpstr>HB_2022</vt:lpstr>
      <vt:lpstr>AA_2022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Centrum Sterowania Rakietowego</dc:creator>
  <cp:lastModifiedBy>Michal</cp:lastModifiedBy>
  <dcterms:created xsi:type="dcterms:W3CDTF">2023-07-25T06:15:20Z</dcterms:created>
  <dcterms:modified xsi:type="dcterms:W3CDTF">2023-08-22T11:28:59Z</dcterms:modified>
</cp:coreProperties>
</file>